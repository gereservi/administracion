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INFO\ALMACENES\"/>
    </mc:Choice>
  </mc:AlternateContent>
  <xr:revisionPtr revIDLastSave="0" documentId="13_ncr:1_{30451EEE-EDD1-4B8A-8E1A-B6873D3E2888}" xr6:coauthVersionLast="47" xr6:coauthVersionMax="47" xr10:uidLastSave="{00000000-0000-0000-0000-000000000000}"/>
  <bookViews>
    <workbookView xWindow="-108" yWindow="-108" windowWidth="23256" windowHeight="13176" activeTab="9" xr2:uid="{DDE6F83F-1172-4430-A2AC-82100DC7114F}"/>
  </bookViews>
  <sheets>
    <sheet name="inicio" sheetId="64" r:id="rId1"/>
    <sheet name="pagos" sheetId="103" r:id="rId2"/>
    <sheet name="Fecha de hoy" sheetId="12" state="hidden" r:id="rId3"/>
    <sheet name="Retenciones" sheetId="11" state="hidden" r:id="rId4"/>
    <sheet name="Terceros" sheetId="10" r:id="rId5"/>
    <sheet name="F.Proveedores" sheetId="1" r:id="rId6"/>
    <sheet name="USD" sheetId="104" r:id="rId7"/>
    <sheet name="Financiación" sheetId="6" r:id="rId8"/>
    <sheet name="Financiadores" sheetId="15" r:id="rId9"/>
    <sheet name="Reporte" sheetId="16" r:id="rId10"/>
  </sheets>
  <externalReferences>
    <externalReference r:id="rId11"/>
  </externalReferences>
  <definedNames>
    <definedName name="_xlnm._FilterDatabase" localSheetId="5" hidden="1">F.Proveedores!$A$1:$T$1422</definedName>
    <definedName name="_xlnm._FilterDatabase" localSheetId="9" hidden="1">Reporte!$R$33:$V$40</definedName>
    <definedName name="_xlnm._FilterDatabase" localSheetId="6" hidden="1">USD!$C$1:$I$29</definedName>
    <definedName name="area" localSheetId="6">#REF!</definedName>
    <definedName name="area">#REF!</definedName>
    <definedName name="_xlnm.Extract" localSheetId="1">pagos!$A$1:$M$1</definedName>
    <definedName name="_xlnm.Print_Area" localSheetId="1">pagos!$A$22:$N$24</definedName>
    <definedName name="Correo" localSheetId="6">#REF!</definedName>
    <definedName name="Correo">#REF!</definedName>
    <definedName name="Criteria" localSheetId="5">F.Proveedores!#REF!</definedName>
    <definedName name="Criteria" localSheetId="6">USD!#REF!</definedName>
    <definedName name="_xlnm.Criteria" localSheetId="1">pagos!#REF!</definedName>
    <definedName name="depend">[1]vicep!$B$2:$B$3100</definedName>
    <definedName name="Extract" localSheetId="5">F.Proveedores!#REF!</definedName>
    <definedName name="Extract" localSheetId="6">USD!#REF!</definedName>
    <definedName name="info">pagos!$A$1:$M$23</definedName>
    <definedName name="VICEP">'[1]vicep ppto'!$B$2:$B$23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970" i="6" l="1"/>
  <c r="J970" i="6"/>
  <c r="A1421" i="1"/>
  <c r="C1421" i="1"/>
  <c r="B1421" i="1" s="1"/>
  <c r="F1421" i="1"/>
  <c r="M1421" i="1"/>
  <c r="O1421" i="1"/>
  <c r="P1421" i="1"/>
  <c r="Q1421" i="1" s="1"/>
  <c r="A1410" i="1"/>
  <c r="A1411" i="1"/>
  <c r="C1410" i="1"/>
  <c r="B1410" i="1" s="1"/>
  <c r="C1411" i="1"/>
  <c r="B1411" i="1" s="1"/>
  <c r="F1410" i="1"/>
  <c r="F1411" i="1"/>
  <c r="M1410" i="1"/>
  <c r="M1411" i="1"/>
  <c r="O1410" i="1"/>
  <c r="O1411" i="1"/>
  <c r="P1410" i="1"/>
  <c r="Q1410" i="1" s="1"/>
  <c r="P1411" i="1"/>
  <c r="Q1411" i="1" s="1"/>
  <c r="A1422" i="1"/>
  <c r="C1422" i="1"/>
  <c r="B1422" i="1" s="1"/>
  <c r="F1422" i="1"/>
  <c r="M1422" i="1"/>
  <c r="O1422" i="1"/>
  <c r="P1422" i="1"/>
  <c r="Q1422" i="1" s="1"/>
  <c r="A1418" i="1"/>
  <c r="C1418" i="1"/>
  <c r="B1418" i="1" s="1"/>
  <c r="F1418" i="1"/>
  <c r="M1418" i="1"/>
  <c r="O1418" i="1"/>
  <c r="P1418" i="1"/>
  <c r="Q1418" i="1" s="1"/>
  <c r="A1417" i="1"/>
  <c r="C1417" i="1"/>
  <c r="B1417" i="1" s="1"/>
  <c r="F1417" i="1"/>
  <c r="M1417" i="1"/>
  <c r="O1417" i="1"/>
  <c r="P1417" i="1"/>
  <c r="Q1417" i="1" s="1"/>
  <c r="A1415" i="1"/>
  <c r="C1415" i="1"/>
  <c r="B1415" i="1" s="1"/>
  <c r="F1415" i="1"/>
  <c r="M1415" i="1"/>
  <c r="O1415" i="1"/>
  <c r="P1415" i="1"/>
  <c r="Q1415" i="1" s="1"/>
  <c r="A1419" i="1"/>
  <c r="C1419" i="1"/>
  <c r="B1419" i="1" s="1"/>
  <c r="F1419" i="1"/>
  <c r="M1419" i="1"/>
  <c r="O1419" i="1"/>
  <c r="P1419" i="1"/>
  <c r="Q1419" i="1" s="1"/>
  <c r="A1378" i="1"/>
  <c r="C1378" i="1"/>
  <c r="B1378" i="1" s="1"/>
  <c r="F1378" i="1"/>
  <c r="O1378" i="1"/>
  <c r="P1378" i="1"/>
  <c r="Q1378" i="1" s="1"/>
  <c r="A1387" i="1"/>
  <c r="C1387" i="1"/>
  <c r="B1387" i="1" s="1"/>
  <c r="F1387" i="1"/>
  <c r="M1387" i="1"/>
  <c r="O1387" i="1"/>
  <c r="Q1387" i="1"/>
  <c r="A1403" i="1"/>
  <c r="C1403" i="1"/>
  <c r="B1403" i="1" s="1"/>
  <c r="F1403" i="1"/>
  <c r="M1403" i="1"/>
  <c r="O1403" i="1"/>
  <c r="P1403" i="1"/>
  <c r="Q1403" i="1" s="1"/>
  <c r="S1403" i="1"/>
  <c r="K1395" i="1"/>
  <c r="O1395" i="1" s="1"/>
  <c r="A1395" i="1"/>
  <c r="C1395" i="1"/>
  <c r="B1395" i="1" s="1"/>
  <c r="F1395" i="1"/>
  <c r="M1395" i="1"/>
  <c r="S1395" i="1"/>
  <c r="A1408" i="1"/>
  <c r="C1408" i="1"/>
  <c r="B1408" i="1" s="1"/>
  <c r="F1408" i="1"/>
  <c r="M1408" i="1"/>
  <c r="O1408" i="1"/>
  <c r="P1408" i="1"/>
  <c r="Q1408" i="1" s="1"/>
  <c r="S1408" i="1"/>
  <c r="A1420" i="1"/>
  <c r="C1420" i="1"/>
  <c r="B1420" i="1" s="1"/>
  <c r="F1420" i="1"/>
  <c r="M1420" i="1"/>
  <c r="O1420" i="1"/>
  <c r="P1420" i="1"/>
  <c r="Q1420" i="1" s="1"/>
  <c r="S1420" i="1"/>
  <c r="A1404" i="1"/>
  <c r="C1404" i="1"/>
  <c r="B1404" i="1" s="1"/>
  <c r="F1404" i="1"/>
  <c r="M1404" i="1"/>
  <c r="O1404" i="1"/>
  <c r="P1404" i="1"/>
  <c r="Q1404" i="1" s="1"/>
  <c r="S1404" i="1"/>
  <c r="T1404" i="1"/>
  <c r="K1396" i="1"/>
  <c r="O1396" i="1" s="1"/>
  <c r="A1396" i="1"/>
  <c r="C1396" i="1"/>
  <c r="B1396" i="1" s="1"/>
  <c r="F1396" i="1"/>
  <c r="S1396" i="1"/>
  <c r="I25" i="104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B19" i="16"/>
  <c r="K16" i="16"/>
  <c r="J16" i="16"/>
  <c r="I16" i="16"/>
  <c r="H16" i="16"/>
  <c r="G16" i="16"/>
  <c r="F16" i="16"/>
  <c r="E16" i="16"/>
  <c r="D16" i="16"/>
  <c r="C16" i="16"/>
  <c r="B16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C15" i="16"/>
  <c r="B15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AC10" i="16"/>
  <c r="AC9" i="16" s="1"/>
  <c r="AB10" i="16"/>
  <c r="AB9" i="16" s="1"/>
  <c r="AA10" i="16"/>
  <c r="AA9" i="16" s="1"/>
  <c r="Z10" i="16"/>
  <c r="Z9" i="16" s="1"/>
  <c r="Y10" i="16"/>
  <c r="X10" i="16"/>
  <c r="W10" i="16"/>
  <c r="W9" i="16" s="1"/>
  <c r="V10" i="16"/>
  <c r="V9" i="16" s="1"/>
  <c r="U10" i="16"/>
  <c r="U9" i="16" s="1"/>
  <c r="T10" i="16"/>
  <c r="S10" i="16"/>
  <c r="S9" i="16" s="1"/>
  <c r="R10" i="16"/>
  <c r="R9" i="16" s="1"/>
  <c r="Q10" i="16"/>
  <c r="P10" i="16"/>
  <c r="O10" i="16"/>
  <c r="O9" i="16" s="1"/>
  <c r="N10" i="16"/>
  <c r="N9" i="16" s="1"/>
  <c r="M10" i="16"/>
  <c r="M9" i="16" s="1"/>
  <c r="L10" i="16"/>
  <c r="K10" i="16"/>
  <c r="K17" i="16" s="1"/>
  <c r="J10" i="16"/>
  <c r="J9" i="16" s="1"/>
  <c r="I10" i="16"/>
  <c r="I17" i="16" s="1"/>
  <c r="H10" i="16"/>
  <c r="H17" i="16" s="1"/>
  <c r="G10" i="16"/>
  <c r="G17" i="16" s="1"/>
  <c r="F10" i="16"/>
  <c r="F17" i="16" s="1"/>
  <c r="E10" i="16"/>
  <c r="E9" i="16" s="1"/>
  <c r="D10" i="16"/>
  <c r="D17" i="16" s="1"/>
  <c r="C10" i="16"/>
  <c r="C9" i="16" s="1"/>
  <c r="B10" i="16"/>
  <c r="B17" i="16" s="1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C5" i="16"/>
  <c r="B5" i="16"/>
  <c r="C29" i="104"/>
  <c r="C28" i="104"/>
  <c r="C27" i="104"/>
  <c r="C26" i="104"/>
  <c r="C25" i="104"/>
  <c r="C24" i="104"/>
  <c r="C23" i="104"/>
  <c r="C22" i="104"/>
  <c r="C21" i="104"/>
  <c r="C20" i="104"/>
  <c r="C19" i="104"/>
  <c r="C18" i="104"/>
  <c r="C17" i="104"/>
  <c r="C16" i="104"/>
  <c r="C15" i="104"/>
  <c r="C14" i="104"/>
  <c r="C13" i="104"/>
  <c r="C12" i="104"/>
  <c r="C11" i="104"/>
  <c r="C10" i="104"/>
  <c r="C9" i="104"/>
  <c r="C8" i="104"/>
  <c r="C7" i="104"/>
  <c r="C6" i="104"/>
  <c r="C5" i="104"/>
  <c r="C4" i="104"/>
  <c r="C3" i="104"/>
  <c r="C2" i="104"/>
  <c r="AB27" i="16"/>
  <c r="Z27" i="16"/>
  <c r="Y27" i="16"/>
  <c r="AB22" i="16"/>
  <c r="AA22" i="16"/>
  <c r="Z22" i="16"/>
  <c r="Y22" i="16"/>
  <c r="X22" i="16"/>
  <c r="W22" i="16"/>
  <c r="V22" i="16"/>
  <c r="U22" i="16"/>
  <c r="U13" i="16" s="1"/>
  <c r="T22" i="16"/>
  <c r="T13" i="16" s="1"/>
  <c r="S22" i="16"/>
  <c r="S13" i="16" s="1"/>
  <c r="R22" i="16"/>
  <c r="R13" i="16" s="1"/>
  <c r="Q22" i="16"/>
  <c r="Q13" i="16" s="1"/>
  <c r="P22" i="16"/>
  <c r="P13" i="16" s="1"/>
  <c r="O22" i="16"/>
  <c r="O13" i="16" s="1"/>
  <c r="N22" i="16"/>
  <c r="N13" i="16" s="1"/>
  <c r="AB20" i="16"/>
  <c r="AA20" i="16"/>
  <c r="Z20" i="16"/>
  <c r="Y20" i="16"/>
  <c r="X20" i="16"/>
  <c r="W20" i="16"/>
  <c r="W12" i="16" s="1"/>
  <c r="V20" i="16"/>
  <c r="AC13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AC12" i="16"/>
  <c r="O12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I29" i="104"/>
  <c r="B29" i="104"/>
  <c r="A29" i="104"/>
  <c r="I28" i="104"/>
  <c r="B28" i="104"/>
  <c r="A28" i="104"/>
  <c r="I27" i="104"/>
  <c r="B27" i="104"/>
  <c r="A27" i="104"/>
  <c r="I26" i="104"/>
  <c r="B26" i="104"/>
  <c r="A26" i="104"/>
  <c r="B25" i="104"/>
  <c r="A25" i="104"/>
  <c r="I24" i="104"/>
  <c r="B24" i="104"/>
  <c r="A24" i="104"/>
  <c r="I23" i="104"/>
  <c r="B23" i="104"/>
  <c r="A23" i="104"/>
  <c r="I22" i="104"/>
  <c r="B22" i="104"/>
  <c r="A22" i="104"/>
  <c r="I21" i="104"/>
  <c r="B21" i="104"/>
  <c r="A21" i="104"/>
  <c r="I20" i="104"/>
  <c r="B20" i="104"/>
  <c r="A20" i="104"/>
  <c r="H19" i="104"/>
  <c r="B19" i="104"/>
  <c r="A19" i="104"/>
  <c r="H18" i="104"/>
  <c r="I18" i="104" s="1"/>
  <c r="B18" i="104"/>
  <c r="A18" i="104"/>
  <c r="H17" i="104"/>
  <c r="I17" i="104" s="1"/>
  <c r="B17" i="104"/>
  <c r="A17" i="104"/>
  <c r="I16" i="104"/>
  <c r="H16" i="104"/>
  <c r="B16" i="104"/>
  <c r="A16" i="104"/>
  <c r="I15" i="104"/>
  <c r="B15" i="104"/>
  <c r="A15" i="104"/>
  <c r="H14" i="104"/>
  <c r="B14" i="104"/>
  <c r="A14" i="104"/>
  <c r="H13" i="104"/>
  <c r="B13" i="104"/>
  <c r="A13" i="104"/>
  <c r="H12" i="104"/>
  <c r="B12" i="104"/>
  <c r="A12" i="104"/>
  <c r="H11" i="104"/>
  <c r="B11" i="104"/>
  <c r="A11" i="104"/>
  <c r="H10" i="104"/>
  <c r="B10" i="104"/>
  <c r="A10" i="104"/>
  <c r="H9" i="104"/>
  <c r="B9" i="104"/>
  <c r="A9" i="104"/>
  <c r="H8" i="104"/>
  <c r="B8" i="104"/>
  <c r="A8" i="104"/>
  <c r="H7" i="104"/>
  <c r="B7" i="104"/>
  <c r="A7" i="104"/>
  <c r="H6" i="104"/>
  <c r="B6" i="104"/>
  <c r="A6" i="104"/>
  <c r="H5" i="104"/>
  <c r="B5" i="104"/>
  <c r="A5" i="104"/>
  <c r="H4" i="104"/>
  <c r="B4" i="104"/>
  <c r="A4" i="104"/>
  <c r="H3" i="104"/>
  <c r="B3" i="104"/>
  <c r="A3" i="104"/>
  <c r="H2" i="104"/>
  <c r="B2" i="104"/>
  <c r="A2" i="104"/>
  <c r="S1014" i="1"/>
  <c r="S5" i="1"/>
  <c r="S39" i="1"/>
  <c r="S41" i="1"/>
  <c r="S286" i="1"/>
  <c r="S287" i="1"/>
  <c r="S383" i="1"/>
  <c r="S547" i="1"/>
  <c r="S660" i="1"/>
  <c r="S913" i="1"/>
  <c r="S1174" i="1"/>
  <c r="S1176" i="1"/>
  <c r="S171" i="1"/>
  <c r="S493" i="1"/>
  <c r="S506" i="1"/>
  <c r="S597" i="1"/>
  <c r="S768" i="1"/>
  <c r="S918" i="1"/>
  <c r="S924" i="1"/>
  <c r="S1006" i="1"/>
  <c r="S1199" i="1"/>
  <c r="S1341" i="1"/>
  <c r="S909" i="1"/>
  <c r="S908" i="1"/>
  <c r="S905" i="1"/>
  <c r="S470" i="1"/>
  <c r="S467" i="1"/>
  <c r="S793" i="1"/>
  <c r="S358" i="1"/>
  <c r="S7" i="1"/>
  <c r="S12" i="1"/>
  <c r="S34" i="1"/>
  <c r="S83" i="1"/>
  <c r="S102" i="1"/>
  <c r="S182" i="1"/>
  <c r="S207" i="1"/>
  <c r="S279" i="1"/>
  <c r="S305" i="1"/>
  <c r="S389" i="1"/>
  <c r="S463" i="1"/>
  <c r="S513" i="1"/>
  <c r="S553" i="1"/>
  <c r="S628" i="1"/>
  <c r="S629" i="1"/>
  <c r="S671" i="1"/>
  <c r="S758" i="1"/>
  <c r="S792" i="1"/>
  <c r="S813" i="1"/>
  <c r="S917" i="1"/>
  <c r="S1111" i="1"/>
  <c r="S1125" i="1"/>
  <c r="S1184" i="1"/>
  <c r="S1185" i="1"/>
  <c r="S1251" i="1"/>
  <c r="S38" i="1"/>
  <c r="S543" i="1"/>
  <c r="S545" i="1"/>
  <c r="S903" i="1"/>
  <c r="S925" i="1"/>
  <c r="S1210" i="1"/>
  <c r="S17" i="1"/>
  <c r="S149" i="1"/>
  <c r="S183" i="1"/>
  <c r="S427" i="1"/>
  <c r="S483" i="1"/>
  <c r="S605" i="1"/>
  <c r="S767" i="1"/>
  <c r="S865" i="1"/>
  <c r="S980" i="1"/>
  <c r="S1110" i="1"/>
  <c r="S1202" i="1"/>
  <c r="S26" i="1"/>
  <c r="S50" i="1"/>
  <c r="S57" i="1"/>
  <c r="S142" i="1"/>
  <c r="S1153" i="1"/>
  <c r="S115" i="1"/>
  <c r="S137" i="1"/>
  <c r="S203" i="1"/>
  <c r="S242" i="1"/>
  <c r="S292" i="1"/>
  <c r="S367" i="1"/>
  <c r="S499" i="1"/>
  <c r="S561" i="1"/>
  <c r="S646" i="1"/>
  <c r="S693" i="1"/>
  <c r="S782" i="1"/>
  <c r="S812" i="1"/>
  <c r="S920" i="1"/>
  <c r="S972" i="1"/>
  <c r="S1013" i="1"/>
  <c r="S1083" i="1"/>
  <c r="S1089" i="1"/>
  <c r="S1148" i="1"/>
  <c r="S1186" i="1"/>
  <c r="S1197" i="1"/>
  <c r="S1276" i="1"/>
  <c r="S1317" i="1"/>
  <c r="S1365" i="1"/>
  <c r="S1105" i="1"/>
  <c r="S1106" i="1"/>
  <c r="S1357" i="1"/>
  <c r="S1368" i="1"/>
  <c r="S121" i="1"/>
  <c r="S122" i="1"/>
  <c r="S124" i="1"/>
  <c r="S123" i="1"/>
  <c r="S125" i="1"/>
  <c r="S468" i="1"/>
  <c r="S568" i="1"/>
  <c r="S598" i="1"/>
  <c r="S595" i="1"/>
  <c r="S596" i="1"/>
  <c r="S636" i="1"/>
  <c r="S641" i="1"/>
  <c r="S667" i="1"/>
  <c r="S719" i="1"/>
  <c r="S718" i="1"/>
  <c r="S720" i="1"/>
  <c r="S721" i="1"/>
  <c r="S725" i="1"/>
  <c r="S731" i="1"/>
  <c r="S799" i="1"/>
  <c r="S817" i="1"/>
  <c r="S819" i="1"/>
  <c r="S820" i="1"/>
  <c r="S818" i="1"/>
  <c r="S816" i="1"/>
  <c r="S822" i="1"/>
  <c r="S916" i="1"/>
  <c r="S923" i="1"/>
  <c r="S929" i="1"/>
  <c r="S928" i="1"/>
  <c r="S927" i="1"/>
  <c r="S930" i="1"/>
  <c r="S931" i="1"/>
  <c r="S933" i="1"/>
  <c r="S963" i="1"/>
  <c r="S999" i="1"/>
  <c r="S1005" i="1"/>
  <c r="S1026" i="1"/>
  <c r="S1024" i="1"/>
  <c r="S1030" i="1"/>
  <c r="S1029" i="1"/>
  <c r="S1025" i="1"/>
  <c r="S1032" i="1"/>
  <c r="S1055" i="1"/>
  <c r="S1115" i="1"/>
  <c r="S1137" i="1"/>
  <c r="S1136" i="1"/>
  <c r="S1140" i="1"/>
  <c r="S1138" i="1"/>
  <c r="S1139" i="1"/>
  <c r="S1141" i="1"/>
  <c r="S1300" i="1"/>
  <c r="S1301" i="1"/>
  <c r="S1303" i="1"/>
  <c r="S1302" i="1"/>
  <c r="S1307" i="1"/>
  <c r="S1304" i="1"/>
  <c r="S706" i="1"/>
  <c r="S410" i="1"/>
  <c r="S1011" i="1"/>
  <c r="S230" i="1"/>
  <c r="S2" i="1"/>
  <c r="S19" i="1"/>
  <c r="S23" i="1"/>
  <c r="S420" i="1"/>
  <c r="S540" i="1"/>
  <c r="S639" i="1"/>
  <c r="S728" i="1"/>
  <c r="S992" i="1"/>
  <c r="S1164" i="1"/>
  <c r="S1172" i="1"/>
  <c r="S1201" i="1"/>
  <c r="S331" i="1"/>
  <c r="S1217" i="1"/>
  <c r="S1299" i="1"/>
  <c r="S42" i="1"/>
  <c r="S1177" i="1"/>
  <c r="S1327" i="1"/>
  <c r="S703" i="1"/>
  <c r="S737" i="1"/>
  <c r="S848" i="1"/>
  <c r="S15" i="1"/>
  <c r="S63" i="1"/>
  <c r="S72" i="1"/>
  <c r="S1135" i="1"/>
  <c r="S1166" i="1"/>
  <c r="S303" i="1"/>
  <c r="S1050" i="1"/>
  <c r="S70" i="1"/>
  <c r="S91" i="1"/>
  <c r="S114" i="1"/>
  <c r="S148" i="1"/>
  <c r="S346" i="1"/>
  <c r="S363" i="1"/>
  <c r="S398" i="1"/>
  <c r="S448" i="1"/>
  <c r="S510" i="1"/>
  <c r="S573" i="1"/>
  <c r="S686" i="1"/>
  <c r="S866" i="1"/>
  <c r="S1066" i="1"/>
  <c r="S1124" i="1"/>
  <c r="S1262" i="1"/>
  <c r="S1333" i="1"/>
  <c r="S1345" i="1"/>
  <c r="S1366" i="1"/>
  <c r="S501" i="1"/>
  <c r="S1098" i="1"/>
  <c r="S105" i="1"/>
  <c r="S170" i="1"/>
  <c r="S796" i="1"/>
  <c r="S993" i="1"/>
  <c r="S604" i="1"/>
  <c r="S80" i="1"/>
  <c r="S97" i="1"/>
  <c r="S127" i="1"/>
  <c r="S227" i="1"/>
  <c r="S275" i="1"/>
  <c r="S1122" i="1"/>
  <c r="S1163" i="1"/>
  <c r="S1261" i="1"/>
  <c r="S1331" i="1"/>
  <c r="S691" i="1"/>
  <c r="S732" i="1"/>
  <c r="S64" i="1"/>
  <c r="S132" i="1"/>
  <c r="S472" i="1"/>
  <c r="S471" i="1"/>
  <c r="S475" i="1"/>
  <c r="S576" i="1"/>
  <c r="S631" i="1"/>
  <c r="S669" i="1"/>
  <c r="S1084" i="1"/>
  <c r="S1085" i="1"/>
  <c r="S384" i="1"/>
  <c r="S495" i="1"/>
  <c r="S775" i="1"/>
  <c r="S785" i="1"/>
  <c r="S1102" i="1"/>
  <c r="S1126" i="1"/>
  <c r="S259" i="1"/>
  <c r="S312" i="1"/>
  <c r="S396" i="1"/>
  <c r="S515" i="1"/>
  <c r="S601" i="1"/>
  <c r="S462" i="1"/>
  <c r="S584" i="1"/>
  <c r="S260" i="1"/>
  <c r="S313" i="1"/>
  <c r="S404" i="1"/>
  <c r="S516" i="1"/>
  <c r="S602" i="1"/>
  <c r="S103" i="1"/>
  <c r="S147" i="1"/>
  <c r="S173" i="1"/>
  <c r="S176" i="1"/>
  <c r="S205" i="1"/>
  <c r="S216" i="1"/>
  <c r="S226" i="1"/>
  <c r="S258" i="1"/>
  <c r="S277" i="1"/>
  <c r="S296" i="1"/>
  <c r="S308" i="1"/>
  <c r="S334" i="1"/>
  <c r="S351" i="1"/>
  <c r="S361" i="1"/>
  <c r="S379" i="1"/>
  <c r="S392" i="1"/>
  <c r="S399" i="1"/>
  <c r="S433" i="1"/>
  <c r="S453" i="1"/>
  <c r="S497" i="1"/>
  <c r="S546" i="1"/>
  <c r="S574" i="1"/>
  <c r="S588" i="1"/>
  <c r="S632" i="1"/>
  <c r="S643" i="1"/>
  <c r="S664" i="1"/>
  <c r="S709" i="1"/>
  <c r="S708" i="1"/>
  <c r="S754" i="1"/>
  <c r="S787" i="1"/>
  <c r="S794" i="1"/>
  <c r="S821" i="1"/>
  <c r="S860" i="1"/>
  <c r="S874" i="1"/>
  <c r="S892" i="1"/>
  <c r="S926" i="1"/>
  <c r="S956" i="1"/>
  <c r="S976" i="1"/>
  <c r="S1000" i="1"/>
  <c r="S1015" i="1"/>
  <c r="S1068" i="1"/>
  <c r="S1092" i="1"/>
  <c r="S1107" i="1"/>
  <c r="S1127" i="1"/>
  <c r="S1169" i="1"/>
  <c r="S1183" i="1"/>
  <c r="S1200" i="1"/>
  <c r="S1240" i="1"/>
  <c r="S1263" i="1"/>
  <c r="S1278" i="1"/>
  <c r="S1291" i="1"/>
  <c r="S1326" i="1"/>
  <c r="S1346" i="1"/>
  <c r="S1384" i="1"/>
  <c r="S490" i="1"/>
  <c r="S492" i="1"/>
  <c r="S770" i="1"/>
  <c r="S778" i="1"/>
  <c r="S809" i="1"/>
  <c r="S885" i="1"/>
  <c r="S1075" i="1"/>
  <c r="S1208" i="1"/>
  <c r="S1270" i="1"/>
  <c r="S1340" i="1"/>
  <c r="S58" i="1"/>
  <c r="S343" i="1"/>
  <c r="S541" i="1"/>
  <c r="S594" i="1"/>
  <c r="S630" i="1"/>
  <c r="S683" i="1"/>
  <c r="S773" i="1"/>
  <c r="S795" i="1"/>
  <c r="S869" i="1"/>
  <c r="S1154" i="1"/>
  <c r="S1170" i="1"/>
  <c r="S1203" i="1"/>
  <c r="S244" i="1"/>
  <c r="S262" i="1"/>
  <c r="S314" i="1"/>
  <c r="S401" i="1"/>
  <c r="S518" i="1"/>
  <c r="S606" i="1"/>
  <c r="S53" i="1"/>
  <c r="S144" i="1"/>
  <c r="S1121" i="1"/>
  <c r="S1266" i="1"/>
  <c r="S1335" i="1"/>
  <c r="S210" i="1"/>
  <c r="S777" i="1"/>
  <c r="S1165" i="1"/>
  <c r="S94" i="1"/>
  <c r="S109" i="1"/>
  <c r="S179" i="1"/>
  <c r="S304" i="1"/>
  <c r="S338" i="1"/>
  <c r="S387" i="1"/>
  <c r="S444" i="1"/>
  <c r="S550" i="1"/>
  <c r="S827" i="1"/>
  <c r="S261" i="1"/>
  <c r="S311" i="1"/>
  <c r="S400" i="1"/>
  <c r="S517" i="1"/>
  <c r="S603" i="1"/>
  <c r="S95" i="1"/>
  <c r="S98" i="1"/>
  <c r="S309" i="1"/>
  <c r="S370" i="1"/>
  <c r="S415" i="1"/>
  <c r="S535" i="1"/>
  <c r="S713" i="1"/>
  <c r="S982" i="1"/>
  <c r="S983" i="1"/>
  <c r="S1016" i="1"/>
  <c r="S1023" i="1"/>
  <c r="S1116" i="1"/>
  <c r="S1128" i="1"/>
  <c r="S1134" i="1"/>
  <c r="S1267" i="1"/>
  <c r="S84" i="1"/>
  <c r="S364" i="1"/>
  <c r="S484" i="1"/>
  <c r="S580" i="1"/>
  <c r="S625" i="1"/>
  <c r="S772" i="1"/>
  <c r="S801" i="1"/>
  <c r="S960" i="1"/>
  <c r="S1012" i="1"/>
  <c r="S1193" i="1"/>
  <c r="S1222" i="1"/>
  <c r="S263" i="1"/>
  <c r="S315" i="1"/>
  <c r="S406" i="1"/>
  <c r="S521" i="1"/>
  <c r="S608" i="1"/>
  <c r="S701" i="1"/>
  <c r="S964" i="1"/>
  <c r="S971" i="1"/>
  <c r="S987" i="1"/>
  <c r="S1087" i="1"/>
  <c r="S1258" i="1"/>
  <c r="S1377" i="1"/>
  <c r="S366" i="1"/>
  <c r="S480" i="1"/>
  <c r="S644" i="1"/>
  <c r="S896" i="1"/>
  <c r="S1044" i="1"/>
  <c r="S1284" i="1"/>
  <c r="S3" i="1"/>
  <c r="S61" i="1"/>
  <c r="S92" i="1"/>
  <c r="S146" i="1"/>
  <c r="S145" i="1"/>
  <c r="S143" i="1"/>
  <c r="S151" i="1"/>
  <c r="S154" i="1"/>
  <c r="S371" i="1"/>
  <c r="S442" i="1"/>
  <c r="S439" i="1"/>
  <c r="S590" i="1"/>
  <c r="S698" i="1"/>
  <c r="S790" i="1"/>
  <c r="S891" i="1"/>
  <c r="S890" i="1"/>
  <c r="S1108" i="1"/>
  <c r="S1109" i="1"/>
  <c r="S246" i="1"/>
  <c r="S867" i="1"/>
  <c r="S79" i="1"/>
  <c r="S766" i="1"/>
  <c r="S482" i="1"/>
  <c r="S665" i="1"/>
  <c r="S959" i="1"/>
  <c r="S1036" i="1"/>
  <c r="S1343" i="1"/>
  <c r="S368" i="1"/>
  <c r="S634" i="1"/>
  <c r="S649" i="1"/>
  <c r="S685" i="1"/>
  <c r="S11" i="1"/>
  <c r="S27" i="1"/>
  <c r="S46" i="1"/>
  <c r="S45" i="1"/>
  <c r="S47" i="1"/>
  <c r="S130" i="1"/>
  <c r="S339" i="1"/>
  <c r="S106" i="1"/>
  <c r="S234" i="1"/>
  <c r="S372" i="1"/>
  <c r="S365" i="1"/>
  <c r="S450" i="1"/>
  <c r="S452" i="1"/>
  <c r="S560" i="1"/>
  <c r="S655" i="1"/>
  <c r="S838" i="1"/>
  <c r="S862" i="1"/>
  <c r="S1078" i="1"/>
  <c r="S1112" i="1"/>
  <c r="S1223" i="1"/>
  <c r="S1286" i="1"/>
  <c r="S1056" i="1"/>
  <c r="S289" i="1"/>
  <c r="S558" i="1"/>
  <c r="S907" i="1"/>
  <c r="S1082" i="1"/>
  <c r="S1342" i="1"/>
  <c r="S469" i="1"/>
  <c r="S662" i="1"/>
  <c r="S248" i="1"/>
  <c r="S883" i="1"/>
  <c r="S759" i="1"/>
  <c r="S774" i="1"/>
  <c r="S977" i="1"/>
  <c r="S16" i="1"/>
  <c r="S56" i="1"/>
  <c r="S99" i="1"/>
  <c r="S140" i="1"/>
  <c r="S161" i="1"/>
  <c r="S218" i="1"/>
  <c r="S293" i="1"/>
  <c r="S373" i="1"/>
  <c r="S659" i="1"/>
  <c r="S714" i="1"/>
  <c r="S763" i="1"/>
  <c r="S761" i="1"/>
  <c r="S810" i="1"/>
  <c r="S859" i="1"/>
  <c r="S863" i="1"/>
  <c r="S994" i="1"/>
  <c r="S1080" i="1"/>
  <c r="S1218" i="1"/>
  <c r="S1204" i="1"/>
  <c r="S1215" i="1"/>
  <c r="S1289" i="1"/>
  <c r="S825" i="1"/>
  <c r="S932" i="1"/>
  <c r="S935" i="1"/>
  <c r="S967" i="1"/>
  <c r="S1067" i="1"/>
  <c r="S1064" i="1"/>
  <c r="S1076" i="1"/>
  <c r="S1123" i="1"/>
  <c r="S1131" i="1"/>
  <c r="S1132" i="1"/>
  <c r="S1206" i="1"/>
  <c r="S991" i="1"/>
  <c r="S1214" i="1"/>
  <c r="S1133" i="1"/>
  <c r="S893" i="1"/>
  <c r="S912" i="1"/>
  <c r="S1081" i="1"/>
  <c r="S684" i="1"/>
  <c r="S853" i="1"/>
  <c r="S904" i="1"/>
  <c r="S1033" i="1"/>
  <c r="S494" i="1"/>
  <c r="S514" i="1"/>
  <c r="S542" i="1"/>
  <c r="S600" i="1"/>
  <c r="S647" i="1"/>
  <c r="S645" i="1"/>
  <c r="S744" i="1"/>
  <c r="S841" i="1"/>
  <c r="S889" i="1"/>
  <c r="S986" i="1"/>
  <c r="S998" i="1"/>
  <c r="S1219" i="1"/>
  <c r="S911" i="1"/>
  <c r="S968" i="1"/>
  <c r="S1180" i="1"/>
  <c r="S1352" i="1"/>
  <c r="S724" i="1"/>
  <c r="S1101" i="1"/>
  <c r="S13" i="1"/>
  <c r="S162" i="1"/>
  <c r="S166" i="1"/>
  <c r="S241" i="1"/>
  <c r="S288" i="1"/>
  <c r="S388" i="1"/>
  <c r="S393" i="1"/>
  <c r="S446" i="1"/>
  <c r="S764" i="1"/>
  <c r="S854" i="1"/>
  <c r="S902" i="1"/>
  <c r="S952" i="1"/>
  <c r="S996" i="1"/>
  <c r="S1281" i="1"/>
  <c r="S447" i="1"/>
  <c r="S672" i="1"/>
  <c r="S581" i="1"/>
  <c r="S29" i="1"/>
  <c r="S86" i="1"/>
  <c r="S150" i="1"/>
  <c r="S186" i="1"/>
  <c r="S232" i="1"/>
  <c r="S357" i="1"/>
  <c r="S390" i="1"/>
  <c r="S431" i="1"/>
  <c r="S583" i="1"/>
  <c r="S586" i="1"/>
  <c r="S607" i="1"/>
  <c r="S658" i="1"/>
  <c r="S716" i="1"/>
  <c r="S978" i="1"/>
  <c r="S1027" i="1"/>
  <c r="S1070" i="1"/>
  <c r="S8" i="1"/>
  <c r="S44" i="1"/>
  <c r="S43" i="1"/>
  <c r="S60" i="1"/>
  <c r="S62" i="1"/>
  <c r="S219" i="1"/>
  <c r="S359" i="1"/>
  <c r="S378" i="1"/>
  <c r="S460" i="1"/>
  <c r="S548" i="1"/>
  <c r="S562" i="1"/>
  <c r="S657" i="1"/>
  <c r="S692" i="1"/>
  <c r="S707" i="1"/>
  <c r="S723" i="1"/>
  <c r="S755" i="1"/>
  <c r="S756" i="1"/>
  <c r="S757" i="1"/>
  <c r="S807" i="1"/>
  <c r="S806" i="1"/>
  <c r="S914" i="1"/>
  <c r="S910" i="1"/>
  <c r="S1095" i="1"/>
  <c r="S1093" i="1"/>
  <c r="S1119" i="1"/>
  <c r="S104" i="1"/>
  <c r="S141" i="1"/>
  <c r="S73" i="1"/>
  <c r="S117" i="1"/>
  <c r="S350" i="1"/>
  <c r="S459" i="1"/>
  <c r="S458" i="1"/>
  <c r="S508" i="1"/>
  <c r="S1129" i="1"/>
  <c r="S1161" i="1"/>
  <c r="S36" i="1"/>
  <c r="S169" i="1"/>
  <c r="S238" i="1"/>
  <c r="S245" i="1"/>
  <c r="S247" i="1"/>
  <c r="S348" i="1"/>
  <c r="S487" i="1"/>
  <c r="S503" i="1"/>
  <c r="S177" i="1"/>
  <c r="S68" i="1"/>
  <c r="S101" i="1"/>
  <c r="S110" i="1"/>
  <c r="S185" i="1"/>
  <c r="S224" i="1"/>
  <c r="S112" i="1"/>
  <c r="S225" i="1"/>
  <c r="S75" i="1"/>
  <c r="S74" i="1"/>
  <c r="S174" i="1"/>
  <c r="S93" i="1"/>
  <c r="S107" i="1"/>
  <c r="S181" i="1"/>
  <c r="S237" i="1"/>
  <c r="S78" i="1"/>
  <c r="S828" i="1"/>
  <c r="S849" i="1"/>
  <c r="S1007" i="1"/>
  <c r="S1077" i="1"/>
  <c r="S570" i="1"/>
  <c r="S1271" i="1"/>
  <c r="S440" i="1"/>
  <c r="S67" i="1"/>
  <c r="S131" i="1"/>
  <c r="S572" i="1"/>
  <c r="S1071" i="1"/>
  <c r="S1255" i="1"/>
  <c r="S133" i="1"/>
  <c r="S136" i="1"/>
  <c r="S195" i="1"/>
  <c r="S199" i="1"/>
  <c r="S252" i="1"/>
  <c r="S268" i="1"/>
  <c r="S273" i="1"/>
  <c r="S264" i="1"/>
  <c r="S320" i="1"/>
  <c r="S329" i="1"/>
  <c r="S316" i="1"/>
  <c r="S411" i="1"/>
  <c r="S424" i="1"/>
  <c r="S527" i="1"/>
  <c r="S538" i="1"/>
  <c r="S614" i="1"/>
  <c r="S621" i="1"/>
  <c r="S738" i="1"/>
  <c r="S747" i="1"/>
  <c r="S834" i="1"/>
  <c r="S843" i="1"/>
  <c r="S940" i="1"/>
  <c r="S947" i="1"/>
  <c r="S1039" i="1"/>
  <c r="S1046" i="1"/>
  <c r="S1149" i="1"/>
  <c r="S1158" i="1"/>
  <c r="S1236" i="1"/>
  <c r="S1243" i="1"/>
  <c r="S1294" i="1"/>
  <c r="S1316" i="1"/>
  <c r="S1320" i="1"/>
  <c r="S512" i="1"/>
  <c r="S955" i="1"/>
  <c r="S711" i="1"/>
  <c r="S897" i="1"/>
  <c r="S786" i="1"/>
  <c r="S134" i="1"/>
  <c r="S196" i="1"/>
  <c r="S270" i="1"/>
  <c r="S307" i="1"/>
  <c r="S325" i="1"/>
  <c r="S418" i="1"/>
  <c r="S532" i="1"/>
  <c r="S618" i="1"/>
  <c r="S742" i="1"/>
  <c r="S840" i="1"/>
  <c r="S945" i="1"/>
  <c r="S1043" i="1"/>
  <c r="S1156" i="1"/>
  <c r="S1241" i="1"/>
  <c r="S1318" i="1"/>
  <c r="S479" i="1"/>
  <c r="S1293" i="1"/>
  <c r="S888" i="1"/>
  <c r="S129" i="1"/>
  <c r="S193" i="1"/>
  <c r="S267" i="1"/>
  <c r="S318" i="1"/>
  <c r="S407" i="1"/>
  <c r="S524" i="1"/>
  <c r="S610" i="1"/>
  <c r="S734" i="1"/>
  <c r="S831" i="1"/>
  <c r="S824" i="1"/>
  <c r="S937" i="1"/>
  <c r="S1035" i="1"/>
  <c r="S1147" i="1"/>
  <c r="S1233" i="1"/>
  <c r="S1273" i="1"/>
  <c r="S1311" i="1"/>
  <c r="S21" i="1"/>
  <c r="S826" i="1"/>
  <c r="S269" i="1"/>
  <c r="S281" i="1"/>
  <c r="S282" i="1"/>
  <c r="S416" i="1"/>
  <c r="S523" i="1"/>
  <c r="S531" i="1"/>
  <c r="S830" i="1"/>
  <c r="S839" i="1"/>
  <c r="S1144" i="1"/>
  <c r="S1155" i="1"/>
  <c r="S254" i="1"/>
  <c r="S310" i="1"/>
  <c r="S690" i="1"/>
  <c r="S135" i="1"/>
  <c r="S197" i="1"/>
  <c r="S272" i="1"/>
  <c r="S326" i="1"/>
  <c r="S422" i="1"/>
  <c r="S488" i="1"/>
  <c r="S536" i="1"/>
  <c r="S577" i="1"/>
  <c r="S619" i="1"/>
  <c r="S695" i="1"/>
  <c r="S745" i="1"/>
  <c r="S842" i="1"/>
  <c r="S946" i="1"/>
  <c r="S1045" i="1"/>
  <c r="S1157" i="1"/>
  <c r="S1242" i="1"/>
  <c r="S1319" i="1"/>
  <c r="S374" i="1"/>
  <c r="S321" i="1"/>
  <c r="S322" i="1"/>
  <c r="S412" i="1"/>
  <c r="S413" i="1"/>
  <c r="S528" i="1"/>
  <c r="S529" i="1"/>
  <c r="S615" i="1"/>
  <c r="S616" i="1"/>
  <c r="S739" i="1"/>
  <c r="S740" i="1"/>
  <c r="S835" i="1"/>
  <c r="S836" i="1"/>
  <c r="S941" i="1"/>
  <c r="S942" i="1"/>
  <c r="S1040" i="1"/>
  <c r="S1041" i="1"/>
  <c r="S1150" i="1"/>
  <c r="S1151" i="1"/>
  <c r="S1237" i="1"/>
  <c r="S1238" i="1"/>
  <c r="S1314" i="1"/>
  <c r="S1313" i="1"/>
  <c r="S184" i="1"/>
  <c r="S198" i="1"/>
  <c r="S271" i="1"/>
  <c r="S327" i="1"/>
  <c r="S382" i="1"/>
  <c r="S423" i="1"/>
  <c r="S504" i="1"/>
  <c r="S537" i="1"/>
  <c r="S620" i="1"/>
  <c r="S746" i="1"/>
  <c r="S844" i="1"/>
  <c r="S868" i="1"/>
  <c r="S948" i="1"/>
  <c r="S1047" i="1"/>
  <c r="S1159" i="1"/>
  <c r="S1142" i="1"/>
  <c r="S1244" i="1"/>
  <c r="S1321" i="1"/>
  <c r="S128" i="1"/>
  <c r="S192" i="1"/>
  <c r="S253" i="1"/>
  <c r="S265" i="1"/>
  <c r="S266" i="1"/>
  <c r="S317" i="1"/>
  <c r="S477" i="1"/>
  <c r="S522" i="1"/>
  <c r="S609" i="1"/>
  <c r="S733" i="1"/>
  <c r="S829" i="1"/>
  <c r="S934" i="1"/>
  <c r="S1130" i="1"/>
  <c r="S1143" i="1"/>
  <c r="S1231" i="1"/>
  <c r="S1309" i="1"/>
  <c r="S65" i="1"/>
  <c r="S397" i="1"/>
  <c r="S752" i="1"/>
  <c r="S1099" i="1"/>
  <c r="S1232" i="1"/>
  <c r="S328" i="1"/>
  <c r="S873" i="1"/>
  <c r="S1279" i="1"/>
  <c r="S324" i="1"/>
  <c r="S360" i="1"/>
  <c r="S478" i="1"/>
  <c r="S481" i="1"/>
  <c r="S525" i="1"/>
  <c r="S611" i="1"/>
  <c r="S735" i="1"/>
  <c r="S832" i="1"/>
  <c r="S938" i="1"/>
  <c r="S936" i="1"/>
  <c r="S1051" i="1"/>
  <c r="S1034" i="1"/>
  <c r="S1146" i="1"/>
  <c r="S1234" i="1"/>
  <c r="S1310" i="1"/>
  <c r="S66" i="1"/>
  <c r="S323" i="1"/>
  <c r="S414" i="1"/>
  <c r="S530" i="1"/>
  <c r="S617" i="1"/>
  <c r="S741" i="1"/>
  <c r="S837" i="1"/>
  <c r="S943" i="1"/>
  <c r="S1042" i="1"/>
  <c r="S1152" i="1"/>
  <c r="S1239" i="1"/>
  <c r="S1315" i="1"/>
  <c r="S319" i="1"/>
  <c r="S408" i="1"/>
  <c r="S526" i="1"/>
  <c r="S612" i="1"/>
  <c r="S736" i="1"/>
  <c r="S833" i="1"/>
  <c r="S939" i="1"/>
  <c r="S1037" i="1"/>
  <c r="S1235" i="1"/>
  <c r="S1312" i="1"/>
  <c r="S138" i="1"/>
  <c r="S187" i="1"/>
  <c r="S200" i="1"/>
  <c r="S274" i="1"/>
  <c r="S330" i="1"/>
  <c r="S425" i="1"/>
  <c r="S489" i="1"/>
  <c r="S511" i="1"/>
  <c r="S539" i="1"/>
  <c r="S578" i="1"/>
  <c r="S579" i="1"/>
  <c r="S622" i="1"/>
  <c r="S694" i="1"/>
  <c r="S748" i="1"/>
  <c r="S804" i="1"/>
  <c r="S845" i="1"/>
  <c r="S915" i="1"/>
  <c r="S949" i="1"/>
  <c r="S1048" i="1"/>
  <c r="S1160" i="1"/>
  <c r="S1245" i="1"/>
  <c r="S1295" i="1"/>
  <c r="S1322" i="1"/>
  <c r="S682" i="1"/>
  <c r="S687" i="1"/>
  <c r="S688" i="1"/>
  <c r="S1104" i="1"/>
  <c r="S1114" i="1"/>
  <c r="S59" i="1"/>
  <c r="S77" i="1"/>
  <c r="S87" i="1"/>
  <c r="S153" i="1"/>
  <c r="S164" i="1"/>
  <c r="S178" i="1"/>
  <c r="S206" i="1"/>
  <c r="S212" i="1"/>
  <c r="S214" i="1"/>
  <c r="S217" i="1"/>
  <c r="S235" i="1"/>
  <c r="S301" i="1"/>
  <c r="S340" i="1"/>
  <c r="S347" i="1"/>
  <c r="S376" i="1"/>
  <c r="S430" i="1"/>
  <c r="S476" i="1"/>
  <c r="S519" i="1"/>
  <c r="S559" i="1"/>
  <c r="S637" i="1"/>
  <c r="S640" i="1"/>
  <c r="S702" i="1"/>
  <c r="S715" i="1"/>
  <c r="S730" i="1"/>
  <c r="S749" i="1"/>
  <c r="S789" i="1"/>
  <c r="S805" i="1"/>
  <c r="S811" i="1"/>
  <c r="S876" i="1"/>
  <c r="S921" i="1"/>
  <c r="S997" i="1"/>
  <c r="S1022" i="1"/>
  <c r="S1060" i="1"/>
  <c r="S1059" i="1"/>
  <c r="S1057" i="1"/>
  <c r="S1090" i="1"/>
  <c r="S1182" i="1"/>
  <c r="S1280" i="1"/>
  <c r="S1292" i="1"/>
  <c r="S1323" i="1"/>
  <c r="S1324" i="1"/>
  <c r="S565" i="1"/>
  <c r="S1179" i="1"/>
  <c r="S120" i="1"/>
  <c r="S239" i="1"/>
  <c r="S593" i="1"/>
  <c r="S705" i="1"/>
  <c r="S626" i="1"/>
  <c r="S1212" i="1"/>
  <c r="S255" i="1"/>
  <c r="S1188" i="1"/>
  <c r="S437" i="1"/>
  <c r="S534" i="1"/>
  <c r="S291" i="1"/>
  <c r="S567" i="1"/>
  <c r="S950" i="1"/>
  <c r="S1097" i="1"/>
  <c r="S1364" i="1"/>
  <c r="S798" i="1"/>
  <c r="S881" i="1"/>
  <c r="S900" i="1"/>
  <c r="S1074" i="1"/>
  <c r="S111" i="1"/>
  <c r="S208" i="1"/>
  <c r="S236" i="1"/>
  <c r="S257" i="1"/>
  <c r="S394" i="1"/>
  <c r="S563" i="1"/>
  <c r="S557" i="1"/>
  <c r="S575" i="1"/>
  <c r="S635" i="1"/>
  <c r="S663" i="1"/>
  <c r="S689" i="1"/>
  <c r="S765" i="1"/>
  <c r="S847" i="1"/>
  <c r="S857" i="1"/>
  <c r="S880" i="1"/>
  <c r="S965" i="1"/>
  <c r="S975" i="1"/>
  <c r="S981" i="1"/>
  <c r="S1224" i="1"/>
  <c r="S1265" i="1"/>
  <c r="S1285" i="1"/>
  <c r="S486" i="1"/>
  <c r="S96" i="1"/>
  <c r="S126" i="1"/>
  <c r="S228" i="1"/>
  <c r="S276" i="1"/>
  <c r="S332" i="1"/>
  <c r="S381" i="1"/>
  <c r="S449" i="1"/>
  <c r="S544" i="1"/>
  <c r="S613" i="1"/>
  <c r="S781" i="1"/>
  <c r="S879" i="1"/>
  <c r="S961" i="1"/>
  <c r="S1072" i="1"/>
  <c r="S1117" i="1"/>
  <c r="S1162" i="1"/>
  <c r="S1167" i="1"/>
  <c r="S1168" i="1"/>
  <c r="S1264" i="1"/>
  <c r="S1332" i="1"/>
  <c r="S155" i="1"/>
  <c r="S189" i="1"/>
  <c r="S221" i="1"/>
  <c r="S354" i="1"/>
  <c r="S435" i="1"/>
  <c r="S434" i="1"/>
  <c r="S653" i="1"/>
  <c r="S852" i="1"/>
  <c r="S1018" i="1"/>
  <c r="S1091" i="1"/>
  <c r="S1228" i="1"/>
  <c r="S1259" i="1"/>
  <c r="S1260" i="1"/>
  <c r="S1337" i="1"/>
  <c r="S1100" i="1"/>
  <c r="S1173" i="1"/>
  <c r="S1175" i="1"/>
  <c r="S729" i="1"/>
  <c r="S979" i="1"/>
  <c r="S1178" i="1"/>
  <c r="S1305" i="1"/>
  <c r="S113" i="1"/>
  <c r="S28" i="1"/>
  <c r="S283" i="1"/>
  <c r="S564" i="1"/>
  <c r="S877" i="1"/>
  <c r="S1038" i="1"/>
  <c r="S1054" i="1"/>
  <c r="S554" i="1"/>
  <c r="S769" i="1"/>
  <c r="S1019" i="1"/>
  <c r="S299" i="1"/>
  <c r="S566" i="1"/>
  <c r="S592" i="1"/>
  <c r="S944" i="1"/>
  <c r="S1096" i="1"/>
  <c r="S1103" i="1"/>
  <c r="S1363" i="1"/>
  <c r="S627" i="1"/>
  <c r="S696" i="1"/>
  <c r="S1213" i="1"/>
  <c r="S1254" i="1"/>
  <c r="S1187" i="1"/>
  <c r="S1227" i="1"/>
  <c r="S1269" i="1"/>
  <c r="S436" i="1"/>
  <c r="S500" i="1"/>
  <c r="S505" i="1"/>
  <c r="S533" i="1"/>
  <c r="S555" i="1"/>
  <c r="S779" i="1"/>
  <c r="S797" i="1"/>
  <c r="S815" i="1"/>
  <c r="S814" i="1"/>
  <c r="S882" i="1"/>
  <c r="S899" i="1"/>
  <c r="S958" i="1"/>
  <c r="S1004" i="1"/>
  <c r="S1073" i="1"/>
  <c r="S1229" i="1"/>
  <c r="S49" i="1"/>
  <c r="S48" i="1"/>
  <c r="S55" i="1"/>
  <c r="S294" i="1"/>
  <c r="S648" i="1"/>
  <c r="S642" i="1"/>
  <c r="S966" i="1"/>
  <c r="S973" i="1"/>
  <c r="S974" i="1"/>
  <c r="S1003" i="1"/>
  <c r="S1061" i="1"/>
  <c r="S14" i="1"/>
  <c r="S356" i="1"/>
  <c r="S700" i="1"/>
  <c r="S969" i="1"/>
  <c r="S1191" i="1"/>
  <c r="S1247" i="1"/>
  <c r="S507" i="1"/>
  <c r="S587" i="1"/>
  <c r="S22" i="1"/>
  <c r="S31" i="1"/>
  <c r="S100" i="1"/>
  <c r="S119" i="1"/>
  <c r="S168" i="1"/>
  <c r="S172" i="1"/>
  <c r="S377" i="1"/>
  <c r="S385" i="1"/>
  <c r="S395" i="1"/>
  <c r="S445" i="1"/>
  <c r="S466" i="1"/>
  <c r="S571" i="1"/>
  <c r="S638" i="1"/>
  <c r="S704" i="1"/>
  <c r="S802" i="1"/>
  <c r="S846" i="1"/>
  <c r="S599" i="1"/>
  <c r="S962" i="1"/>
  <c r="S1290" i="1"/>
  <c r="S158" i="1"/>
  <c r="S336" i="1"/>
  <c r="S585" i="1"/>
  <c r="S957" i="1"/>
  <c r="S1195" i="1"/>
  <c r="S352" i="1"/>
  <c r="S509" i="1"/>
  <c r="S24" i="1"/>
  <c r="S69" i="1"/>
  <c r="S108" i="1"/>
  <c r="S167" i="1"/>
  <c r="S194" i="1"/>
  <c r="S250" i="1"/>
  <c r="S295" i="1"/>
  <c r="S333" i="1"/>
  <c r="S402" i="1"/>
  <c r="S426" i="1"/>
  <c r="S451" i="1"/>
  <c r="S549" i="1"/>
  <c r="S633" i="1"/>
  <c r="S651" i="1"/>
  <c r="S674" i="1"/>
  <c r="S673" i="1"/>
  <c r="S699" i="1"/>
  <c r="S788" i="1"/>
  <c r="S800" i="1"/>
  <c r="S851" i="1"/>
  <c r="S850" i="1"/>
  <c r="S856" i="1"/>
  <c r="S875" i="1"/>
  <c r="S989" i="1"/>
  <c r="S990" i="1"/>
  <c r="S988" i="1"/>
  <c r="S1010" i="1"/>
  <c r="S1008" i="1"/>
  <c r="S1021" i="1"/>
  <c r="S1079" i="1"/>
  <c r="S1145" i="1"/>
  <c r="S1194" i="1"/>
  <c r="S1282" i="1"/>
  <c r="S1306" i="1"/>
  <c r="S1308" i="1"/>
  <c r="S1325" i="1"/>
  <c r="S335" i="1"/>
  <c r="S337" i="1"/>
  <c r="S180" i="1"/>
  <c r="S403" i="1"/>
  <c r="S589" i="1"/>
  <c r="S697" i="1"/>
  <c r="S895" i="1"/>
  <c r="S1094" i="1"/>
  <c r="S71" i="1"/>
  <c r="S85" i="1"/>
  <c r="S90" i="1"/>
  <c r="S89" i="1"/>
  <c r="S118" i="1"/>
  <c r="S160" i="1"/>
  <c r="S209" i="1"/>
  <c r="S223" i="1"/>
  <c r="S306" i="1"/>
  <c r="S432" i="1"/>
  <c r="S727" i="1"/>
  <c r="S751" i="1"/>
  <c r="S750" i="1"/>
  <c r="S803" i="1"/>
  <c r="S823" i="1"/>
  <c r="S871" i="1"/>
  <c r="S1120" i="1"/>
  <c r="S1198" i="1"/>
  <c r="S1220" i="1"/>
  <c r="S1256" i="1"/>
  <c r="S9" i="1"/>
  <c r="S10" i="1"/>
  <c r="S251" i="1"/>
  <c r="S256" i="1"/>
  <c r="S4" i="1"/>
  <c r="S30" i="1"/>
  <c r="S33" i="1"/>
  <c r="S40" i="1"/>
  <c r="S152" i="1"/>
  <c r="S190" i="1"/>
  <c r="S213" i="1"/>
  <c r="S240" i="1"/>
  <c r="S243" i="1"/>
  <c r="S298" i="1"/>
  <c r="S391" i="1"/>
  <c r="S429" i="1"/>
  <c r="S582" i="1"/>
  <c r="S650" i="1"/>
  <c r="S680" i="1"/>
  <c r="S710" i="1"/>
  <c r="S855" i="1"/>
  <c r="S872" i="1"/>
  <c r="S894" i="1"/>
  <c r="S1001" i="1"/>
  <c r="S1028" i="1"/>
  <c r="S1113" i="1"/>
  <c r="S1189" i="1"/>
  <c r="S1221" i="1"/>
  <c r="S1288" i="1"/>
  <c r="S204" i="1"/>
  <c r="S1053" i="1"/>
  <c r="S1049" i="1"/>
  <c r="S284" i="1"/>
  <c r="S362" i="1"/>
  <c r="S474" i="1"/>
  <c r="S623" i="1"/>
  <c r="S677" i="1"/>
  <c r="S678" i="1"/>
  <c r="S679" i="1"/>
  <c r="S1230" i="1"/>
  <c r="S552" i="1"/>
  <c r="S624" i="1"/>
  <c r="S743" i="1"/>
  <c r="S443" i="1"/>
  <c r="S302" i="1"/>
  <c r="S405" i="1"/>
  <c r="S455" i="1"/>
  <c r="S520" i="1"/>
  <c r="S780" i="1"/>
  <c r="S791" i="1"/>
  <c r="S661" i="1"/>
  <c r="S656" i="1"/>
  <c r="S808" i="1"/>
  <c r="S898" i="1"/>
  <c r="S901" i="1"/>
  <c r="S1063" i="1"/>
  <c r="S1181" i="1"/>
  <c r="S175" i="1"/>
  <c r="S233" i="1"/>
  <c r="S776" i="1"/>
  <c r="S1354" i="1"/>
  <c r="S249" i="1"/>
  <c r="S654" i="1"/>
  <c r="S760" i="1"/>
  <c r="S762" i="1"/>
  <c r="S906" i="1"/>
  <c r="S1031" i="1"/>
  <c r="S970" i="1"/>
  <c r="S1020" i="1"/>
  <c r="S1118" i="1"/>
  <c r="S278" i="1"/>
  <c r="S116" i="1"/>
  <c r="S25" i="1"/>
  <c r="S88" i="1"/>
  <c r="S188" i="1"/>
  <c r="S201" i="1"/>
  <c r="S349" i="1"/>
  <c r="S491" i="1"/>
  <c r="S753" i="1"/>
  <c r="S870" i="1"/>
  <c r="S1009" i="1"/>
  <c r="S54" i="1"/>
  <c r="S380" i="1"/>
  <c r="S717" i="1"/>
  <c r="S712" i="1"/>
  <c r="S922" i="1"/>
  <c r="S1002" i="1"/>
  <c r="S1062" i="1"/>
  <c r="S1086" i="1"/>
  <c r="S1277" i="1"/>
  <c r="S1336" i="1"/>
  <c r="S681" i="1"/>
  <c r="S670" i="1"/>
  <c r="S887" i="1"/>
  <c r="S919" i="1"/>
  <c r="S995" i="1"/>
  <c r="S652" i="1"/>
  <c r="S76" i="1"/>
  <c r="S165" i="1"/>
  <c r="S220" i="1"/>
  <c r="S285" i="1"/>
  <c r="S386" i="1"/>
  <c r="S473" i="1"/>
  <c r="S676" i="1"/>
  <c r="S726" i="1"/>
  <c r="S783" i="1"/>
  <c r="S858" i="1"/>
  <c r="S861" i="1"/>
  <c r="S1052" i="1"/>
  <c r="S1362" i="1"/>
  <c r="S6" i="1"/>
  <c r="S18" i="1"/>
  <c r="S20" i="1"/>
  <c r="S35" i="1"/>
  <c r="S52" i="1"/>
  <c r="S51" i="1"/>
  <c r="S81" i="1"/>
  <c r="S139" i="1"/>
  <c r="S156" i="1"/>
  <c r="S157" i="1"/>
  <c r="S202" i="1"/>
  <c r="S211" i="1"/>
  <c r="S222" i="1"/>
  <c r="S231" i="1"/>
  <c r="S290" i="1"/>
  <c r="S297" i="1"/>
  <c r="S341" i="1"/>
  <c r="S345" i="1"/>
  <c r="S353" i="1"/>
  <c r="S355" i="1"/>
  <c r="S409" i="1"/>
  <c r="S421" i="1"/>
  <c r="S417" i="1"/>
  <c r="S428" i="1"/>
  <c r="S441" i="1"/>
  <c r="S461" i="1"/>
  <c r="S457" i="1"/>
  <c r="S465" i="1"/>
  <c r="S464" i="1"/>
  <c r="S485" i="1"/>
  <c r="S496" i="1"/>
  <c r="S502" i="1"/>
  <c r="S556" i="1"/>
  <c r="S722" i="1"/>
  <c r="S771" i="1"/>
  <c r="S878" i="1"/>
  <c r="S954" i="1"/>
  <c r="S951" i="1"/>
  <c r="S985" i="1"/>
  <c r="S1058" i="1"/>
  <c r="S1088" i="1"/>
  <c r="S1190" i="1"/>
  <c r="S1211" i="1"/>
  <c r="S1209" i="1"/>
  <c r="S1250" i="1"/>
  <c r="S1248" i="1"/>
  <c r="S1253" i="1"/>
  <c r="S342" i="1"/>
  <c r="S369" i="1"/>
  <c r="S884" i="1"/>
  <c r="S886" i="1"/>
  <c r="S1065" i="1"/>
  <c r="S1287" i="1"/>
  <c r="S163" i="1"/>
  <c r="S191" i="1"/>
  <c r="S300" i="1"/>
  <c r="S456" i="1"/>
  <c r="S498" i="1"/>
  <c r="S569" i="1"/>
  <c r="S668" i="1"/>
  <c r="S984" i="1"/>
  <c r="S1196" i="1"/>
  <c r="S32" i="1"/>
  <c r="S37" i="1"/>
  <c r="S82" i="1"/>
  <c r="S159" i="1"/>
  <c r="S215" i="1"/>
  <c r="S229" i="1"/>
  <c r="S280" i="1"/>
  <c r="S344" i="1"/>
  <c r="S375" i="1"/>
  <c r="S419" i="1"/>
  <c r="S438" i="1"/>
  <c r="S454" i="1"/>
  <c r="S551" i="1"/>
  <c r="S591" i="1"/>
  <c r="S675" i="1"/>
  <c r="S784" i="1"/>
  <c r="S864" i="1"/>
  <c r="S953" i="1"/>
  <c r="S1017" i="1"/>
  <c r="S1069" i="1"/>
  <c r="S1171" i="1"/>
  <c r="S1192" i="1"/>
  <c r="S1268" i="1"/>
  <c r="S1252" i="1"/>
  <c r="S1393" i="1"/>
  <c r="S1388" i="1"/>
  <c r="S1391" i="1"/>
  <c r="S1390" i="1"/>
  <c r="S1392" i="1"/>
  <c r="S1389" i="1"/>
  <c r="S1414" i="1"/>
  <c r="S1413" i="1"/>
  <c r="S1416" i="1"/>
  <c r="D1207" i="1"/>
  <c r="A1014" i="1"/>
  <c r="A5" i="1"/>
  <c r="A39" i="1"/>
  <c r="A41" i="1"/>
  <c r="A286" i="1"/>
  <c r="A287" i="1"/>
  <c r="A383" i="1"/>
  <c r="A547" i="1"/>
  <c r="A660" i="1"/>
  <c r="A913" i="1"/>
  <c r="A1174" i="1"/>
  <c r="A1176" i="1"/>
  <c r="A171" i="1"/>
  <c r="A493" i="1"/>
  <c r="A506" i="1"/>
  <c r="A597" i="1"/>
  <c r="A768" i="1"/>
  <c r="A918" i="1"/>
  <c r="A924" i="1"/>
  <c r="A1006" i="1"/>
  <c r="A1199" i="1"/>
  <c r="A1341" i="1"/>
  <c r="A909" i="1"/>
  <c r="A908" i="1"/>
  <c r="A905" i="1"/>
  <c r="A470" i="1"/>
  <c r="A467" i="1"/>
  <c r="A793" i="1"/>
  <c r="A358" i="1"/>
  <c r="A7" i="1"/>
  <c r="A12" i="1"/>
  <c r="A34" i="1"/>
  <c r="A83" i="1"/>
  <c r="A102" i="1"/>
  <c r="A182" i="1"/>
  <c r="A207" i="1"/>
  <c r="A279" i="1"/>
  <c r="A305" i="1"/>
  <c r="A389" i="1"/>
  <c r="A463" i="1"/>
  <c r="A513" i="1"/>
  <c r="A553" i="1"/>
  <c r="A628" i="1"/>
  <c r="A629" i="1"/>
  <c r="A671" i="1"/>
  <c r="A758" i="1"/>
  <c r="A792" i="1"/>
  <c r="A813" i="1"/>
  <c r="A917" i="1"/>
  <c r="A1111" i="1"/>
  <c r="A1125" i="1"/>
  <c r="A1184" i="1"/>
  <c r="A1185" i="1"/>
  <c r="A1251" i="1"/>
  <c r="A1412" i="1"/>
  <c r="A38" i="1"/>
  <c r="A543" i="1"/>
  <c r="A545" i="1"/>
  <c r="A903" i="1"/>
  <c r="A925" i="1"/>
  <c r="A1210" i="1"/>
  <c r="A17" i="1"/>
  <c r="A149" i="1"/>
  <c r="A183" i="1"/>
  <c r="A427" i="1"/>
  <c r="A483" i="1"/>
  <c r="A605" i="1"/>
  <c r="A767" i="1"/>
  <c r="A865" i="1"/>
  <c r="A980" i="1"/>
  <c r="A1110" i="1"/>
  <c r="A1202" i="1"/>
  <c r="A26" i="1"/>
  <c r="A50" i="1"/>
  <c r="A57" i="1"/>
  <c r="A142" i="1"/>
  <c r="A1153" i="1"/>
  <c r="A115" i="1"/>
  <c r="A137" i="1"/>
  <c r="A203" i="1"/>
  <c r="A242" i="1"/>
  <c r="A292" i="1"/>
  <c r="A367" i="1"/>
  <c r="A499" i="1"/>
  <c r="A561" i="1"/>
  <c r="A646" i="1"/>
  <c r="A693" i="1"/>
  <c r="A782" i="1"/>
  <c r="A812" i="1"/>
  <c r="A920" i="1"/>
  <c r="A972" i="1"/>
  <c r="A1013" i="1"/>
  <c r="A1083" i="1"/>
  <c r="A1089" i="1"/>
  <c r="A1148" i="1"/>
  <c r="A1186" i="1"/>
  <c r="A1197" i="1"/>
  <c r="A1276" i="1"/>
  <c r="A1317" i="1"/>
  <c r="A1365" i="1"/>
  <c r="A1409" i="1"/>
  <c r="A1105" i="1"/>
  <c r="A1106" i="1"/>
  <c r="A1357" i="1"/>
  <c r="A1368" i="1"/>
  <c r="A121" i="1"/>
  <c r="A122" i="1"/>
  <c r="A124" i="1"/>
  <c r="A123" i="1"/>
  <c r="A125" i="1"/>
  <c r="A468" i="1"/>
  <c r="A568" i="1"/>
  <c r="A598" i="1"/>
  <c r="A595" i="1"/>
  <c r="A596" i="1"/>
  <c r="A636" i="1"/>
  <c r="A641" i="1"/>
  <c r="A667" i="1"/>
  <c r="A719" i="1"/>
  <c r="A718" i="1"/>
  <c r="A720" i="1"/>
  <c r="A721" i="1"/>
  <c r="A725" i="1"/>
  <c r="A731" i="1"/>
  <c r="A799" i="1"/>
  <c r="A817" i="1"/>
  <c r="A819" i="1"/>
  <c r="A820" i="1"/>
  <c r="A818" i="1"/>
  <c r="A816" i="1"/>
  <c r="A822" i="1"/>
  <c r="A916" i="1"/>
  <c r="A923" i="1"/>
  <c r="A929" i="1"/>
  <c r="A928" i="1"/>
  <c r="A927" i="1"/>
  <c r="A930" i="1"/>
  <c r="A931" i="1"/>
  <c r="A933" i="1"/>
  <c r="A963" i="1"/>
  <c r="A999" i="1"/>
  <c r="A1005" i="1"/>
  <c r="A1026" i="1"/>
  <c r="A1024" i="1"/>
  <c r="A1030" i="1"/>
  <c r="A1029" i="1"/>
  <c r="A1025" i="1"/>
  <c r="A1032" i="1"/>
  <c r="A1055" i="1"/>
  <c r="A1115" i="1"/>
  <c r="A1137" i="1"/>
  <c r="A1136" i="1"/>
  <c r="A1140" i="1"/>
  <c r="A1138" i="1"/>
  <c r="A1139" i="1"/>
  <c r="A1141" i="1"/>
  <c r="A1300" i="1"/>
  <c r="A1301" i="1"/>
  <c r="A1303" i="1"/>
  <c r="A1302" i="1"/>
  <c r="A1307" i="1"/>
  <c r="A1304" i="1"/>
  <c r="A706" i="1"/>
  <c r="A410" i="1"/>
  <c r="A1011" i="1"/>
  <c r="A230" i="1"/>
  <c r="A1400" i="1"/>
  <c r="A2" i="1"/>
  <c r="A19" i="1"/>
  <c r="A23" i="1"/>
  <c r="A420" i="1"/>
  <c r="A540" i="1"/>
  <c r="A639" i="1"/>
  <c r="A728" i="1"/>
  <c r="A992" i="1"/>
  <c r="A1164" i="1"/>
  <c r="A1172" i="1"/>
  <c r="A1201" i="1"/>
  <c r="A1216" i="1"/>
  <c r="A331" i="1"/>
  <c r="A1217" i="1"/>
  <c r="A1299" i="1"/>
  <c r="A42" i="1"/>
  <c r="A1177" i="1"/>
  <c r="A1327" i="1"/>
  <c r="A703" i="1"/>
  <c r="A737" i="1"/>
  <c r="A848" i="1"/>
  <c r="A15" i="1"/>
  <c r="A63" i="1"/>
  <c r="A72" i="1"/>
  <c r="A1135" i="1"/>
  <c r="A1166" i="1"/>
  <c r="A303" i="1"/>
  <c r="A1050" i="1"/>
  <c r="A70" i="1"/>
  <c r="A91" i="1"/>
  <c r="A114" i="1"/>
  <c r="A148" i="1"/>
  <c r="A346" i="1"/>
  <c r="A363" i="1"/>
  <c r="A398" i="1"/>
  <c r="A448" i="1"/>
  <c r="A510" i="1"/>
  <c r="A573" i="1"/>
  <c r="A686" i="1"/>
  <c r="A866" i="1"/>
  <c r="A1066" i="1"/>
  <c r="A1124" i="1"/>
  <c r="A1262" i="1"/>
  <c r="A1333" i="1"/>
  <c r="A1345" i="1"/>
  <c r="A1366" i="1"/>
  <c r="A501" i="1"/>
  <c r="A1098" i="1"/>
  <c r="A105" i="1"/>
  <c r="A170" i="1"/>
  <c r="A796" i="1"/>
  <c r="A993" i="1"/>
  <c r="A604" i="1"/>
  <c r="A80" i="1"/>
  <c r="A97" i="1"/>
  <c r="A127" i="1"/>
  <c r="A227" i="1"/>
  <c r="A275" i="1"/>
  <c r="A1122" i="1"/>
  <c r="A1163" i="1"/>
  <c r="A1261" i="1"/>
  <c r="A1331" i="1"/>
  <c r="A691" i="1"/>
  <c r="A732" i="1"/>
  <c r="A64" i="1"/>
  <c r="A132" i="1"/>
  <c r="A472" i="1"/>
  <c r="A471" i="1"/>
  <c r="A475" i="1"/>
  <c r="A576" i="1"/>
  <c r="A631" i="1"/>
  <c r="A669" i="1"/>
  <c r="A1084" i="1"/>
  <c r="A1085" i="1"/>
  <c r="A384" i="1"/>
  <c r="A495" i="1"/>
  <c r="A775" i="1"/>
  <c r="A785" i="1"/>
  <c r="A1102" i="1"/>
  <c r="A1126" i="1"/>
  <c r="A1406" i="1"/>
  <c r="A1405" i="1"/>
  <c r="A259" i="1"/>
  <c r="A312" i="1"/>
  <c r="A396" i="1"/>
  <c r="A515" i="1"/>
  <c r="A601" i="1"/>
  <c r="A462" i="1"/>
  <c r="A584" i="1"/>
  <c r="A260" i="1"/>
  <c r="A313" i="1"/>
  <c r="A404" i="1"/>
  <c r="A516" i="1"/>
  <c r="A602" i="1"/>
  <c r="A103" i="1"/>
  <c r="A147" i="1"/>
  <c r="A173" i="1"/>
  <c r="A176" i="1"/>
  <c r="A205" i="1"/>
  <c r="A216" i="1"/>
  <c r="A226" i="1"/>
  <c r="A258" i="1"/>
  <c r="A277" i="1"/>
  <c r="A296" i="1"/>
  <c r="A308" i="1"/>
  <c r="A334" i="1"/>
  <c r="A351" i="1"/>
  <c r="A361" i="1"/>
  <c r="A379" i="1"/>
  <c r="A392" i="1"/>
  <c r="A399" i="1"/>
  <c r="A433" i="1"/>
  <c r="A453" i="1"/>
  <c r="A497" i="1"/>
  <c r="A546" i="1"/>
  <c r="A574" i="1"/>
  <c r="A588" i="1"/>
  <c r="A632" i="1"/>
  <c r="A643" i="1"/>
  <c r="A664" i="1"/>
  <c r="A709" i="1"/>
  <c r="A708" i="1"/>
  <c r="A754" i="1"/>
  <c r="A787" i="1"/>
  <c r="A794" i="1"/>
  <c r="A821" i="1"/>
  <c r="A860" i="1"/>
  <c r="A874" i="1"/>
  <c r="A892" i="1"/>
  <c r="A926" i="1"/>
  <c r="A956" i="1"/>
  <c r="A976" i="1"/>
  <c r="A1000" i="1"/>
  <c r="A1015" i="1"/>
  <c r="A1068" i="1"/>
  <c r="A1092" i="1"/>
  <c r="A1107" i="1"/>
  <c r="A1127" i="1"/>
  <c r="A1169" i="1"/>
  <c r="A1183" i="1"/>
  <c r="A1200" i="1"/>
  <c r="A1240" i="1"/>
  <c r="A1263" i="1"/>
  <c r="A1278" i="1"/>
  <c r="A1291" i="1"/>
  <c r="A1326" i="1"/>
  <c r="A1346" i="1"/>
  <c r="A1384" i="1"/>
  <c r="A490" i="1"/>
  <c r="A492" i="1"/>
  <c r="A770" i="1"/>
  <c r="A778" i="1"/>
  <c r="A809" i="1"/>
  <c r="A885" i="1"/>
  <c r="A1075" i="1"/>
  <c r="A1208" i="1"/>
  <c r="A1270" i="1"/>
  <c r="A1340" i="1"/>
  <c r="A1398" i="1"/>
  <c r="A1402" i="1"/>
  <c r="A58" i="1"/>
  <c r="A343" i="1"/>
  <c r="A541" i="1"/>
  <c r="A594" i="1"/>
  <c r="A630" i="1"/>
  <c r="A683" i="1"/>
  <c r="A773" i="1"/>
  <c r="A795" i="1"/>
  <c r="A869" i="1"/>
  <c r="A1154" i="1"/>
  <c r="A1170" i="1"/>
  <c r="A1203" i="1"/>
  <c r="A244" i="1"/>
  <c r="A262" i="1"/>
  <c r="A314" i="1"/>
  <c r="A401" i="1"/>
  <c r="A518" i="1"/>
  <c r="A606" i="1"/>
  <c r="A53" i="1"/>
  <c r="A144" i="1"/>
  <c r="A1121" i="1"/>
  <c r="A1266" i="1"/>
  <c r="A1335" i="1"/>
  <c r="A210" i="1"/>
  <c r="A777" i="1"/>
  <c r="A1165" i="1"/>
  <c r="A94" i="1"/>
  <c r="A109" i="1"/>
  <c r="A179" i="1"/>
  <c r="A304" i="1"/>
  <c r="A338" i="1"/>
  <c r="A387" i="1"/>
  <c r="A444" i="1"/>
  <c r="A550" i="1"/>
  <c r="A827" i="1"/>
  <c r="A261" i="1"/>
  <c r="A311" i="1"/>
  <c r="A400" i="1"/>
  <c r="A517" i="1"/>
  <c r="A603" i="1"/>
  <c r="A95" i="1"/>
  <c r="A98" i="1"/>
  <c r="A309" i="1"/>
  <c r="A370" i="1"/>
  <c r="A415" i="1"/>
  <c r="A535" i="1"/>
  <c r="A713" i="1"/>
  <c r="A982" i="1"/>
  <c r="A983" i="1"/>
  <c r="A1016" i="1"/>
  <c r="A1023" i="1"/>
  <c r="A1116" i="1"/>
  <c r="A1128" i="1"/>
  <c r="A1134" i="1"/>
  <c r="A1267" i="1"/>
  <c r="A1401" i="1"/>
  <c r="A84" i="1"/>
  <c r="A364" i="1"/>
  <c r="A484" i="1"/>
  <c r="A580" i="1"/>
  <c r="A625" i="1"/>
  <c r="A772" i="1"/>
  <c r="A801" i="1"/>
  <c r="A960" i="1"/>
  <c r="A1012" i="1"/>
  <c r="A1193" i="1"/>
  <c r="A1222" i="1"/>
  <c r="A1397" i="1"/>
  <c r="A263" i="1"/>
  <c r="A315" i="1"/>
  <c r="A406" i="1"/>
  <c r="A521" i="1"/>
  <c r="A608" i="1"/>
  <c r="A701" i="1"/>
  <c r="A964" i="1"/>
  <c r="A971" i="1"/>
  <c r="A987" i="1"/>
  <c r="A1087" i="1"/>
  <c r="A1258" i="1"/>
  <c r="A1377" i="1"/>
  <c r="A1399" i="1"/>
  <c r="A366" i="1"/>
  <c r="A480" i="1"/>
  <c r="A644" i="1"/>
  <c r="A896" i="1"/>
  <c r="A1044" i="1"/>
  <c r="A1284" i="1"/>
  <c r="A3" i="1"/>
  <c r="A61" i="1"/>
  <c r="A92" i="1"/>
  <c r="A146" i="1"/>
  <c r="A145" i="1"/>
  <c r="A143" i="1"/>
  <c r="A151" i="1"/>
  <c r="A154" i="1"/>
  <c r="A371" i="1"/>
  <c r="A442" i="1"/>
  <c r="A439" i="1"/>
  <c r="A590" i="1"/>
  <c r="A698" i="1"/>
  <c r="A790" i="1"/>
  <c r="A891" i="1"/>
  <c r="A890" i="1"/>
  <c r="A1108" i="1"/>
  <c r="A1109" i="1"/>
  <c r="A246" i="1"/>
  <c r="A867" i="1"/>
  <c r="A79" i="1"/>
  <c r="A766" i="1"/>
  <c r="A482" i="1"/>
  <c r="A665" i="1"/>
  <c r="A959" i="1"/>
  <c r="A1036" i="1"/>
  <c r="A1343" i="1"/>
  <c r="A368" i="1"/>
  <c r="A634" i="1"/>
  <c r="A649" i="1"/>
  <c r="A685" i="1"/>
  <c r="A11" i="1"/>
  <c r="A27" i="1"/>
  <c r="A46" i="1"/>
  <c r="A45" i="1"/>
  <c r="A47" i="1"/>
  <c r="A130" i="1"/>
  <c r="A339" i="1"/>
  <c r="A106" i="1"/>
  <c r="A234" i="1"/>
  <c r="A372" i="1"/>
  <c r="A365" i="1"/>
  <c r="A450" i="1"/>
  <c r="A452" i="1"/>
  <c r="A560" i="1"/>
  <c r="A655" i="1"/>
  <c r="A838" i="1"/>
  <c r="A862" i="1"/>
  <c r="A1078" i="1"/>
  <c r="A1112" i="1"/>
  <c r="A1223" i="1"/>
  <c r="A1286" i="1"/>
  <c r="A1056" i="1"/>
  <c r="A289" i="1"/>
  <c r="A558" i="1"/>
  <c r="A907" i="1"/>
  <c r="A1082" i="1"/>
  <c r="A1342" i="1"/>
  <c r="A469" i="1"/>
  <c r="A662" i="1"/>
  <c r="A248" i="1"/>
  <c r="A883" i="1"/>
  <c r="A759" i="1"/>
  <c r="A774" i="1"/>
  <c r="A977" i="1"/>
  <c r="A16" i="1"/>
  <c r="A56" i="1"/>
  <c r="A99" i="1"/>
  <c r="A140" i="1"/>
  <c r="A161" i="1"/>
  <c r="A218" i="1"/>
  <c r="A293" i="1"/>
  <c r="A373" i="1"/>
  <c r="A659" i="1"/>
  <c r="A714" i="1"/>
  <c r="A763" i="1"/>
  <c r="A761" i="1"/>
  <c r="A810" i="1"/>
  <c r="A859" i="1"/>
  <c r="A863" i="1"/>
  <c r="A994" i="1"/>
  <c r="A1080" i="1"/>
  <c r="A1218" i="1"/>
  <c r="A1204" i="1"/>
  <c r="A1215" i="1"/>
  <c r="A1289" i="1"/>
  <c r="A1394" i="1"/>
  <c r="A825" i="1"/>
  <c r="A932" i="1"/>
  <c r="A935" i="1"/>
  <c r="A967" i="1"/>
  <c r="A1067" i="1"/>
  <c r="A1064" i="1"/>
  <c r="A1076" i="1"/>
  <c r="A1123" i="1"/>
  <c r="A1131" i="1"/>
  <c r="A1132" i="1"/>
  <c r="A1206" i="1"/>
  <c r="A1407" i="1"/>
  <c r="A1382" i="1"/>
  <c r="A1385" i="1"/>
  <c r="A991" i="1"/>
  <c r="A1214" i="1"/>
  <c r="A1133" i="1"/>
  <c r="A893" i="1"/>
  <c r="A912" i="1"/>
  <c r="A1081" i="1"/>
  <c r="A684" i="1"/>
  <c r="A853" i="1"/>
  <c r="A904" i="1"/>
  <c r="A1033" i="1"/>
  <c r="A1386" i="1"/>
  <c r="A1383" i="1"/>
  <c r="A494" i="1"/>
  <c r="A514" i="1"/>
  <c r="A542" i="1"/>
  <c r="A600" i="1"/>
  <c r="A647" i="1"/>
  <c r="A645" i="1"/>
  <c r="A744" i="1"/>
  <c r="A841" i="1"/>
  <c r="A889" i="1"/>
  <c r="A986" i="1"/>
  <c r="A998" i="1"/>
  <c r="A1219" i="1"/>
  <c r="A911" i="1"/>
  <c r="A968" i="1"/>
  <c r="A1180" i="1"/>
  <c r="A1352" i="1"/>
  <c r="A724" i="1"/>
  <c r="A1101" i="1"/>
  <c r="A13" i="1"/>
  <c r="A162" i="1"/>
  <c r="A166" i="1"/>
  <c r="A241" i="1"/>
  <c r="A288" i="1"/>
  <c r="A388" i="1"/>
  <c r="A393" i="1"/>
  <c r="A446" i="1"/>
  <c r="A764" i="1"/>
  <c r="A854" i="1"/>
  <c r="A902" i="1"/>
  <c r="A952" i="1"/>
  <c r="A996" i="1"/>
  <c r="A1281" i="1"/>
  <c r="A1380" i="1"/>
  <c r="A447" i="1"/>
  <c r="A672" i="1"/>
  <c r="A581" i="1"/>
  <c r="A29" i="1"/>
  <c r="A86" i="1"/>
  <c r="A150" i="1"/>
  <c r="A186" i="1"/>
  <c r="A232" i="1"/>
  <c r="A357" i="1"/>
  <c r="A390" i="1"/>
  <c r="A431" i="1"/>
  <c r="A583" i="1"/>
  <c r="A586" i="1"/>
  <c r="A607" i="1"/>
  <c r="A658" i="1"/>
  <c r="A716" i="1"/>
  <c r="A978" i="1"/>
  <c r="A1027" i="1"/>
  <c r="A1070" i="1"/>
  <c r="A1379" i="1"/>
  <c r="A1381" i="1"/>
  <c r="A8" i="1"/>
  <c r="A44" i="1"/>
  <c r="A43" i="1"/>
  <c r="A60" i="1"/>
  <c r="A62" i="1"/>
  <c r="A219" i="1"/>
  <c r="A359" i="1"/>
  <c r="A378" i="1"/>
  <c r="A460" i="1"/>
  <c r="A548" i="1"/>
  <c r="A562" i="1"/>
  <c r="A657" i="1"/>
  <c r="A692" i="1"/>
  <c r="A707" i="1"/>
  <c r="A723" i="1"/>
  <c r="A755" i="1"/>
  <c r="A756" i="1"/>
  <c r="A757" i="1"/>
  <c r="A807" i="1"/>
  <c r="A806" i="1"/>
  <c r="A914" i="1"/>
  <c r="A910" i="1"/>
  <c r="A1095" i="1"/>
  <c r="A1093" i="1"/>
  <c r="A1119" i="1"/>
  <c r="A1376" i="1"/>
  <c r="A104" i="1"/>
  <c r="A141" i="1"/>
  <c r="A73" i="1"/>
  <c r="A117" i="1"/>
  <c r="A350" i="1"/>
  <c r="A459" i="1"/>
  <c r="A458" i="1"/>
  <c r="A508" i="1"/>
  <c r="A1129" i="1"/>
  <c r="A1161" i="1"/>
  <c r="A36" i="1"/>
  <c r="A169" i="1"/>
  <c r="A238" i="1"/>
  <c r="A245" i="1"/>
  <c r="A247" i="1"/>
  <c r="A348" i="1"/>
  <c r="A487" i="1"/>
  <c r="A503" i="1"/>
  <c r="A177" i="1"/>
  <c r="A68" i="1"/>
  <c r="A101" i="1"/>
  <c r="A110" i="1"/>
  <c r="A185" i="1"/>
  <c r="A224" i="1"/>
  <c r="A112" i="1"/>
  <c r="A225" i="1"/>
  <c r="A75" i="1"/>
  <c r="A74" i="1"/>
  <c r="A174" i="1"/>
  <c r="A93" i="1"/>
  <c r="A107" i="1"/>
  <c r="A181" i="1"/>
  <c r="A237" i="1"/>
  <c r="A78" i="1"/>
  <c r="A828" i="1"/>
  <c r="A849" i="1"/>
  <c r="A1007" i="1"/>
  <c r="A1077" i="1"/>
  <c r="A570" i="1"/>
  <c r="A1375" i="1"/>
  <c r="A1271" i="1"/>
  <c r="A440" i="1"/>
  <c r="A67" i="1"/>
  <c r="A131" i="1"/>
  <c r="A572" i="1"/>
  <c r="A1071" i="1"/>
  <c r="A1255" i="1"/>
  <c r="A133" i="1"/>
  <c r="A136" i="1"/>
  <c r="A195" i="1"/>
  <c r="A199" i="1"/>
  <c r="A252" i="1"/>
  <c r="A268" i="1"/>
  <c r="A273" i="1"/>
  <c r="A264" i="1"/>
  <c r="A320" i="1"/>
  <c r="A329" i="1"/>
  <c r="A316" i="1"/>
  <c r="A411" i="1"/>
  <c r="A424" i="1"/>
  <c r="A527" i="1"/>
  <c r="A538" i="1"/>
  <c r="A614" i="1"/>
  <c r="A621" i="1"/>
  <c r="A738" i="1"/>
  <c r="A747" i="1"/>
  <c r="A834" i="1"/>
  <c r="A843" i="1"/>
  <c r="A940" i="1"/>
  <c r="A947" i="1"/>
  <c r="A1039" i="1"/>
  <c r="A1046" i="1"/>
  <c r="A1149" i="1"/>
  <c r="A1158" i="1"/>
  <c r="A1236" i="1"/>
  <c r="A1243" i="1"/>
  <c r="A1294" i="1"/>
  <c r="A1316" i="1"/>
  <c r="A1320" i="1"/>
  <c r="A512" i="1"/>
  <c r="A1373" i="1"/>
  <c r="A955" i="1"/>
  <c r="A711" i="1"/>
  <c r="A897" i="1"/>
  <c r="A786" i="1"/>
  <c r="A134" i="1"/>
  <c r="A196" i="1"/>
  <c r="A270" i="1"/>
  <c r="A307" i="1"/>
  <c r="A325" i="1"/>
  <c r="A418" i="1"/>
  <c r="A532" i="1"/>
  <c r="A618" i="1"/>
  <c r="A742" i="1"/>
  <c r="A840" i="1"/>
  <c r="A945" i="1"/>
  <c r="A1043" i="1"/>
  <c r="A1156" i="1"/>
  <c r="A1241" i="1"/>
  <c r="A1318" i="1"/>
  <c r="A1371" i="1"/>
  <c r="A479" i="1"/>
  <c r="A1293" i="1"/>
  <c r="A888" i="1"/>
  <c r="A129" i="1"/>
  <c r="A193" i="1"/>
  <c r="A267" i="1"/>
  <c r="A318" i="1"/>
  <c r="A407" i="1"/>
  <c r="A524" i="1"/>
  <c r="A610" i="1"/>
  <c r="A734" i="1"/>
  <c r="A831" i="1"/>
  <c r="A824" i="1"/>
  <c r="A937" i="1"/>
  <c r="A1035" i="1"/>
  <c r="A1147" i="1"/>
  <c r="A1233" i="1"/>
  <c r="A1273" i="1"/>
  <c r="A1311" i="1"/>
  <c r="A21" i="1"/>
  <c r="A826" i="1"/>
  <c r="A269" i="1"/>
  <c r="A281" i="1"/>
  <c r="A282" i="1"/>
  <c r="A416" i="1"/>
  <c r="A523" i="1"/>
  <c r="A531" i="1"/>
  <c r="A830" i="1"/>
  <c r="A839" i="1"/>
  <c r="A1144" i="1"/>
  <c r="A1155" i="1"/>
  <c r="A254" i="1"/>
  <c r="A310" i="1"/>
  <c r="A690" i="1"/>
  <c r="A135" i="1"/>
  <c r="A197" i="1"/>
  <c r="A272" i="1"/>
  <c r="A326" i="1"/>
  <c r="A422" i="1"/>
  <c r="A488" i="1"/>
  <c r="A536" i="1"/>
  <c r="A577" i="1"/>
  <c r="A619" i="1"/>
  <c r="A695" i="1"/>
  <c r="A745" i="1"/>
  <c r="A842" i="1"/>
  <c r="A946" i="1"/>
  <c r="A1045" i="1"/>
  <c r="A1157" i="1"/>
  <c r="A1242" i="1"/>
  <c r="A1319" i="1"/>
  <c r="A374" i="1"/>
  <c r="A321" i="1"/>
  <c r="A322" i="1"/>
  <c r="A412" i="1"/>
  <c r="A413" i="1"/>
  <c r="A528" i="1"/>
  <c r="A529" i="1"/>
  <c r="A615" i="1"/>
  <c r="A616" i="1"/>
  <c r="A739" i="1"/>
  <c r="A740" i="1"/>
  <c r="A835" i="1"/>
  <c r="A836" i="1"/>
  <c r="A941" i="1"/>
  <c r="A942" i="1"/>
  <c r="A1040" i="1"/>
  <c r="A1041" i="1"/>
  <c r="A1150" i="1"/>
  <c r="A1151" i="1"/>
  <c r="A1237" i="1"/>
  <c r="A1238" i="1"/>
  <c r="A1314" i="1"/>
  <c r="A1313" i="1"/>
  <c r="A184" i="1"/>
  <c r="A198" i="1"/>
  <c r="A271" i="1"/>
  <c r="A327" i="1"/>
  <c r="A382" i="1"/>
  <c r="A423" i="1"/>
  <c r="A504" i="1"/>
  <c r="A537" i="1"/>
  <c r="A620" i="1"/>
  <c r="A746" i="1"/>
  <c r="A844" i="1"/>
  <c r="A868" i="1"/>
  <c r="A948" i="1"/>
  <c r="A1047" i="1"/>
  <c r="A1159" i="1"/>
  <c r="A1142" i="1"/>
  <c r="A1244" i="1"/>
  <c r="A1321" i="1"/>
  <c r="A1370" i="1"/>
  <c r="A128" i="1"/>
  <c r="A192" i="1"/>
  <c r="A253" i="1"/>
  <c r="A265" i="1"/>
  <c r="A266" i="1"/>
  <c r="A317" i="1"/>
  <c r="A477" i="1"/>
  <c r="A522" i="1"/>
  <c r="A609" i="1"/>
  <c r="A733" i="1"/>
  <c r="A829" i="1"/>
  <c r="A934" i="1"/>
  <c r="A1130" i="1"/>
  <c r="A1143" i="1"/>
  <c r="A1231" i="1"/>
  <c r="A1309" i="1"/>
  <c r="A65" i="1"/>
  <c r="A397" i="1"/>
  <c r="A752" i="1"/>
  <c r="A1099" i="1"/>
  <c r="A1232" i="1"/>
  <c r="A328" i="1"/>
  <c r="A873" i="1"/>
  <c r="A1279" i="1"/>
  <c r="A1369" i="1"/>
  <c r="A324" i="1"/>
  <c r="A360" i="1"/>
  <c r="A478" i="1"/>
  <c r="A481" i="1"/>
  <c r="A525" i="1"/>
  <c r="A611" i="1"/>
  <c r="A735" i="1"/>
  <c r="A832" i="1"/>
  <c r="A938" i="1"/>
  <c r="A936" i="1"/>
  <c r="A1051" i="1"/>
  <c r="A1034" i="1"/>
  <c r="A1146" i="1"/>
  <c r="A1234" i="1"/>
  <c r="A1310" i="1"/>
  <c r="A66" i="1"/>
  <c r="A323" i="1"/>
  <c r="A414" i="1"/>
  <c r="A530" i="1"/>
  <c r="A617" i="1"/>
  <c r="A741" i="1"/>
  <c r="A837" i="1"/>
  <c r="A943" i="1"/>
  <c r="A1042" i="1"/>
  <c r="A1152" i="1"/>
  <c r="A1239" i="1"/>
  <c r="A1315" i="1"/>
  <c r="A319" i="1"/>
  <c r="A408" i="1"/>
  <c r="A526" i="1"/>
  <c r="A612" i="1"/>
  <c r="A736" i="1"/>
  <c r="A833" i="1"/>
  <c r="A939" i="1"/>
  <c r="A1037" i="1"/>
  <c r="A1235" i="1"/>
  <c r="A1312" i="1"/>
  <c r="A138" i="1"/>
  <c r="A187" i="1"/>
  <c r="A200" i="1"/>
  <c r="A274" i="1"/>
  <c r="A330" i="1"/>
  <c r="A425" i="1"/>
  <c r="A489" i="1"/>
  <c r="A511" i="1"/>
  <c r="A539" i="1"/>
  <c r="A578" i="1"/>
  <c r="A579" i="1"/>
  <c r="A622" i="1"/>
  <c r="A694" i="1"/>
  <c r="A748" i="1"/>
  <c r="A804" i="1"/>
  <c r="A845" i="1"/>
  <c r="A915" i="1"/>
  <c r="A949" i="1"/>
  <c r="A1048" i="1"/>
  <c r="A1160" i="1"/>
  <c r="A1245" i="1"/>
  <c r="A1295" i="1"/>
  <c r="A1322" i="1"/>
  <c r="A1367" i="1"/>
  <c r="A1361" i="1"/>
  <c r="A682" i="1"/>
  <c r="A687" i="1"/>
  <c r="A688" i="1"/>
  <c r="A1104" i="1"/>
  <c r="A1114" i="1"/>
  <c r="A59" i="1"/>
  <c r="A1360" i="1"/>
  <c r="A77" i="1"/>
  <c r="A87" i="1"/>
  <c r="A153" i="1"/>
  <c r="A164" i="1"/>
  <c r="A178" i="1"/>
  <c r="A206" i="1"/>
  <c r="A212" i="1"/>
  <c r="A214" i="1"/>
  <c r="A217" i="1"/>
  <c r="A235" i="1"/>
  <c r="A301" i="1"/>
  <c r="A340" i="1"/>
  <c r="A347" i="1"/>
  <c r="A376" i="1"/>
  <c r="A430" i="1"/>
  <c r="A476" i="1"/>
  <c r="A519" i="1"/>
  <c r="A559" i="1"/>
  <c r="A637" i="1"/>
  <c r="A640" i="1"/>
  <c r="A702" i="1"/>
  <c r="A715" i="1"/>
  <c r="A730" i="1"/>
  <c r="A749" i="1"/>
  <c r="A789" i="1"/>
  <c r="A805" i="1"/>
  <c r="A811" i="1"/>
  <c r="A876" i="1"/>
  <c r="A921" i="1"/>
  <c r="A997" i="1"/>
  <c r="A1022" i="1"/>
  <c r="A1060" i="1"/>
  <c r="A1059" i="1"/>
  <c r="A1057" i="1"/>
  <c r="A1090" i="1"/>
  <c r="A1182" i="1"/>
  <c r="A1280" i="1"/>
  <c r="A1292" i="1"/>
  <c r="A1323" i="1"/>
  <c r="A1324" i="1"/>
  <c r="A1359" i="1"/>
  <c r="A1356" i="1"/>
  <c r="A565" i="1"/>
  <c r="A1353" i="1"/>
  <c r="A1338" i="1"/>
  <c r="A1350" i="1"/>
  <c r="A1179" i="1"/>
  <c r="A120" i="1"/>
  <c r="A239" i="1"/>
  <c r="A593" i="1"/>
  <c r="A705" i="1"/>
  <c r="A626" i="1"/>
  <c r="A1212" i="1"/>
  <c r="A255" i="1"/>
  <c r="A1188" i="1"/>
  <c r="A437" i="1"/>
  <c r="A534" i="1"/>
  <c r="A291" i="1"/>
  <c r="A567" i="1"/>
  <c r="A950" i="1"/>
  <c r="A1097" i="1"/>
  <c r="A1364" i="1"/>
  <c r="A798" i="1"/>
  <c r="A881" i="1"/>
  <c r="A900" i="1"/>
  <c r="A1074" i="1"/>
  <c r="A111" i="1"/>
  <c r="A208" i="1"/>
  <c r="A236" i="1"/>
  <c r="A257" i="1"/>
  <c r="A394" i="1"/>
  <c r="A563" i="1"/>
  <c r="A557" i="1"/>
  <c r="A575" i="1"/>
  <c r="A635" i="1"/>
  <c r="A663" i="1"/>
  <c r="A689" i="1"/>
  <c r="A765" i="1"/>
  <c r="A847" i="1"/>
  <c r="A857" i="1"/>
  <c r="A880" i="1"/>
  <c r="A965" i="1"/>
  <c r="A975" i="1"/>
  <c r="A981" i="1"/>
  <c r="A1224" i="1"/>
  <c r="A1265" i="1"/>
  <c r="A1285" i="1"/>
  <c r="A1349" i="1"/>
  <c r="A486" i="1"/>
  <c r="A96" i="1"/>
  <c r="A126" i="1"/>
  <c r="A228" i="1"/>
  <c r="A276" i="1"/>
  <c r="A332" i="1"/>
  <c r="A381" i="1"/>
  <c r="A449" i="1"/>
  <c r="A544" i="1"/>
  <c r="A613" i="1"/>
  <c r="A781" i="1"/>
  <c r="A879" i="1"/>
  <c r="A961" i="1"/>
  <c r="A1072" i="1"/>
  <c r="A1117" i="1"/>
  <c r="A1162" i="1"/>
  <c r="A1167" i="1"/>
  <c r="A1168" i="1"/>
  <c r="A1264" i="1"/>
  <c r="A1332" i="1"/>
  <c r="A155" i="1"/>
  <c r="A189" i="1"/>
  <c r="A221" i="1"/>
  <c r="A354" i="1"/>
  <c r="A435" i="1"/>
  <c r="A434" i="1"/>
  <c r="A653" i="1"/>
  <c r="A852" i="1"/>
  <c r="A1018" i="1"/>
  <c r="A1091" i="1"/>
  <c r="A1228" i="1"/>
  <c r="A1259" i="1"/>
  <c r="A1260" i="1"/>
  <c r="A1337" i="1"/>
  <c r="A1100" i="1"/>
  <c r="A1173" i="1"/>
  <c r="A1175" i="1"/>
  <c r="A729" i="1"/>
  <c r="A979" i="1"/>
  <c r="A1178" i="1"/>
  <c r="A1305" i="1"/>
  <c r="A1348" i="1"/>
  <c r="A113" i="1"/>
  <c r="A28" i="1"/>
  <c r="A283" i="1"/>
  <c r="A564" i="1"/>
  <c r="A877" i="1"/>
  <c r="A1038" i="1"/>
  <c r="A1054" i="1"/>
  <c r="A1347" i="1"/>
  <c r="A1344" i="1"/>
  <c r="A554" i="1"/>
  <c r="A769" i="1"/>
  <c r="A1019" i="1"/>
  <c r="A1351" i="1"/>
  <c r="A299" i="1"/>
  <c r="A566" i="1"/>
  <c r="A592" i="1"/>
  <c r="A944" i="1"/>
  <c r="A1096" i="1"/>
  <c r="A1103" i="1"/>
  <c r="A1363" i="1"/>
  <c r="A627" i="1"/>
  <c r="A696" i="1"/>
  <c r="A1213" i="1"/>
  <c r="A1254" i="1"/>
  <c r="A1187" i="1"/>
  <c r="A1227" i="1"/>
  <c r="A1269" i="1"/>
  <c r="A436" i="1"/>
  <c r="A500" i="1"/>
  <c r="A505" i="1"/>
  <c r="A533" i="1"/>
  <c r="A555" i="1"/>
  <c r="A779" i="1"/>
  <c r="A797" i="1"/>
  <c r="A815" i="1"/>
  <c r="A814" i="1"/>
  <c r="A882" i="1"/>
  <c r="A899" i="1"/>
  <c r="A958" i="1"/>
  <c r="A1004" i="1"/>
  <c r="A1073" i="1"/>
  <c r="A1229" i="1"/>
  <c r="A49" i="1"/>
  <c r="A48" i="1"/>
  <c r="A55" i="1"/>
  <c r="A294" i="1"/>
  <c r="A648" i="1"/>
  <c r="A642" i="1"/>
  <c r="A966" i="1"/>
  <c r="A973" i="1"/>
  <c r="A974" i="1"/>
  <c r="A1003" i="1"/>
  <c r="A1061" i="1"/>
  <c r="A1339" i="1"/>
  <c r="A14" i="1"/>
  <c r="A356" i="1"/>
  <c r="A700" i="1"/>
  <c r="A969" i="1"/>
  <c r="A1191" i="1"/>
  <c r="A1247" i="1"/>
  <c r="A507" i="1"/>
  <c r="A587" i="1"/>
  <c r="A1330" i="1"/>
  <c r="A22" i="1"/>
  <c r="A31" i="1"/>
  <c r="A100" i="1"/>
  <c r="A119" i="1"/>
  <c r="A168" i="1"/>
  <c r="A172" i="1"/>
  <c r="A377" i="1"/>
  <c r="A385" i="1"/>
  <c r="A395" i="1"/>
  <c r="A445" i="1"/>
  <c r="A466" i="1"/>
  <c r="A571" i="1"/>
  <c r="A638" i="1"/>
  <c r="A704" i="1"/>
  <c r="A802" i="1"/>
  <c r="A846" i="1"/>
  <c r="A599" i="1"/>
  <c r="A962" i="1"/>
  <c r="A1290" i="1"/>
  <c r="A1334" i="1"/>
  <c r="A158" i="1"/>
  <c r="A336" i="1"/>
  <c r="A585" i="1"/>
  <c r="A957" i="1"/>
  <c r="A1195" i="1"/>
  <c r="A352" i="1"/>
  <c r="A509" i="1"/>
  <c r="A24" i="1"/>
  <c r="A69" i="1"/>
  <c r="A108" i="1"/>
  <c r="A167" i="1"/>
  <c r="A194" i="1"/>
  <c r="A250" i="1"/>
  <c r="A295" i="1"/>
  <c r="A333" i="1"/>
  <c r="A402" i="1"/>
  <c r="A426" i="1"/>
  <c r="A451" i="1"/>
  <c r="A549" i="1"/>
  <c r="A633" i="1"/>
  <c r="A651" i="1"/>
  <c r="A674" i="1"/>
  <c r="A673" i="1"/>
  <c r="A699" i="1"/>
  <c r="A788" i="1"/>
  <c r="A800" i="1"/>
  <c r="A851" i="1"/>
  <c r="A850" i="1"/>
  <c r="A856" i="1"/>
  <c r="A875" i="1"/>
  <c r="A989" i="1"/>
  <c r="A990" i="1"/>
  <c r="A988" i="1"/>
  <c r="A1010" i="1"/>
  <c r="A1008" i="1"/>
  <c r="A1021" i="1"/>
  <c r="A1079" i="1"/>
  <c r="A1145" i="1"/>
  <c r="A1194" i="1"/>
  <c r="A1282" i="1"/>
  <c r="A1306" i="1"/>
  <c r="A1308" i="1"/>
  <c r="A1329" i="1"/>
  <c r="A1325" i="1"/>
  <c r="A335" i="1"/>
  <c r="A337" i="1"/>
  <c r="A180" i="1"/>
  <c r="A403" i="1"/>
  <c r="A589" i="1"/>
  <c r="A697" i="1"/>
  <c r="A895" i="1"/>
  <c r="A1094" i="1"/>
  <c r="A1328" i="1"/>
  <c r="A71" i="1"/>
  <c r="A85" i="1"/>
  <c r="A90" i="1"/>
  <c r="A89" i="1"/>
  <c r="A118" i="1"/>
  <c r="A160" i="1"/>
  <c r="A209" i="1"/>
  <c r="A223" i="1"/>
  <c r="A306" i="1"/>
  <c r="A432" i="1"/>
  <c r="A727" i="1"/>
  <c r="A751" i="1"/>
  <c r="A750" i="1"/>
  <c r="A803" i="1"/>
  <c r="A823" i="1"/>
  <c r="A871" i="1"/>
  <c r="A1120" i="1"/>
  <c r="A1198" i="1"/>
  <c r="A1220" i="1"/>
  <c r="A1256" i="1"/>
  <c r="A1358" i="1"/>
  <c r="A1372" i="1"/>
  <c r="A9" i="1"/>
  <c r="A10" i="1"/>
  <c r="A251" i="1"/>
  <c r="A256" i="1"/>
  <c r="A4" i="1"/>
  <c r="A30" i="1"/>
  <c r="A33" i="1"/>
  <c r="A40" i="1"/>
  <c r="A152" i="1"/>
  <c r="A190" i="1"/>
  <c r="A213" i="1"/>
  <c r="A240" i="1"/>
  <c r="A243" i="1"/>
  <c r="A298" i="1"/>
  <c r="A391" i="1"/>
  <c r="A429" i="1"/>
  <c r="A582" i="1"/>
  <c r="A650" i="1"/>
  <c r="A680" i="1"/>
  <c r="A710" i="1"/>
  <c r="A855" i="1"/>
  <c r="A872" i="1"/>
  <c r="A894" i="1"/>
  <c r="A1001" i="1"/>
  <c r="A1028" i="1"/>
  <c r="A1113" i="1"/>
  <c r="A1189" i="1"/>
  <c r="A1221" i="1"/>
  <c r="A1297" i="1"/>
  <c r="A1288" i="1"/>
  <c r="A1296" i="1"/>
  <c r="A1298" i="1"/>
  <c r="A204" i="1"/>
  <c r="A1053" i="1"/>
  <c r="A1049" i="1"/>
  <c r="A284" i="1"/>
  <c r="A362" i="1"/>
  <c r="A474" i="1"/>
  <c r="A623" i="1"/>
  <c r="A677" i="1"/>
  <c r="A678" i="1"/>
  <c r="A679" i="1"/>
  <c r="A1230" i="1"/>
  <c r="A552" i="1"/>
  <c r="A624" i="1"/>
  <c r="A743" i="1"/>
  <c r="A443" i="1"/>
  <c r="A302" i="1"/>
  <c r="A405" i="1"/>
  <c r="A455" i="1"/>
  <c r="A520" i="1"/>
  <c r="A780" i="1"/>
  <c r="A791" i="1"/>
  <c r="A661" i="1"/>
  <c r="A656" i="1"/>
  <c r="A808" i="1"/>
  <c r="A898" i="1"/>
  <c r="A901" i="1"/>
  <c r="A1063" i="1"/>
  <c r="A1181" i="1"/>
  <c r="A1283" i="1"/>
  <c r="A175" i="1"/>
  <c r="A233" i="1"/>
  <c r="A776" i="1"/>
  <c r="A1354" i="1"/>
  <c r="A249" i="1"/>
  <c r="A1275" i="1"/>
  <c r="A654" i="1"/>
  <c r="A760" i="1"/>
  <c r="A762" i="1"/>
  <c r="A906" i="1"/>
  <c r="A1031" i="1"/>
  <c r="A970" i="1"/>
  <c r="A1020" i="1"/>
  <c r="A1118" i="1"/>
  <c r="A1374" i="1"/>
  <c r="A1355" i="1"/>
  <c r="A1274" i="1"/>
  <c r="A1272" i="1"/>
  <c r="A278" i="1"/>
  <c r="A116" i="1"/>
  <c r="A25" i="1"/>
  <c r="A88" i="1"/>
  <c r="A188" i="1"/>
  <c r="A201" i="1"/>
  <c r="A349" i="1"/>
  <c r="A491" i="1"/>
  <c r="A753" i="1"/>
  <c r="A870" i="1"/>
  <c r="A1009" i="1"/>
  <c r="A54" i="1"/>
  <c r="A380" i="1"/>
  <c r="A717" i="1"/>
  <c r="A712" i="1"/>
  <c r="A922" i="1"/>
  <c r="A1002" i="1"/>
  <c r="A1062" i="1"/>
  <c r="A1086" i="1"/>
  <c r="A1277" i="1"/>
  <c r="A1336" i="1"/>
  <c r="A1257" i="1"/>
  <c r="A681" i="1"/>
  <c r="A670" i="1"/>
  <c r="A887" i="1"/>
  <c r="A919" i="1"/>
  <c r="A995" i="1"/>
  <c r="A652" i="1"/>
  <c r="A76" i="1"/>
  <c r="A165" i="1"/>
  <c r="A220" i="1"/>
  <c r="A285" i="1"/>
  <c r="A386" i="1"/>
  <c r="A473" i="1"/>
  <c r="A676" i="1"/>
  <c r="A726" i="1"/>
  <c r="A783" i="1"/>
  <c r="A858" i="1"/>
  <c r="A861" i="1"/>
  <c r="A1052" i="1"/>
  <c r="A1362" i="1"/>
  <c r="A6" i="1"/>
  <c r="A18" i="1"/>
  <c r="A20" i="1"/>
  <c r="A35" i="1"/>
  <c r="A52" i="1"/>
  <c r="A51" i="1"/>
  <c r="A81" i="1"/>
  <c r="A139" i="1"/>
  <c r="A156" i="1"/>
  <c r="A157" i="1"/>
  <c r="A202" i="1"/>
  <c r="A211" i="1"/>
  <c r="A222" i="1"/>
  <c r="A231" i="1"/>
  <c r="A290" i="1"/>
  <c r="A297" i="1"/>
  <c r="A341" i="1"/>
  <c r="A345" i="1"/>
  <c r="A353" i="1"/>
  <c r="A355" i="1"/>
  <c r="A409" i="1"/>
  <c r="A421" i="1"/>
  <c r="A417" i="1"/>
  <c r="A428" i="1"/>
  <c r="A441" i="1"/>
  <c r="A461" i="1"/>
  <c r="A457" i="1"/>
  <c r="A465" i="1"/>
  <c r="A464" i="1"/>
  <c r="A485" i="1"/>
  <c r="A496" i="1"/>
  <c r="A502" i="1"/>
  <c r="A556" i="1"/>
  <c r="A722" i="1"/>
  <c r="A771" i="1"/>
  <c r="A878" i="1"/>
  <c r="A954" i="1"/>
  <c r="A951" i="1"/>
  <c r="A985" i="1"/>
  <c r="A1058" i="1"/>
  <c r="A1088" i="1"/>
  <c r="A1190" i="1"/>
  <c r="A1211" i="1"/>
  <c r="A1209" i="1"/>
  <c r="A1250" i="1"/>
  <c r="A1248" i="1"/>
  <c r="A1253" i="1"/>
  <c r="A342" i="1"/>
  <c r="A369" i="1"/>
  <c r="A884" i="1"/>
  <c r="A886" i="1"/>
  <c r="A1065" i="1"/>
  <c r="A1287" i="1"/>
  <c r="A163" i="1"/>
  <c r="A191" i="1"/>
  <c r="A300" i="1"/>
  <c r="A456" i="1"/>
  <c r="A498" i="1"/>
  <c r="A569" i="1"/>
  <c r="A668" i="1"/>
  <c r="A984" i="1"/>
  <c r="A1196" i="1"/>
  <c r="A32" i="1"/>
  <c r="A37" i="1"/>
  <c r="A82" i="1"/>
  <c r="A159" i="1"/>
  <c r="A215" i="1"/>
  <c r="A229" i="1"/>
  <c r="A280" i="1"/>
  <c r="A344" i="1"/>
  <c r="A375" i="1"/>
  <c r="A419" i="1"/>
  <c r="A438" i="1"/>
  <c r="A454" i="1"/>
  <c r="A551" i="1"/>
  <c r="A591" i="1"/>
  <c r="A675" i="1"/>
  <c r="A784" i="1"/>
  <c r="A864" i="1"/>
  <c r="A953" i="1"/>
  <c r="A1017" i="1"/>
  <c r="A1069" i="1"/>
  <c r="A1171" i="1"/>
  <c r="A1192" i="1"/>
  <c r="A1268" i="1"/>
  <c r="A1252" i="1"/>
  <c r="A1249" i="1"/>
  <c r="A1393" i="1"/>
  <c r="A1388" i="1"/>
  <c r="A1391" i="1"/>
  <c r="A1390" i="1"/>
  <c r="A1392" i="1"/>
  <c r="A1389" i="1"/>
  <c r="A1246" i="1"/>
  <c r="A1226" i="1"/>
  <c r="A1225" i="1"/>
  <c r="A1207" i="1"/>
  <c r="A1205" i="1"/>
  <c r="A1414" i="1"/>
  <c r="A1413" i="1"/>
  <c r="A1416" i="1"/>
  <c r="A666" i="1"/>
  <c r="C1014" i="1"/>
  <c r="B1014" i="1" s="1"/>
  <c r="C5" i="1"/>
  <c r="B5" i="1" s="1"/>
  <c r="C39" i="1"/>
  <c r="B39" i="1" s="1"/>
  <c r="C41" i="1"/>
  <c r="B41" i="1" s="1"/>
  <c r="C286" i="1"/>
  <c r="B286" i="1" s="1"/>
  <c r="C287" i="1"/>
  <c r="B287" i="1" s="1"/>
  <c r="C383" i="1"/>
  <c r="B383" i="1" s="1"/>
  <c r="C547" i="1"/>
  <c r="B547" i="1" s="1"/>
  <c r="C660" i="1"/>
  <c r="B660" i="1" s="1"/>
  <c r="C913" i="1"/>
  <c r="B913" i="1" s="1"/>
  <c r="C1174" i="1"/>
  <c r="B1174" i="1" s="1"/>
  <c r="C1176" i="1"/>
  <c r="B1176" i="1" s="1"/>
  <c r="C171" i="1"/>
  <c r="B171" i="1" s="1"/>
  <c r="C493" i="1"/>
  <c r="B493" i="1" s="1"/>
  <c r="C506" i="1"/>
  <c r="B506" i="1" s="1"/>
  <c r="C597" i="1"/>
  <c r="B597" i="1" s="1"/>
  <c r="C768" i="1"/>
  <c r="B768" i="1" s="1"/>
  <c r="C918" i="1"/>
  <c r="B918" i="1" s="1"/>
  <c r="C924" i="1"/>
  <c r="B924" i="1" s="1"/>
  <c r="C1006" i="1"/>
  <c r="B1006" i="1" s="1"/>
  <c r="C1199" i="1"/>
  <c r="B1199" i="1" s="1"/>
  <c r="C1341" i="1"/>
  <c r="B1341" i="1" s="1"/>
  <c r="C909" i="1"/>
  <c r="B909" i="1" s="1"/>
  <c r="C908" i="1"/>
  <c r="B908" i="1" s="1"/>
  <c r="C905" i="1"/>
  <c r="B905" i="1" s="1"/>
  <c r="C470" i="1"/>
  <c r="B470" i="1" s="1"/>
  <c r="C467" i="1"/>
  <c r="B467" i="1" s="1"/>
  <c r="C793" i="1"/>
  <c r="B793" i="1" s="1"/>
  <c r="C358" i="1"/>
  <c r="B358" i="1" s="1"/>
  <c r="C7" i="1"/>
  <c r="B7" i="1" s="1"/>
  <c r="C12" i="1"/>
  <c r="B12" i="1" s="1"/>
  <c r="C34" i="1"/>
  <c r="B34" i="1" s="1"/>
  <c r="C83" i="1"/>
  <c r="B83" i="1" s="1"/>
  <c r="C102" i="1"/>
  <c r="B102" i="1" s="1"/>
  <c r="C182" i="1"/>
  <c r="B182" i="1" s="1"/>
  <c r="C207" i="1"/>
  <c r="B207" i="1" s="1"/>
  <c r="C279" i="1"/>
  <c r="B279" i="1" s="1"/>
  <c r="C305" i="1"/>
  <c r="B305" i="1" s="1"/>
  <c r="C389" i="1"/>
  <c r="B389" i="1" s="1"/>
  <c r="C463" i="1"/>
  <c r="B463" i="1" s="1"/>
  <c r="C513" i="1"/>
  <c r="B513" i="1" s="1"/>
  <c r="C553" i="1"/>
  <c r="B553" i="1" s="1"/>
  <c r="C628" i="1"/>
  <c r="B628" i="1" s="1"/>
  <c r="C629" i="1"/>
  <c r="B629" i="1" s="1"/>
  <c r="C671" i="1"/>
  <c r="B671" i="1" s="1"/>
  <c r="C758" i="1"/>
  <c r="B758" i="1" s="1"/>
  <c r="C792" i="1"/>
  <c r="B792" i="1" s="1"/>
  <c r="C813" i="1"/>
  <c r="B813" i="1" s="1"/>
  <c r="C917" i="1"/>
  <c r="B917" i="1" s="1"/>
  <c r="C1111" i="1"/>
  <c r="B1111" i="1" s="1"/>
  <c r="C1125" i="1"/>
  <c r="B1125" i="1" s="1"/>
  <c r="C1184" i="1"/>
  <c r="B1184" i="1" s="1"/>
  <c r="C1185" i="1"/>
  <c r="B1185" i="1" s="1"/>
  <c r="C1251" i="1"/>
  <c r="B1251" i="1" s="1"/>
  <c r="C1412" i="1"/>
  <c r="B1412" i="1" s="1"/>
  <c r="C38" i="1"/>
  <c r="B38" i="1" s="1"/>
  <c r="C543" i="1"/>
  <c r="B543" i="1" s="1"/>
  <c r="C545" i="1"/>
  <c r="B545" i="1" s="1"/>
  <c r="C903" i="1"/>
  <c r="B903" i="1" s="1"/>
  <c r="C925" i="1"/>
  <c r="B925" i="1" s="1"/>
  <c r="C1210" i="1"/>
  <c r="B1210" i="1" s="1"/>
  <c r="C17" i="1"/>
  <c r="B17" i="1" s="1"/>
  <c r="C149" i="1"/>
  <c r="B149" i="1" s="1"/>
  <c r="C183" i="1"/>
  <c r="B183" i="1" s="1"/>
  <c r="C427" i="1"/>
  <c r="B427" i="1" s="1"/>
  <c r="C483" i="1"/>
  <c r="B483" i="1" s="1"/>
  <c r="C605" i="1"/>
  <c r="B605" i="1" s="1"/>
  <c r="C767" i="1"/>
  <c r="B767" i="1" s="1"/>
  <c r="C865" i="1"/>
  <c r="B865" i="1" s="1"/>
  <c r="C980" i="1"/>
  <c r="B980" i="1" s="1"/>
  <c r="C1110" i="1"/>
  <c r="B1110" i="1" s="1"/>
  <c r="C1202" i="1"/>
  <c r="B1202" i="1" s="1"/>
  <c r="C26" i="1"/>
  <c r="B26" i="1" s="1"/>
  <c r="C50" i="1"/>
  <c r="B50" i="1" s="1"/>
  <c r="C57" i="1"/>
  <c r="B57" i="1" s="1"/>
  <c r="C142" i="1"/>
  <c r="B142" i="1" s="1"/>
  <c r="C1153" i="1"/>
  <c r="B1153" i="1" s="1"/>
  <c r="C115" i="1"/>
  <c r="B115" i="1" s="1"/>
  <c r="C137" i="1"/>
  <c r="B137" i="1" s="1"/>
  <c r="C203" i="1"/>
  <c r="B203" i="1" s="1"/>
  <c r="C242" i="1"/>
  <c r="B242" i="1" s="1"/>
  <c r="C292" i="1"/>
  <c r="B292" i="1" s="1"/>
  <c r="C367" i="1"/>
  <c r="B367" i="1" s="1"/>
  <c r="C499" i="1"/>
  <c r="B499" i="1" s="1"/>
  <c r="C561" i="1"/>
  <c r="B561" i="1" s="1"/>
  <c r="C646" i="1"/>
  <c r="B646" i="1" s="1"/>
  <c r="C693" i="1"/>
  <c r="B693" i="1" s="1"/>
  <c r="C782" i="1"/>
  <c r="B782" i="1" s="1"/>
  <c r="C812" i="1"/>
  <c r="B812" i="1" s="1"/>
  <c r="C920" i="1"/>
  <c r="B920" i="1" s="1"/>
  <c r="C972" i="1"/>
  <c r="B972" i="1" s="1"/>
  <c r="C1013" i="1"/>
  <c r="B1013" i="1" s="1"/>
  <c r="C1083" i="1"/>
  <c r="B1083" i="1" s="1"/>
  <c r="C1089" i="1"/>
  <c r="B1089" i="1" s="1"/>
  <c r="C1148" i="1"/>
  <c r="B1148" i="1" s="1"/>
  <c r="C1186" i="1"/>
  <c r="B1186" i="1" s="1"/>
  <c r="C1197" i="1"/>
  <c r="B1197" i="1" s="1"/>
  <c r="C1276" i="1"/>
  <c r="B1276" i="1" s="1"/>
  <c r="C1317" i="1"/>
  <c r="B1317" i="1" s="1"/>
  <c r="C1365" i="1"/>
  <c r="B1365" i="1" s="1"/>
  <c r="C1409" i="1"/>
  <c r="B1409" i="1" s="1"/>
  <c r="C1105" i="1"/>
  <c r="B1105" i="1" s="1"/>
  <c r="C1106" i="1"/>
  <c r="B1106" i="1" s="1"/>
  <c r="C1357" i="1"/>
  <c r="B1357" i="1" s="1"/>
  <c r="C1368" i="1"/>
  <c r="B1368" i="1" s="1"/>
  <c r="C121" i="1"/>
  <c r="B121" i="1" s="1"/>
  <c r="C122" i="1"/>
  <c r="B122" i="1" s="1"/>
  <c r="C124" i="1"/>
  <c r="B124" i="1" s="1"/>
  <c r="C123" i="1"/>
  <c r="B123" i="1" s="1"/>
  <c r="C125" i="1"/>
  <c r="B125" i="1" s="1"/>
  <c r="C468" i="1"/>
  <c r="B468" i="1" s="1"/>
  <c r="C568" i="1"/>
  <c r="B568" i="1" s="1"/>
  <c r="C598" i="1"/>
  <c r="B598" i="1" s="1"/>
  <c r="C595" i="1"/>
  <c r="B595" i="1" s="1"/>
  <c r="C596" i="1"/>
  <c r="B596" i="1" s="1"/>
  <c r="C636" i="1"/>
  <c r="B636" i="1" s="1"/>
  <c r="C641" i="1"/>
  <c r="B641" i="1" s="1"/>
  <c r="C667" i="1"/>
  <c r="B667" i="1" s="1"/>
  <c r="C719" i="1"/>
  <c r="B719" i="1" s="1"/>
  <c r="C718" i="1"/>
  <c r="B718" i="1" s="1"/>
  <c r="C720" i="1"/>
  <c r="B720" i="1" s="1"/>
  <c r="C721" i="1"/>
  <c r="B721" i="1" s="1"/>
  <c r="C725" i="1"/>
  <c r="B725" i="1" s="1"/>
  <c r="C731" i="1"/>
  <c r="B731" i="1" s="1"/>
  <c r="C799" i="1"/>
  <c r="B799" i="1" s="1"/>
  <c r="C817" i="1"/>
  <c r="B817" i="1" s="1"/>
  <c r="C819" i="1"/>
  <c r="B819" i="1" s="1"/>
  <c r="C820" i="1"/>
  <c r="B820" i="1" s="1"/>
  <c r="C818" i="1"/>
  <c r="B818" i="1" s="1"/>
  <c r="C816" i="1"/>
  <c r="B816" i="1" s="1"/>
  <c r="C822" i="1"/>
  <c r="B822" i="1" s="1"/>
  <c r="C916" i="1"/>
  <c r="B916" i="1" s="1"/>
  <c r="C923" i="1"/>
  <c r="B923" i="1" s="1"/>
  <c r="C929" i="1"/>
  <c r="B929" i="1" s="1"/>
  <c r="C928" i="1"/>
  <c r="B928" i="1" s="1"/>
  <c r="C927" i="1"/>
  <c r="B927" i="1" s="1"/>
  <c r="C930" i="1"/>
  <c r="B930" i="1" s="1"/>
  <c r="C931" i="1"/>
  <c r="B931" i="1" s="1"/>
  <c r="C933" i="1"/>
  <c r="B933" i="1" s="1"/>
  <c r="C963" i="1"/>
  <c r="B963" i="1" s="1"/>
  <c r="C999" i="1"/>
  <c r="B999" i="1" s="1"/>
  <c r="C1005" i="1"/>
  <c r="B1005" i="1" s="1"/>
  <c r="C1026" i="1"/>
  <c r="B1026" i="1" s="1"/>
  <c r="C1024" i="1"/>
  <c r="B1024" i="1" s="1"/>
  <c r="C1030" i="1"/>
  <c r="B1030" i="1" s="1"/>
  <c r="C1029" i="1"/>
  <c r="B1029" i="1" s="1"/>
  <c r="C1025" i="1"/>
  <c r="B1025" i="1" s="1"/>
  <c r="C1032" i="1"/>
  <c r="B1032" i="1" s="1"/>
  <c r="C1055" i="1"/>
  <c r="B1055" i="1" s="1"/>
  <c r="C1115" i="1"/>
  <c r="B1115" i="1" s="1"/>
  <c r="C1137" i="1"/>
  <c r="B1137" i="1" s="1"/>
  <c r="C1136" i="1"/>
  <c r="B1136" i="1" s="1"/>
  <c r="C1140" i="1"/>
  <c r="B1140" i="1" s="1"/>
  <c r="C1138" i="1"/>
  <c r="B1138" i="1" s="1"/>
  <c r="C1139" i="1"/>
  <c r="B1139" i="1" s="1"/>
  <c r="C1141" i="1"/>
  <c r="B1141" i="1" s="1"/>
  <c r="C1300" i="1"/>
  <c r="B1300" i="1" s="1"/>
  <c r="C1301" i="1"/>
  <c r="B1301" i="1" s="1"/>
  <c r="C1303" i="1"/>
  <c r="B1303" i="1" s="1"/>
  <c r="C1302" i="1"/>
  <c r="B1302" i="1" s="1"/>
  <c r="C1307" i="1"/>
  <c r="B1307" i="1" s="1"/>
  <c r="C1304" i="1"/>
  <c r="B1304" i="1" s="1"/>
  <c r="C706" i="1"/>
  <c r="B706" i="1" s="1"/>
  <c r="C410" i="1"/>
  <c r="B410" i="1" s="1"/>
  <c r="C1011" i="1"/>
  <c r="B1011" i="1" s="1"/>
  <c r="C230" i="1"/>
  <c r="B230" i="1" s="1"/>
  <c r="C1400" i="1"/>
  <c r="B1400" i="1" s="1"/>
  <c r="C2" i="1"/>
  <c r="B2" i="1" s="1"/>
  <c r="C19" i="1"/>
  <c r="B19" i="1" s="1"/>
  <c r="C23" i="1"/>
  <c r="B23" i="1" s="1"/>
  <c r="C420" i="1"/>
  <c r="B420" i="1" s="1"/>
  <c r="C540" i="1"/>
  <c r="B540" i="1" s="1"/>
  <c r="C639" i="1"/>
  <c r="B639" i="1" s="1"/>
  <c r="C728" i="1"/>
  <c r="B728" i="1" s="1"/>
  <c r="C992" i="1"/>
  <c r="B992" i="1" s="1"/>
  <c r="C1164" i="1"/>
  <c r="B1164" i="1" s="1"/>
  <c r="C1172" i="1"/>
  <c r="B1172" i="1" s="1"/>
  <c r="C1201" i="1"/>
  <c r="B1201" i="1" s="1"/>
  <c r="C1216" i="1"/>
  <c r="B1216" i="1" s="1"/>
  <c r="C331" i="1"/>
  <c r="B331" i="1" s="1"/>
  <c r="C1217" i="1"/>
  <c r="B1217" i="1" s="1"/>
  <c r="C1299" i="1"/>
  <c r="B1299" i="1" s="1"/>
  <c r="C42" i="1"/>
  <c r="B42" i="1" s="1"/>
  <c r="C1177" i="1"/>
  <c r="B1177" i="1" s="1"/>
  <c r="C1327" i="1"/>
  <c r="B1327" i="1" s="1"/>
  <c r="C703" i="1"/>
  <c r="B703" i="1" s="1"/>
  <c r="C737" i="1"/>
  <c r="B737" i="1" s="1"/>
  <c r="C848" i="1"/>
  <c r="B848" i="1" s="1"/>
  <c r="C15" i="1"/>
  <c r="B15" i="1" s="1"/>
  <c r="C63" i="1"/>
  <c r="B63" i="1" s="1"/>
  <c r="C72" i="1"/>
  <c r="B72" i="1" s="1"/>
  <c r="C1135" i="1"/>
  <c r="B1135" i="1" s="1"/>
  <c r="C1166" i="1"/>
  <c r="B1166" i="1" s="1"/>
  <c r="C303" i="1"/>
  <c r="B303" i="1" s="1"/>
  <c r="C1050" i="1"/>
  <c r="B1050" i="1" s="1"/>
  <c r="C70" i="1"/>
  <c r="B70" i="1" s="1"/>
  <c r="C91" i="1"/>
  <c r="B91" i="1" s="1"/>
  <c r="C114" i="1"/>
  <c r="B114" i="1" s="1"/>
  <c r="C148" i="1"/>
  <c r="B148" i="1" s="1"/>
  <c r="C346" i="1"/>
  <c r="B346" i="1" s="1"/>
  <c r="C363" i="1"/>
  <c r="B363" i="1" s="1"/>
  <c r="C398" i="1"/>
  <c r="B398" i="1" s="1"/>
  <c r="C448" i="1"/>
  <c r="B448" i="1" s="1"/>
  <c r="C510" i="1"/>
  <c r="B510" i="1" s="1"/>
  <c r="C573" i="1"/>
  <c r="B573" i="1" s="1"/>
  <c r="C686" i="1"/>
  <c r="B686" i="1" s="1"/>
  <c r="C866" i="1"/>
  <c r="B866" i="1" s="1"/>
  <c r="C1066" i="1"/>
  <c r="B1066" i="1" s="1"/>
  <c r="C1124" i="1"/>
  <c r="B1124" i="1" s="1"/>
  <c r="C1262" i="1"/>
  <c r="B1262" i="1" s="1"/>
  <c r="C1333" i="1"/>
  <c r="B1333" i="1" s="1"/>
  <c r="C1345" i="1"/>
  <c r="B1345" i="1" s="1"/>
  <c r="C1366" i="1"/>
  <c r="B1366" i="1" s="1"/>
  <c r="C501" i="1"/>
  <c r="B501" i="1" s="1"/>
  <c r="C1098" i="1"/>
  <c r="B1098" i="1" s="1"/>
  <c r="C105" i="1"/>
  <c r="B105" i="1" s="1"/>
  <c r="C170" i="1"/>
  <c r="B170" i="1" s="1"/>
  <c r="C796" i="1"/>
  <c r="B796" i="1" s="1"/>
  <c r="C993" i="1"/>
  <c r="B993" i="1" s="1"/>
  <c r="C604" i="1"/>
  <c r="B604" i="1" s="1"/>
  <c r="C80" i="1"/>
  <c r="B80" i="1" s="1"/>
  <c r="C97" i="1"/>
  <c r="B97" i="1" s="1"/>
  <c r="C127" i="1"/>
  <c r="B127" i="1" s="1"/>
  <c r="C227" i="1"/>
  <c r="B227" i="1" s="1"/>
  <c r="C275" i="1"/>
  <c r="B275" i="1" s="1"/>
  <c r="C1122" i="1"/>
  <c r="B1122" i="1" s="1"/>
  <c r="C1163" i="1"/>
  <c r="B1163" i="1" s="1"/>
  <c r="C1261" i="1"/>
  <c r="B1261" i="1" s="1"/>
  <c r="C1331" i="1"/>
  <c r="B1331" i="1" s="1"/>
  <c r="C691" i="1"/>
  <c r="B691" i="1" s="1"/>
  <c r="C732" i="1"/>
  <c r="B732" i="1" s="1"/>
  <c r="C64" i="1"/>
  <c r="B64" i="1" s="1"/>
  <c r="C132" i="1"/>
  <c r="B132" i="1" s="1"/>
  <c r="C472" i="1"/>
  <c r="B472" i="1" s="1"/>
  <c r="C471" i="1"/>
  <c r="B471" i="1" s="1"/>
  <c r="C475" i="1"/>
  <c r="B475" i="1" s="1"/>
  <c r="C576" i="1"/>
  <c r="B576" i="1" s="1"/>
  <c r="C631" i="1"/>
  <c r="B631" i="1" s="1"/>
  <c r="C669" i="1"/>
  <c r="B669" i="1" s="1"/>
  <c r="C1084" i="1"/>
  <c r="B1084" i="1" s="1"/>
  <c r="C1085" i="1"/>
  <c r="B1085" i="1" s="1"/>
  <c r="C384" i="1"/>
  <c r="B384" i="1" s="1"/>
  <c r="C495" i="1"/>
  <c r="B495" i="1" s="1"/>
  <c r="C775" i="1"/>
  <c r="B775" i="1" s="1"/>
  <c r="C785" i="1"/>
  <c r="B785" i="1" s="1"/>
  <c r="C1102" i="1"/>
  <c r="B1102" i="1" s="1"/>
  <c r="C1126" i="1"/>
  <c r="B1126" i="1" s="1"/>
  <c r="C1406" i="1"/>
  <c r="B1406" i="1" s="1"/>
  <c r="C1405" i="1"/>
  <c r="B1405" i="1" s="1"/>
  <c r="C259" i="1"/>
  <c r="B259" i="1" s="1"/>
  <c r="C312" i="1"/>
  <c r="B312" i="1" s="1"/>
  <c r="C396" i="1"/>
  <c r="B396" i="1" s="1"/>
  <c r="C515" i="1"/>
  <c r="B515" i="1" s="1"/>
  <c r="C601" i="1"/>
  <c r="B601" i="1" s="1"/>
  <c r="C462" i="1"/>
  <c r="B462" i="1" s="1"/>
  <c r="C584" i="1"/>
  <c r="B584" i="1" s="1"/>
  <c r="C260" i="1"/>
  <c r="B260" i="1" s="1"/>
  <c r="C313" i="1"/>
  <c r="B313" i="1" s="1"/>
  <c r="C404" i="1"/>
  <c r="B404" i="1" s="1"/>
  <c r="C516" i="1"/>
  <c r="B516" i="1" s="1"/>
  <c r="C602" i="1"/>
  <c r="B602" i="1" s="1"/>
  <c r="C103" i="1"/>
  <c r="B103" i="1" s="1"/>
  <c r="C147" i="1"/>
  <c r="B147" i="1" s="1"/>
  <c r="C173" i="1"/>
  <c r="B173" i="1" s="1"/>
  <c r="C176" i="1"/>
  <c r="B176" i="1" s="1"/>
  <c r="C205" i="1"/>
  <c r="B205" i="1" s="1"/>
  <c r="C216" i="1"/>
  <c r="B216" i="1" s="1"/>
  <c r="C226" i="1"/>
  <c r="B226" i="1" s="1"/>
  <c r="C258" i="1"/>
  <c r="B258" i="1" s="1"/>
  <c r="C277" i="1"/>
  <c r="B277" i="1" s="1"/>
  <c r="C296" i="1"/>
  <c r="B296" i="1" s="1"/>
  <c r="C308" i="1"/>
  <c r="B308" i="1" s="1"/>
  <c r="C334" i="1"/>
  <c r="B334" i="1" s="1"/>
  <c r="C351" i="1"/>
  <c r="B351" i="1" s="1"/>
  <c r="C361" i="1"/>
  <c r="B361" i="1" s="1"/>
  <c r="C379" i="1"/>
  <c r="B379" i="1" s="1"/>
  <c r="C392" i="1"/>
  <c r="B392" i="1" s="1"/>
  <c r="C399" i="1"/>
  <c r="B399" i="1" s="1"/>
  <c r="C433" i="1"/>
  <c r="B433" i="1" s="1"/>
  <c r="C453" i="1"/>
  <c r="B453" i="1" s="1"/>
  <c r="C497" i="1"/>
  <c r="B497" i="1" s="1"/>
  <c r="C546" i="1"/>
  <c r="B546" i="1" s="1"/>
  <c r="C574" i="1"/>
  <c r="B574" i="1" s="1"/>
  <c r="C588" i="1"/>
  <c r="B588" i="1" s="1"/>
  <c r="C632" i="1"/>
  <c r="B632" i="1" s="1"/>
  <c r="C643" i="1"/>
  <c r="B643" i="1" s="1"/>
  <c r="C664" i="1"/>
  <c r="B664" i="1" s="1"/>
  <c r="C709" i="1"/>
  <c r="B709" i="1" s="1"/>
  <c r="C708" i="1"/>
  <c r="B708" i="1" s="1"/>
  <c r="C754" i="1"/>
  <c r="B754" i="1" s="1"/>
  <c r="C787" i="1"/>
  <c r="B787" i="1" s="1"/>
  <c r="C794" i="1"/>
  <c r="B794" i="1" s="1"/>
  <c r="C821" i="1"/>
  <c r="B821" i="1" s="1"/>
  <c r="C860" i="1"/>
  <c r="B860" i="1" s="1"/>
  <c r="C874" i="1"/>
  <c r="B874" i="1" s="1"/>
  <c r="C892" i="1"/>
  <c r="B892" i="1" s="1"/>
  <c r="C926" i="1"/>
  <c r="B926" i="1" s="1"/>
  <c r="C956" i="1"/>
  <c r="B956" i="1" s="1"/>
  <c r="C976" i="1"/>
  <c r="B976" i="1" s="1"/>
  <c r="C1000" i="1"/>
  <c r="B1000" i="1" s="1"/>
  <c r="C1015" i="1"/>
  <c r="B1015" i="1" s="1"/>
  <c r="C1068" i="1"/>
  <c r="B1068" i="1" s="1"/>
  <c r="C1092" i="1"/>
  <c r="B1092" i="1" s="1"/>
  <c r="C1107" i="1"/>
  <c r="B1107" i="1" s="1"/>
  <c r="C1127" i="1"/>
  <c r="B1127" i="1" s="1"/>
  <c r="C1169" i="1"/>
  <c r="B1169" i="1" s="1"/>
  <c r="C1183" i="1"/>
  <c r="B1183" i="1" s="1"/>
  <c r="C1200" i="1"/>
  <c r="B1200" i="1" s="1"/>
  <c r="C1240" i="1"/>
  <c r="B1240" i="1" s="1"/>
  <c r="C1263" i="1"/>
  <c r="B1263" i="1" s="1"/>
  <c r="C1278" i="1"/>
  <c r="B1278" i="1" s="1"/>
  <c r="C1291" i="1"/>
  <c r="B1291" i="1" s="1"/>
  <c r="C1326" i="1"/>
  <c r="B1326" i="1" s="1"/>
  <c r="C1346" i="1"/>
  <c r="B1346" i="1" s="1"/>
  <c r="C1384" i="1"/>
  <c r="B1384" i="1" s="1"/>
  <c r="C490" i="1"/>
  <c r="B490" i="1" s="1"/>
  <c r="C492" i="1"/>
  <c r="B492" i="1" s="1"/>
  <c r="C770" i="1"/>
  <c r="B770" i="1" s="1"/>
  <c r="C778" i="1"/>
  <c r="B778" i="1" s="1"/>
  <c r="C809" i="1"/>
  <c r="B809" i="1" s="1"/>
  <c r="C885" i="1"/>
  <c r="B885" i="1" s="1"/>
  <c r="C1075" i="1"/>
  <c r="B1075" i="1" s="1"/>
  <c r="C1208" i="1"/>
  <c r="B1208" i="1" s="1"/>
  <c r="C1270" i="1"/>
  <c r="B1270" i="1" s="1"/>
  <c r="C1340" i="1"/>
  <c r="B1340" i="1" s="1"/>
  <c r="C1398" i="1"/>
  <c r="B1398" i="1" s="1"/>
  <c r="C1402" i="1"/>
  <c r="B1402" i="1" s="1"/>
  <c r="C58" i="1"/>
  <c r="B58" i="1" s="1"/>
  <c r="C343" i="1"/>
  <c r="B343" i="1" s="1"/>
  <c r="C541" i="1"/>
  <c r="B541" i="1" s="1"/>
  <c r="C594" i="1"/>
  <c r="B594" i="1" s="1"/>
  <c r="C630" i="1"/>
  <c r="B630" i="1" s="1"/>
  <c r="C683" i="1"/>
  <c r="B683" i="1" s="1"/>
  <c r="C773" i="1"/>
  <c r="B773" i="1" s="1"/>
  <c r="C795" i="1"/>
  <c r="B795" i="1" s="1"/>
  <c r="C869" i="1"/>
  <c r="B869" i="1" s="1"/>
  <c r="C1154" i="1"/>
  <c r="B1154" i="1" s="1"/>
  <c r="C1170" i="1"/>
  <c r="B1170" i="1" s="1"/>
  <c r="C1203" i="1"/>
  <c r="B1203" i="1" s="1"/>
  <c r="C244" i="1"/>
  <c r="B244" i="1" s="1"/>
  <c r="C262" i="1"/>
  <c r="B262" i="1" s="1"/>
  <c r="C314" i="1"/>
  <c r="B314" i="1" s="1"/>
  <c r="C401" i="1"/>
  <c r="B401" i="1" s="1"/>
  <c r="C518" i="1"/>
  <c r="B518" i="1" s="1"/>
  <c r="C606" i="1"/>
  <c r="B606" i="1" s="1"/>
  <c r="C53" i="1"/>
  <c r="B53" i="1" s="1"/>
  <c r="C144" i="1"/>
  <c r="B144" i="1" s="1"/>
  <c r="C1121" i="1"/>
  <c r="B1121" i="1" s="1"/>
  <c r="C1266" i="1"/>
  <c r="B1266" i="1" s="1"/>
  <c r="C1335" i="1"/>
  <c r="B1335" i="1" s="1"/>
  <c r="C210" i="1"/>
  <c r="B210" i="1" s="1"/>
  <c r="C777" i="1"/>
  <c r="B777" i="1" s="1"/>
  <c r="C1165" i="1"/>
  <c r="B1165" i="1" s="1"/>
  <c r="C94" i="1"/>
  <c r="B94" i="1" s="1"/>
  <c r="C109" i="1"/>
  <c r="B109" i="1" s="1"/>
  <c r="C179" i="1"/>
  <c r="B179" i="1" s="1"/>
  <c r="C304" i="1"/>
  <c r="B304" i="1" s="1"/>
  <c r="C338" i="1"/>
  <c r="B338" i="1" s="1"/>
  <c r="C387" i="1"/>
  <c r="B387" i="1" s="1"/>
  <c r="C444" i="1"/>
  <c r="B444" i="1" s="1"/>
  <c r="C550" i="1"/>
  <c r="B550" i="1" s="1"/>
  <c r="C827" i="1"/>
  <c r="B827" i="1" s="1"/>
  <c r="C261" i="1"/>
  <c r="B261" i="1" s="1"/>
  <c r="C311" i="1"/>
  <c r="B311" i="1" s="1"/>
  <c r="C400" i="1"/>
  <c r="B400" i="1" s="1"/>
  <c r="C517" i="1"/>
  <c r="B517" i="1" s="1"/>
  <c r="C603" i="1"/>
  <c r="B603" i="1" s="1"/>
  <c r="C95" i="1"/>
  <c r="B95" i="1" s="1"/>
  <c r="C98" i="1"/>
  <c r="B98" i="1" s="1"/>
  <c r="C309" i="1"/>
  <c r="B309" i="1" s="1"/>
  <c r="C370" i="1"/>
  <c r="B370" i="1" s="1"/>
  <c r="C415" i="1"/>
  <c r="B415" i="1" s="1"/>
  <c r="C535" i="1"/>
  <c r="B535" i="1" s="1"/>
  <c r="C713" i="1"/>
  <c r="B713" i="1" s="1"/>
  <c r="C982" i="1"/>
  <c r="B982" i="1" s="1"/>
  <c r="C983" i="1"/>
  <c r="B983" i="1" s="1"/>
  <c r="C1016" i="1"/>
  <c r="B1016" i="1" s="1"/>
  <c r="C1023" i="1"/>
  <c r="B1023" i="1" s="1"/>
  <c r="C1116" i="1"/>
  <c r="B1116" i="1" s="1"/>
  <c r="C1128" i="1"/>
  <c r="B1128" i="1" s="1"/>
  <c r="C1134" i="1"/>
  <c r="B1134" i="1" s="1"/>
  <c r="C1267" i="1"/>
  <c r="B1267" i="1" s="1"/>
  <c r="C1401" i="1"/>
  <c r="B1401" i="1" s="1"/>
  <c r="C84" i="1"/>
  <c r="B84" i="1" s="1"/>
  <c r="C364" i="1"/>
  <c r="B364" i="1" s="1"/>
  <c r="C484" i="1"/>
  <c r="B484" i="1" s="1"/>
  <c r="C580" i="1"/>
  <c r="B580" i="1" s="1"/>
  <c r="C625" i="1"/>
  <c r="B625" i="1" s="1"/>
  <c r="C772" i="1"/>
  <c r="B772" i="1" s="1"/>
  <c r="C801" i="1"/>
  <c r="B801" i="1" s="1"/>
  <c r="C960" i="1"/>
  <c r="B960" i="1" s="1"/>
  <c r="C1012" i="1"/>
  <c r="B1012" i="1" s="1"/>
  <c r="C1193" i="1"/>
  <c r="B1193" i="1" s="1"/>
  <c r="C1222" i="1"/>
  <c r="B1222" i="1" s="1"/>
  <c r="C1397" i="1"/>
  <c r="B1397" i="1" s="1"/>
  <c r="C263" i="1"/>
  <c r="B263" i="1" s="1"/>
  <c r="C315" i="1"/>
  <c r="B315" i="1" s="1"/>
  <c r="C406" i="1"/>
  <c r="B406" i="1" s="1"/>
  <c r="C521" i="1"/>
  <c r="B521" i="1" s="1"/>
  <c r="C608" i="1"/>
  <c r="B608" i="1" s="1"/>
  <c r="C701" i="1"/>
  <c r="B701" i="1" s="1"/>
  <c r="C964" i="1"/>
  <c r="B964" i="1" s="1"/>
  <c r="C971" i="1"/>
  <c r="B971" i="1" s="1"/>
  <c r="C987" i="1"/>
  <c r="B987" i="1" s="1"/>
  <c r="C1087" i="1"/>
  <c r="B1087" i="1" s="1"/>
  <c r="C1258" i="1"/>
  <c r="B1258" i="1" s="1"/>
  <c r="C1377" i="1"/>
  <c r="B1377" i="1" s="1"/>
  <c r="C1399" i="1"/>
  <c r="B1399" i="1" s="1"/>
  <c r="C366" i="1"/>
  <c r="B366" i="1" s="1"/>
  <c r="C480" i="1"/>
  <c r="B480" i="1" s="1"/>
  <c r="C644" i="1"/>
  <c r="B644" i="1" s="1"/>
  <c r="C896" i="1"/>
  <c r="B896" i="1" s="1"/>
  <c r="C1044" i="1"/>
  <c r="B1044" i="1" s="1"/>
  <c r="C1284" i="1"/>
  <c r="B1284" i="1" s="1"/>
  <c r="C3" i="1"/>
  <c r="B3" i="1" s="1"/>
  <c r="C61" i="1"/>
  <c r="B61" i="1" s="1"/>
  <c r="C92" i="1"/>
  <c r="B92" i="1" s="1"/>
  <c r="C146" i="1"/>
  <c r="B146" i="1" s="1"/>
  <c r="C145" i="1"/>
  <c r="B145" i="1" s="1"/>
  <c r="C143" i="1"/>
  <c r="B143" i="1" s="1"/>
  <c r="C151" i="1"/>
  <c r="B151" i="1" s="1"/>
  <c r="C154" i="1"/>
  <c r="B154" i="1" s="1"/>
  <c r="C371" i="1"/>
  <c r="B371" i="1" s="1"/>
  <c r="C442" i="1"/>
  <c r="B442" i="1" s="1"/>
  <c r="C439" i="1"/>
  <c r="B439" i="1" s="1"/>
  <c r="C590" i="1"/>
  <c r="B590" i="1" s="1"/>
  <c r="C698" i="1"/>
  <c r="B698" i="1" s="1"/>
  <c r="C790" i="1"/>
  <c r="B790" i="1" s="1"/>
  <c r="C891" i="1"/>
  <c r="B891" i="1" s="1"/>
  <c r="C890" i="1"/>
  <c r="B890" i="1" s="1"/>
  <c r="C1108" i="1"/>
  <c r="B1108" i="1" s="1"/>
  <c r="C1109" i="1"/>
  <c r="B1109" i="1" s="1"/>
  <c r="C246" i="1"/>
  <c r="B246" i="1" s="1"/>
  <c r="C867" i="1"/>
  <c r="B867" i="1" s="1"/>
  <c r="C79" i="1"/>
  <c r="B79" i="1" s="1"/>
  <c r="C766" i="1"/>
  <c r="B766" i="1" s="1"/>
  <c r="C482" i="1"/>
  <c r="B482" i="1" s="1"/>
  <c r="C665" i="1"/>
  <c r="B665" i="1" s="1"/>
  <c r="C959" i="1"/>
  <c r="B959" i="1" s="1"/>
  <c r="C1036" i="1"/>
  <c r="B1036" i="1" s="1"/>
  <c r="C1343" i="1"/>
  <c r="B1343" i="1" s="1"/>
  <c r="C368" i="1"/>
  <c r="B368" i="1" s="1"/>
  <c r="C634" i="1"/>
  <c r="B634" i="1" s="1"/>
  <c r="C649" i="1"/>
  <c r="B649" i="1" s="1"/>
  <c r="C685" i="1"/>
  <c r="B685" i="1" s="1"/>
  <c r="C11" i="1"/>
  <c r="B11" i="1" s="1"/>
  <c r="C27" i="1"/>
  <c r="B27" i="1" s="1"/>
  <c r="C46" i="1"/>
  <c r="B46" i="1" s="1"/>
  <c r="C45" i="1"/>
  <c r="B45" i="1" s="1"/>
  <c r="C47" i="1"/>
  <c r="B47" i="1" s="1"/>
  <c r="C130" i="1"/>
  <c r="B130" i="1" s="1"/>
  <c r="C339" i="1"/>
  <c r="B339" i="1" s="1"/>
  <c r="C106" i="1"/>
  <c r="B106" i="1" s="1"/>
  <c r="C234" i="1"/>
  <c r="B234" i="1" s="1"/>
  <c r="C372" i="1"/>
  <c r="B372" i="1" s="1"/>
  <c r="C365" i="1"/>
  <c r="B365" i="1" s="1"/>
  <c r="C450" i="1"/>
  <c r="B450" i="1" s="1"/>
  <c r="C452" i="1"/>
  <c r="B452" i="1" s="1"/>
  <c r="C560" i="1"/>
  <c r="B560" i="1" s="1"/>
  <c r="C655" i="1"/>
  <c r="B655" i="1" s="1"/>
  <c r="C838" i="1"/>
  <c r="B838" i="1" s="1"/>
  <c r="C862" i="1"/>
  <c r="B862" i="1" s="1"/>
  <c r="C1078" i="1"/>
  <c r="B1078" i="1" s="1"/>
  <c r="C1112" i="1"/>
  <c r="B1112" i="1" s="1"/>
  <c r="C1223" i="1"/>
  <c r="B1223" i="1" s="1"/>
  <c r="C1286" i="1"/>
  <c r="B1286" i="1" s="1"/>
  <c r="C1056" i="1"/>
  <c r="B1056" i="1" s="1"/>
  <c r="C289" i="1"/>
  <c r="B289" i="1" s="1"/>
  <c r="C558" i="1"/>
  <c r="B558" i="1" s="1"/>
  <c r="C907" i="1"/>
  <c r="B907" i="1" s="1"/>
  <c r="C1082" i="1"/>
  <c r="B1082" i="1" s="1"/>
  <c r="C1342" i="1"/>
  <c r="B1342" i="1" s="1"/>
  <c r="C469" i="1"/>
  <c r="B469" i="1" s="1"/>
  <c r="C662" i="1"/>
  <c r="B662" i="1" s="1"/>
  <c r="C248" i="1"/>
  <c r="B248" i="1" s="1"/>
  <c r="C883" i="1"/>
  <c r="B883" i="1" s="1"/>
  <c r="C759" i="1"/>
  <c r="B759" i="1" s="1"/>
  <c r="C774" i="1"/>
  <c r="B774" i="1" s="1"/>
  <c r="C977" i="1"/>
  <c r="B977" i="1" s="1"/>
  <c r="C16" i="1"/>
  <c r="B16" i="1" s="1"/>
  <c r="C56" i="1"/>
  <c r="B56" i="1" s="1"/>
  <c r="C99" i="1"/>
  <c r="B99" i="1" s="1"/>
  <c r="C140" i="1"/>
  <c r="B140" i="1" s="1"/>
  <c r="C161" i="1"/>
  <c r="B161" i="1" s="1"/>
  <c r="C218" i="1"/>
  <c r="B218" i="1" s="1"/>
  <c r="C293" i="1"/>
  <c r="B293" i="1" s="1"/>
  <c r="C373" i="1"/>
  <c r="B373" i="1" s="1"/>
  <c r="C659" i="1"/>
  <c r="B659" i="1" s="1"/>
  <c r="C714" i="1"/>
  <c r="B714" i="1" s="1"/>
  <c r="C763" i="1"/>
  <c r="B763" i="1" s="1"/>
  <c r="C761" i="1"/>
  <c r="B761" i="1" s="1"/>
  <c r="C810" i="1"/>
  <c r="B810" i="1" s="1"/>
  <c r="C859" i="1"/>
  <c r="B859" i="1" s="1"/>
  <c r="C863" i="1"/>
  <c r="B863" i="1" s="1"/>
  <c r="C994" i="1"/>
  <c r="B994" i="1" s="1"/>
  <c r="C1080" i="1"/>
  <c r="B1080" i="1" s="1"/>
  <c r="C1218" i="1"/>
  <c r="B1218" i="1" s="1"/>
  <c r="C1204" i="1"/>
  <c r="B1204" i="1" s="1"/>
  <c r="C1215" i="1"/>
  <c r="B1215" i="1" s="1"/>
  <c r="C1289" i="1"/>
  <c r="B1289" i="1" s="1"/>
  <c r="C1394" i="1"/>
  <c r="B1394" i="1" s="1"/>
  <c r="C825" i="1"/>
  <c r="B825" i="1" s="1"/>
  <c r="C932" i="1"/>
  <c r="B932" i="1" s="1"/>
  <c r="C935" i="1"/>
  <c r="B935" i="1" s="1"/>
  <c r="C967" i="1"/>
  <c r="B967" i="1" s="1"/>
  <c r="C1067" i="1"/>
  <c r="B1067" i="1" s="1"/>
  <c r="C1064" i="1"/>
  <c r="B1064" i="1" s="1"/>
  <c r="C1076" i="1"/>
  <c r="B1076" i="1" s="1"/>
  <c r="C1123" i="1"/>
  <c r="B1123" i="1" s="1"/>
  <c r="C1131" i="1"/>
  <c r="B1131" i="1" s="1"/>
  <c r="C1132" i="1"/>
  <c r="B1132" i="1" s="1"/>
  <c r="C1206" i="1"/>
  <c r="B1206" i="1" s="1"/>
  <c r="C1407" i="1"/>
  <c r="B1407" i="1" s="1"/>
  <c r="C1382" i="1"/>
  <c r="B1382" i="1" s="1"/>
  <c r="C1385" i="1"/>
  <c r="B1385" i="1" s="1"/>
  <c r="C991" i="1"/>
  <c r="B991" i="1" s="1"/>
  <c r="C1214" i="1"/>
  <c r="B1214" i="1" s="1"/>
  <c r="C1133" i="1"/>
  <c r="B1133" i="1" s="1"/>
  <c r="C893" i="1"/>
  <c r="B893" i="1" s="1"/>
  <c r="C912" i="1"/>
  <c r="B912" i="1" s="1"/>
  <c r="C1081" i="1"/>
  <c r="B1081" i="1" s="1"/>
  <c r="C684" i="1"/>
  <c r="B684" i="1" s="1"/>
  <c r="C853" i="1"/>
  <c r="B853" i="1" s="1"/>
  <c r="C904" i="1"/>
  <c r="B904" i="1" s="1"/>
  <c r="C1033" i="1"/>
  <c r="B1033" i="1" s="1"/>
  <c r="C1386" i="1"/>
  <c r="B1386" i="1" s="1"/>
  <c r="C1383" i="1"/>
  <c r="B1383" i="1" s="1"/>
  <c r="C494" i="1"/>
  <c r="B494" i="1" s="1"/>
  <c r="C514" i="1"/>
  <c r="B514" i="1" s="1"/>
  <c r="C542" i="1"/>
  <c r="B542" i="1" s="1"/>
  <c r="C600" i="1"/>
  <c r="B600" i="1" s="1"/>
  <c r="C647" i="1"/>
  <c r="B647" i="1" s="1"/>
  <c r="C645" i="1"/>
  <c r="B645" i="1" s="1"/>
  <c r="C744" i="1"/>
  <c r="B744" i="1" s="1"/>
  <c r="C841" i="1"/>
  <c r="B841" i="1" s="1"/>
  <c r="C889" i="1"/>
  <c r="B889" i="1" s="1"/>
  <c r="C986" i="1"/>
  <c r="B986" i="1" s="1"/>
  <c r="C998" i="1"/>
  <c r="B998" i="1" s="1"/>
  <c r="C1219" i="1"/>
  <c r="B1219" i="1" s="1"/>
  <c r="C911" i="1"/>
  <c r="B911" i="1" s="1"/>
  <c r="C968" i="1"/>
  <c r="B968" i="1" s="1"/>
  <c r="C1180" i="1"/>
  <c r="B1180" i="1" s="1"/>
  <c r="C1352" i="1"/>
  <c r="B1352" i="1" s="1"/>
  <c r="C724" i="1"/>
  <c r="B724" i="1" s="1"/>
  <c r="C1101" i="1"/>
  <c r="B1101" i="1" s="1"/>
  <c r="C13" i="1"/>
  <c r="B13" i="1" s="1"/>
  <c r="C162" i="1"/>
  <c r="B162" i="1" s="1"/>
  <c r="C166" i="1"/>
  <c r="B166" i="1" s="1"/>
  <c r="C241" i="1"/>
  <c r="B241" i="1" s="1"/>
  <c r="C288" i="1"/>
  <c r="B288" i="1" s="1"/>
  <c r="C388" i="1"/>
  <c r="B388" i="1" s="1"/>
  <c r="C393" i="1"/>
  <c r="B393" i="1" s="1"/>
  <c r="C446" i="1"/>
  <c r="B446" i="1" s="1"/>
  <c r="C764" i="1"/>
  <c r="B764" i="1" s="1"/>
  <c r="C854" i="1"/>
  <c r="B854" i="1" s="1"/>
  <c r="C902" i="1"/>
  <c r="B902" i="1" s="1"/>
  <c r="C952" i="1"/>
  <c r="B952" i="1" s="1"/>
  <c r="C996" i="1"/>
  <c r="B996" i="1" s="1"/>
  <c r="C1281" i="1"/>
  <c r="B1281" i="1" s="1"/>
  <c r="C1380" i="1"/>
  <c r="B1380" i="1" s="1"/>
  <c r="C447" i="1"/>
  <c r="B447" i="1" s="1"/>
  <c r="C672" i="1"/>
  <c r="B672" i="1" s="1"/>
  <c r="C581" i="1"/>
  <c r="B581" i="1" s="1"/>
  <c r="C29" i="1"/>
  <c r="B29" i="1" s="1"/>
  <c r="C86" i="1"/>
  <c r="B86" i="1" s="1"/>
  <c r="C150" i="1"/>
  <c r="B150" i="1" s="1"/>
  <c r="C186" i="1"/>
  <c r="B186" i="1" s="1"/>
  <c r="C232" i="1"/>
  <c r="B232" i="1" s="1"/>
  <c r="C357" i="1"/>
  <c r="B357" i="1" s="1"/>
  <c r="C390" i="1"/>
  <c r="B390" i="1" s="1"/>
  <c r="C431" i="1"/>
  <c r="B431" i="1" s="1"/>
  <c r="C583" i="1"/>
  <c r="B583" i="1" s="1"/>
  <c r="C586" i="1"/>
  <c r="B586" i="1" s="1"/>
  <c r="C607" i="1"/>
  <c r="B607" i="1" s="1"/>
  <c r="C658" i="1"/>
  <c r="B658" i="1" s="1"/>
  <c r="C716" i="1"/>
  <c r="B716" i="1" s="1"/>
  <c r="C978" i="1"/>
  <c r="B978" i="1" s="1"/>
  <c r="C1027" i="1"/>
  <c r="B1027" i="1" s="1"/>
  <c r="C1070" i="1"/>
  <c r="B1070" i="1" s="1"/>
  <c r="C1379" i="1"/>
  <c r="B1379" i="1" s="1"/>
  <c r="C1381" i="1"/>
  <c r="B1381" i="1" s="1"/>
  <c r="C8" i="1"/>
  <c r="B8" i="1" s="1"/>
  <c r="C44" i="1"/>
  <c r="B44" i="1" s="1"/>
  <c r="C43" i="1"/>
  <c r="B43" i="1" s="1"/>
  <c r="C60" i="1"/>
  <c r="B60" i="1" s="1"/>
  <c r="C62" i="1"/>
  <c r="B62" i="1" s="1"/>
  <c r="C219" i="1"/>
  <c r="B219" i="1" s="1"/>
  <c r="C359" i="1"/>
  <c r="B359" i="1" s="1"/>
  <c r="C378" i="1"/>
  <c r="B378" i="1" s="1"/>
  <c r="C460" i="1"/>
  <c r="B460" i="1" s="1"/>
  <c r="C548" i="1"/>
  <c r="B548" i="1" s="1"/>
  <c r="C562" i="1"/>
  <c r="B562" i="1" s="1"/>
  <c r="C657" i="1"/>
  <c r="B657" i="1" s="1"/>
  <c r="C692" i="1"/>
  <c r="B692" i="1" s="1"/>
  <c r="C707" i="1"/>
  <c r="B707" i="1" s="1"/>
  <c r="C723" i="1"/>
  <c r="B723" i="1" s="1"/>
  <c r="C755" i="1"/>
  <c r="B755" i="1" s="1"/>
  <c r="C756" i="1"/>
  <c r="B756" i="1" s="1"/>
  <c r="C757" i="1"/>
  <c r="B757" i="1" s="1"/>
  <c r="C807" i="1"/>
  <c r="B807" i="1" s="1"/>
  <c r="C806" i="1"/>
  <c r="B806" i="1" s="1"/>
  <c r="C914" i="1"/>
  <c r="B914" i="1" s="1"/>
  <c r="C910" i="1"/>
  <c r="B910" i="1" s="1"/>
  <c r="C1095" i="1"/>
  <c r="B1095" i="1" s="1"/>
  <c r="C1093" i="1"/>
  <c r="B1093" i="1" s="1"/>
  <c r="C1119" i="1"/>
  <c r="B1119" i="1" s="1"/>
  <c r="C1376" i="1"/>
  <c r="B1376" i="1" s="1"/>
  <c r="C104" i="1"/>
  <c r="B104" i="1" s="1"/>
  <c r="C141" i="1"/>
  <c r="B141" i="1" s="1"/>
  <c r="C73" i="1"/>
  <c r="B73" i="1" s="1"/>
  <c r="C117" i="1"/>
  <c r="B117" i="1" s="1"/>
  <c r="C350" i="1"/>
  <c r="B350" i="1" s="1"/>
  <c r="C459" i="1"/>
  <c r="B459" i="1" s="1"/>
  <c r="C458" i="1"/>
  <c r="B458" i="1" s="1"/>
  <c r="C508" i="1"/>
  <c r="B508" i="1" s="1"/>
  <c r="C1129" i="1"/>
  <c r="B1129" i="1" s="1"/>
  <c r="C1161" i="1"/>
  <c r="B1161" i="1" s="1"/>
  <c r="C36" i="1"/>
  <c r="B36" i="1" s="1"/>
  <c r="C169" i="1"/>
  <c r="B169" i="1" s="1"/>
  <c r="C238" i="1"/>
  <c r="B238" i="1" s="1"/>
  <c r="C245" i="1"/>
  <c r="B245" i="1" s="1"/>
  <c r="C247" i="1"/>
  <c r="B247" i="1" s="1"/>
  <c r="C348" i="1"/>
  <c r="B348" i="1" s="1"/>
  <c r="C487" i="1"/>
  <c r="B487" i="1" s="1"/>
  <c r="C503" i="1"/>
  <c r="B503" i="1" s="1"/>
  <c r="C177" i="1"/>
  <c r="B177" i="1" s="1"/>
  <c r="C68" i="1"/>
  <c r="B68" i="1" s="1"/>
  <c r="C101" i="1"/>
  <c r="B101" i="1" s="1"/>
  <c r="C110" i="1"/>
  <c r="B110" i="1" s="1"/>
  <c r="C185" i="1"/>
  <c r="B185" i="1" s="1"/>
  <c r="C224" i="1"/>
  <c r="B224" i="1" s="1"/>
  <c r="C112" i="1"/>
  <c r="B112" i="1" s="1"/>
  <c r="C225" i="1"/>
  <c r="B225" i="1" s="1"/>
  <c r="C75" i="1"/>
  <c r="B75" i="1" s="1"/>
  <c r="C74" i="1"/>
  <c r="B74" i="1" s="1"/>
  <c r="C174" i="1"/>
  <c r="B174" i="1" s="1"/>
  <c r="C93" i="1"/>
  <c r="B93" i="1" s="1"/>
  <c r="C107" i="1"/>
  <c r="B107" i="1" s="1"/>
  <c r="C181" i="1"/>
  <c r="B181" i="1" s="1"/>
  <c r="C237" i="1"/>
  <c r="B237" i="1" s="1"/>
  <c r="C78" i="1"/>
  <c r="B78" i="1" s="1"/>
  <c r="C828" i="1"/>
  <c r="B828" i="1" s="1"/>
  <c r="C849" i="1"/>
  <c r="B849" i="1" s="1"/>
  <c r="C1007" i="1"/>
  <c r="B1007" i="1" s="1"/>
  <c r="C1077" i="1"/>
  <c r="B1077" i="1" s="1"/>
  <c r="C570" i="1"/>
  <c r="B570" i="1" s="1"/>
  <c r="C1375" i="1"/>
  <c r="B1375" i="1" s="1"/>
  <c r="C1271" i="1"/>
  <c r="B1271" i="1" s="1"/>
  <c r="C440" i="1"/>
  <c r="B440" i="1" s="1"/>
  <c r="C67" i="1"/>
  <c r="B67" i="1" s="1"/>
  <c r="C131" i="1"/>
  <c r="B131" i="1" s="1"/>
  <c r="C572" i="1"/>
  <c r="B572" i="1" s="1"/>
  <c r="C1071" i="1"/>
  <c r="B1071" i="1" s="1"/>
  <c r="C1255" i="1"/>
  <c r="B1255" i="1" s="1"/>
  <c r="C133" i="1"/>
  <c r="B133" i="1" s="1"/>
  <c r="C136" i="1"/>
  <c r="B136" i="1" s="1"/>
  <c r="C195" i="1"/>
  <c r="B195" i="1" s="1"/>
  <c r="C199" i="1"/>
  <c r="B199" i="1" s="1"/>
  <c r="C252" i="1"/>
  <c r="B252" i="1" s="1"/>
  <c r="C268" i="1"/>
  <c r="B268" i="1" s="1"/>
  <c r="C273" i="1"/>
  <c r="B273" i="1" s="1"/>
  <c r="C264" i="1"/>
  <c r="B264" i="1" s="1"/>
  <c r="C320" i="1"/>
  <c r="B320" i="1" s="1"/>
  <c r="C329" i="1"/>
  <c r="B329" i="1" s="1"/>
  <c r="C316" i="1"/>
  <c r="B316" i="1" s="1"/>
  <c r="C411" i="1"/>
  <c r="B411" i="1" s="1"/>
  <c r="C424" i="1"/>
  <c r="B424" i="1" s="1"/>
  <c r="C527" i="1"/>
  <c r="B527" i="1" s="1"/>
  <c r="C538" i="1"/>
  <c r="B538" i="1" s="1"/>
  <c r="C614" i="1"/>
  <c r="B614" i="1" s="1"/>
  <c r="C621" i="1"/>
  <c r="B621" i="1" s="1"/>
  <c r="C738" i="1"/>
  <c r="B738" i="1" s="1"/>
  <c r="C747" i="1"/>
  <c r="B747" i="1" s="1"/>
  <c r="C834" i="1"/>
  <c r="B834" i="1" s="1"/>
  <c r="C843" i="1"/>
  <c r="B843" i="1" s="1"/>
  <c r="C940" i="1"/>
  <c r="B940" i="1" s="1"/>
  <c r="C947" i="1"/>
  <c r="B947" i="1" s="1"/>
  <c r="C1039" i="1"/>
  <c r="B1039" i="1" s="1"/>
  <c r="C1046" i="1"/>
  <c r="B1046" i="1" s="1"/>
  <c r="C1149" i="1"/>
  <c r="B1149" i="1" s="1"/>
  <c r="C1158" i="1"/>
  <c r="B1158" i="1" s="1"/>
  <c r="C1236" i="1"/>
  <c r="B1236" i="1" s="1"/>
  <c r="C1243" i="1"/>
  <c r="B1243" i="1" s="1"/>
  <c r="C1294" i="1"/>
  <c r="B1294" i="1" s="1"/>
  <c r="C1316" i="1"/>
  <c r="B1316" i="1" s="1"/>
  <c r="C1320" i="1"/>
  <c r="B1320" i="1" s="1"/>
  <c r="C512" i="1"/>
  <c r="B512" i="1" s="1"/>
  <c r="C1373" i="1"/>
  <c r="B1373" i="1" s="1"/>
  <c r="C955" i="1"/>
  <c r="B955" i="1" s="1"/>
  <c r="C711" i="1"/>
  <c r="B711" i="1" s="1"/>
  <c r="C897" i="1"/>
  <c r="B897" i="1" s="1"/>
  <c r="C786" i="1"/>
  <c r="B786" i="1" s="1"/>
  <c r="C134" i="1"/>
  <c r="B134" i="1" s="1"/>
  <c r="C196" i="1"/>
  <c r="B196" i="1" s="1"/>
  <c r="C270" i="1"/>
  <c r="B270" i="1" s="1"/>
  <c r="C307" i="1"/>
  <c r="B307" i="1" s="1"/>
  <c r="C325" i="1"/>
  <c r="B325" i="1" s="1"/>
  <c r="C418" i="1"/>
  <c r="B418" i="1" s="1"/>
  <c r="C532" i="1"/>
  <c r="B532" i="1" s="1"/>
  <c r="C618" i="1"/>
  <c r="B618" i="1" s="1"/>
  <c r="C742" i="1"/>
  <c r="B742" i="1" s="1"/>
  <c r="C840" i="1"/>
  <c r="B840" i="1" s="1"/>
  <c r="C945" i="1"/>
  <c r="B945" i="1" s="1"/>
  <c r="C1043" i="1"/>
  <c r="B1043" i="1" s="1"/>
  <c r="C1156" i="1"/>
  <c r="B1156" i="1" s="1"/>
  <c r="C1241" i="1"/>
  <c r="B1241" i="1" s="1"/>
  <c r="C1318" i="1"/>
  <c r="B1318" i="1" s="1"/>
  <c r="C1371" i="1"/>
  <c r="B1371" i="1" s="1"/>
  <c r="C479" i="1"/>
  <c r="B479" i="1" s="1"/>
  <c r="C1293" i="1"/>
  <c r="B1293" i="1" s="1"/>
  <c r="C888" i="1"/>
  <c r="B888" i="1" s="1"/>
  <c r="C129" i="1"/>
  <c r="B129" i="1" s="1"/>
  <c r="C193" i="1"/>
  <c r="B193" i="1" s="1"/>
  <c r="C267" i="1"/>
  <c r="B267" i="1" s="1"/>
  <c r="C318" i="1"/>
  <c r="B318" i="1" s="1"/>
  <c r="C407" i="1"/>
  <c r="B407" i="1" s="1"/>
  <c r="C524" i="1"/>
  <c r="B524" i="1" s="1"/>
  <c r="C610" i="1"/>
  <c r="B610" i="1" s="1"/>
  <c r="C734" i="1"/>
  <c r="B734" i="1" s="1"/>
  <c r="C831" i="1"/>
  <c r="B831" i="1" s="1"/>
  <c r="C824" i="1"/>
  <c r="B824" i="1" s="1"/>
  <c r="C937" i="1"/>
  <c r="B937" i="1" s="1"/>
  <c r="C1035" i="1"/>
  <c r="B1035" i="1" s="1"/>
  <c r="C1147" i="1"/>
  <c r="B1147" i="1" s="1"/>
  <c r="C1233" i="1"/>
  <c r="B1233" i="1" s="1"/>
  <c r="C1273" i="1"/>
  <c r="B1273" i="1" s="1"/>
  <c r="C1311" i="1"/>
  <c r="B1311" i="1" s="1"/>
  <c r="C21" i="1"/>
  <c r="B21" i="1" s="1"/>
  <c r="C826" i="1"/>
  <c r="B826" i="1" s="1"/>
  <c r="C269" i="1"/>
  <c r="B269" i="1" s="1"/>
  <c r="C281" i="1"/>
  <c r="B281" i="1" s="1"/>
  <c r="C282" i="1"/>
  <c r="B282" i="1" s="1"/>
  <c r="C416" i="1"/>
  <c r="B416" i="1" s="1"/>
  <c r="C523" i="1"/>
  <c r="B523" i="1" s="1"/>
  <c r="C531" i="1"/>
  <c r="B531" i="1" s="1"/>
  <c r="C830" i="1"/>
  <c r="B830" i="1" s="1"/>
  <c r="C839" i="1"/>
  <c r="B839" i="1" s="1"/>
  <c r="C1144" i="1"/>
  <c r="B1144" i="1" s="1"/>
  <c r="C1155" i="1"/>
  <c r="B1155" i="1" s="1"/>
  <c r="C254" i="1"/>
  <c r="B254" i="1" s="1"/>
  <c r="C310" i="1"/>
  <c r="B310" i="1" s="1"/>
  <c r="C690" i="1"/>
  <c r="B690" i="1" s="1"/>
  <c r="C135" i="1"/>
  <c r="B135" i="1" s="1"/>
  <c r="C197" i="1"/>
  <c r="B197" i="1" s="1"/>
  <c r="C272" i="1"/>
  <c r="B272" i="1" s="1"/>
  <c r="C326" i="1"/>
  <c r="B326" i="1" s="1"/>
  <c r="C422" i="1"/>
  <c r="B422" i="1" s="1"/>
  <c r="C488" i="1"/>
  <c r="B488" i="1" s="1"/>
  <c r="C536" i="1"/>
  <c r="B536" i="1" s="1"/>
  <c r="C577" i="1"/>
  <c r="B577" i="1" s="1"/>
  <c r="C619" i="1"/>
  <c r="B619" i="1" s="1"/>
  <c r="C695" i="1"/>
  <c r="B695" i="1" s="1"/>
  <c r="C745" i="1"/>
  <c r="B745" i="1" s="1"/>
  <c r="C842" i="1"/>
  <c r="B842" i="1" s="1"/>
  <c r="C946" i="1"/>
  <c r="B946" i="1" s="1"/>
  <c r="C1045" i="1"/>
  <c r="B1045" i="1" s="1"/>
  <c r="C1157" i="1"/>
  <c r="B1157" i="1" s="1"/>
  <c r="C1242" i="1"/>
  <c r="B1242" i="1" s="1"/>
  <c r="C1319" i="1"/>
  <c r="B1319" i="1" s="1"/>
  <c r="C374" i="1"/>
  <c r="B374" i="1" s="1"/>
  <c r="C321" i="1"/>
  <c r="B321" i="1" s="1"/>
  <c r="C322" i="1"/>
  <c r="B322" i="1" s="1"/>
  <c r="C412" i="1"/>
  <c r="B412" i="1" s="1"/>
  <c r="C413" i="1"/>
  <c r="B413" i="1" s="1"/>
  <c r="C528" i="1"/>
  <c r="B528" i="1" s="1"/>
  <c r="C529" i="1"/>
  <c r="B529" i="1" s="1"/>
  <c r="C615" i="1"/>
  <c r="B615" i="1" s="1"/>
  <c r="C616" i="1"/>
  <c r="B616" i="1" s="1"/>
  <c r="C739" i="1"/>
  <c r="B739" i="1" s="1"/>
  <c r="C740" i="1"/>
  <c r="B740" i="1" s="1"/>
  <c r="C835" i="1"/>
  <c r="B835" i="1" s="1"/>
  <c r="C836" i="1"/>
  <c r="B836" i="1" s="1"/>
  <c r="C941" i="1"/>
  <c r="B941" i="1" s="1"/>
  <c r="C942" i="1"/>
  <c r="B942" i="1" s="1"/>
  <c r="C1040" i="1"/>
  <c r="B1040" i="1" s="1"/>
  <c r="C1041" i="1"/>
  <c r="B1041" i="1" s="1"/>
  <c r="C1150" i="1"/>
  <c r="B1150" i="1" s="1"/>
  <c r="C1151" i="1"/>
  <c r="B1151" i="1" s="1"/>
  <c r="C1237" i="1"/>
  <c r="B1237" i="1" s="1"/>
  <c r="C1238" i="1"/>
  <c r="B1238" i="1" s="1"/>
  <c r="C1314" i="1"/>
  <c r="B1314" i="1" s="1"/>
  <c r="C1313" i="1"/>
  <c r="B1313" i="1" s="1"/>
  <c r="C184" i="1"/>
  <c r="B184" i="1" s="1"/>
  <c r="C198" i="1"/>
  <c r="B198" i="1" s="1"/>
  <c r="C271" i="1"/>
  <c r="B271" i="1" s="1"/>
  <c r="C327" i="1"/>
  <c r="B327" i="1" s="1"/>
  <c r="C382" i="1"/>
  <c r="B382" i="1" s="1"/>
  <c r="C423" i="1"/>
  <c r="B423" i="1" s="1"/>
  <c r="C504" i="1"/>
  <c r="B504" i="1" s="1"/>
  <c r="C537" i="1"/>
  <c r="B537" i="1" s="1"/>
  <c r="C620" i="1"/>
  <c r="B620" i="1" s="1"/>
  <c r="C746" i="1"/>
  <c r="B746" i="1" s="1"/>
  <c r="C844" i="1"/>
  <c r="B844" i="1" s="1"/>
  <c r="C868" i="1"/>
  <c r="B868" i="1" s="1"/>
  <c r="C948" i="1"/>
  <c r="B948" i="1" s="1"/>
  <c r="C1047" i="1"/>
  <c r="B1047" i="1" s="1"/>
  <c r="C1159" i="1"/>
  <c r="B1159" i="1" s="1"/>
  <c r="C1142" i="1"/>
  <c r="B1142" i="1" s="1"/>
  <c r="C1244" i="1"/>
  <c r="B1244" i="1" s="1"/>
  <c r="C1321" i="1"/>
  <c r="B1321" i="1" s="1"/>
  <c r="C1370" i="1"/>
  <c r="B1370" i="1" s="1"/>
  <c r="C128" i="1"/>
  <c r="B128" i="1" s="1"/>
  <c r="C192" i="1"/>
  <c r="B192" i="1" s="1"/>
  <c r="C253" i="1"/>
  <c r="B253" i="1" s="1"/>
  <c r="C265" i="1"/>
  <c r="B265" i="1" s="1"/>
  <c r="C266" i="1"/>
  <c r="B266" i="1" s="1"/>
  <c r="C317" i="1"/>
  <c r="B317" i="1" s="1"/>
  <c r="C477" i="1"/>
  <c r="B477" i="1" s="1"/>
  <c r="C522" i="1"/>
  <c r="B522" i="1" s="1"/>
  <c r="C609" i="1"/>
  <c r="B609" i="1" s="1"/>
  <c r="C733" i="1"/>
  <c r="B733" i="1" s="1"/>
  <c r="C829" i="1"/>
  <c r="B829" i="1" s="1"/>
  <c r="C934" i="1"/>
  <c r="B934" i="1" s="1"/>
  <c r="C1130" i="1"/>
  <c r="B1130" i="1" s="1"/>
  <c r="C1143" i="1"/>
  <c r="B1143" i="1" s="1"/>
  <c r="C1231" i="1"/>
  <c r="B1231" i="1" s="1"/>
  <c r="C1309" i="1"/>
  <c r="B1309" i="1" s="1"/>
  <c r="C65" i="1"/>
  <c r="B65" i="1" s="1"/>
  <c r="C397" i="1"/>
  <c r="B397" i="1" s="1"/>
  <c r="C752" i="1"/>
  <c r="B752" i="1" s="1"/>
  <c r="C1099" i="1"/>
  <c r="B1099" i="1" s="1"/>
  <c r="C1232" i="1"/>
  <c r="B1232" i="1" s="1"/>
  <c r="C328" i="1"/>
  <c r="B328" i="1" s="1"/>
  <c r="C873" i="1"/>
  <c r="B873" i="1" s="1"/>
  <c r="C1279" i="1"/>
  <c r="B1279" i="1" s="1"/>
  <c r="C1369" i="1"/>
  <c r="B1369" i="1" s="1"/>
  <c r="C324" i="1"/>
  <c r="B324" i="1" s="1"/>
  <c r="C360" i="1"/>
  <c r="B360" i="1" s="1"/>
  <c r="C478" i="1"/>
  <c r="B478" i="1" s="1"/>
  <c r="C481" i="1"/>
  <c r="B481" i="1" s="1"/>
  <c r="C525" i="1"/>
  <c r="B525" i="1" s="1"/>
  <c r="C611" i="1"/>
  <c r="B611" i="1" s="1"/>
  <c r="C735" i="1"/>
  <c r="B735" i="1" s="1"/>
  <c r="C832" i="1"/>
  <c r="B832" i="1" s="1"/>
  <c r="C938" i="1"/>
  <c r="B938" i="1" s="1"/>
  <c r="C936" i="1"/>
  <c r="B936" i="1" s="1"/>
  <c r="C1051" i="1"/>
  <c r="B1051" i="1" s="1"/>
  <c r="C1034" i="1"/>
  <c r="B1034" i="1" s="1"/>
  <c r="C1146" i="1"/>
  <c r="B1146" i="1" s="1"/>
  <c r="C1234" i="1"/>
  <c r="B1234" i="1" s="1"/>
  <c r="C1310" i="1"/>
  <c r="B1310" i="1" s="1"/>
  <c r="C66" i="1"/>
  <c r="B66" i="1" s="1"/>
  <c r="C323" i="1"/>
  <c r="B323" i="1" s="1"/>
  <c r="C414" i="1"/>
  <c r="B414" i="1" s="1"/>
  <c r="C530" i="1"/>
  <c r="B530" i="1" s="1"/>
  <c r="C617" i="1"/>
  <c r="B617" i="1" s="1"/>
  <c r="C741" i="1"/>
  <c r="B741" i="1" s="1"/>
  <c r="C837" i="1"/>
  <c r="B837" i="1" s="1"/>
  <c r="C943" i="1"/>
  <c r="B943" i="1" s="1"/>
  <c r="C1042" i="1"/>
  <c r="B1042" i="1" s="1"/>
  <c r="C1152" i="1"/>
  <c r="B1152" i="1" s="1"/>
  <c r="C1239" i="1"/>
  <c r="B1239" i="1" s="1"/>
  <c r="C1315" i="1"/>
  <c r="B1315" i="1" s="1"/>
  <c r="C319" i="1"/>
  <c r="B319" i="1" s="1"/>
  <c r="C408" i="1"/>
  <c r="B408" i="1" s="1"/>
  <c r="C526" i="1"/>
  <c r="B526" i="1" s="1"/>
  <c r="C612" i="1"/>
  <c r="B612" i="1" s="1"/>
  <c r="C736" i="1"/>
  <c r="B736" i="1" s="1"/>
  <c r="C833" i="1"/>
  <c r="B833" i="1" s="1"/>
  <c r="C939" i="1"/>
  <c r="B939" i="1" s="1"/>
  <c r="C1037" i="1"/>
  <c r="B1037" i="1" s="1"/>
  <c r="C1235" i="1"/>
  <c r="B1235" i="1" s="1"/>
  <c r="C1312" i="1"/>
  <c r="B1312" i="1" s="1"/>
  <c r="C138" i="1"/>
  <c r="B138" i="1" s="1"/>
  <c r="C187" i="1"/>
  <c r="B187" i="1" s="1"/>
  <c r="C200" i="1"/>
  <c r="B200" i="1" s="1"/>
  <c r="C274" i="1"/>
  <c r="B274" i="1" s="1"/>
  <c r="C330" i="1"/>
  <c r="B330" i="1" s="1"/>
  <c r="C425" i="1"/>
  <c r="B425" i="1" s="1"/>
  <c r="C489" i="1"/>
  <c r="B489" i="1" s="1"/>
  <c r="C511" i="1"/>
  <c r="B511" i="1" s="1"/>
  <c r="C539" i="1"/>
  <c r="B539" i="1" s="1"/>
  <c r="C578" i="1"/>
  <c r="B578" i="1" s="1"/>
  <c r="C579" i="1"/>
  <c r="B579" i="1" s="1"/>
  <c r="C622" i="1"/>
  <c r="B622" i="1" s="1"/>
  <c r="C694" i="1"/>
  <c r="B694" i="1" s="1"/>
  <c r="C748" i="1"/>
  <c r="B748" i="1" s="1"/>
  <c r="C804" i="1"/>
  <c r="B804" i="1" s="1"/>
  <c r="C845" i="1"/>
  <c r="B845" i="1" s="1"/>
  <c r="C915" i="1"/>
  <c r="B915" i="1" s="1"/>
  <c r="C949" i="1"/>
  <c r="B949" i="1" s="1"/>
  <c r="C1048" i="1"/>
  <c r="B1048" i="1" s="1"/>
  <c r="C1160" i="1"/>
  <c r="B1160" i="1" s="1"/>
  <c r="C1245" i="1"/>
  <c r="B1245" i="1" s="1"/>
  <c r="C1295" i="1"/>
  <c r="B1295" i="1" s="1"/>
  <c r="C1322" i="1"/>
  <c r="B1322" i="1" s="1"/>
  <c r="C1367" i="1"/>
  <c r="B1367" i="1" s="1"/>
  <c r="C1361" i="1"/>
  <c r="B1361" i="1" s="1"/>
  <c r="C682" i="1"/>
  <c r="B682" i="1" s="1"/>
  <c r="C687" i="1"/>
  <c r="B687" i="1" s="1"/>
  <c r="C688" i="1"/>
  <c r="B688" i="1" s="1"/>
  <c r="C1104" i="1"/>
  <c r="B1104" i="1" s="1"/>
  <c r="C1114" i="1"/>
  <c r="B1114" i="1" s="1"/>
  <c r="C59" i="1"/>
  <c r="B59" i="1" s="1"/>
  <c r="C1360" i="1"/>
  <c r="B1360" i="1" s="1"/>
  <c r="C77" i="1"/>
  <c r="B77" i="1" s="1"/>
  <c r="C87" i="1"/>
  <c r="B87" i="1" s="1"/>
  <c r="C153" i="1"/>
  <c r="B153" i="1" s="1"/>
  <c r="C164" i="1"/>
  <c r="B164" i="1" s="1"/>
  <c r="C178" i="1"/>
  <c r="B178" i="1" s="1"/>
  <c r="C206" i="1"/>
  <c r="B206" i="1" s="1"/>
  <c r="C212" i="1"/>
  <c r="B212" i="1" s="1"/>
  <c r="C214" i="1"/>
  <c r="B214" i="1" s="1"/>
  <c r="C217" i="1"/>
  <c r="B217" i="1" s="1"/>
  <c r="C235" i="1"/>
  <c r="B235" i="1" s="1"/>
  <c r="C301" i="1"/>
  <c r="B301" i="1" s="1"/>
  <c r="C340" i="1"/>
  <c r="B340" i="1" s="1"/>
  <c r="C347" i="1"/>
  <c r="B347" i="1" s="1"/>
  <c r="C376" i="1"/>
  <c r="B376" i="1" s="1"/>
  <c r="C430" i="1"/>
  <c r="B430" i="1" s="1"/>
  <c r="C476" i="1"/>
  <c r="B476" i="1" s="1"/>
  <c r="C519" i="1"/>
  <c r="B519" i="1" s="1"/>
  <c r="C559" i="1"/>
  <c r="B559" i="1" s="1"/>
  <c r="C637" i="1"/>
  <c r="B637" i="1" s="1"/>
  <c r="C640" i="1"/>
  <c r="B640" i="1" s="1"/>
  <c r="C702" i="1"/>
  <c r="B702" i="1" s="1"/>
  <c r="C715" i="1"/>
  <c r="B715" i="1" s="1"/>
  <c r="C730" i="1"/>
  <c r="B730" i="1" s="1"/>
  <c r="C749" i="1"/>
  <c r="B749" i="1" s="1"/>
  <c r="C789" i="1"/>
  <c r="B789" i="1" s="1"/>
  <c r="C805" i="1"/>
  <c r="B805" i="1" s="1"/>
  <c r="C811" i="1"/>
  <c r="B811" i="1" s="1"/>
  <c r="C876" i="1"/>
  <c r="B876" i="1" s="1"/>
  <c r="C921" i="1"/>
  <c r="B921" i="1" s="1"/>
  <c r="C997" i="1"/>
  <c r="B997" i="1" s="1"/>
  <c r="C1022" i="1"/>
  <c r="B1022" i="1" s="1"/>
  <c r="C1060" i="1"/>
  <c r="B1060" i="1" s="1"/>
  <c r="C1059" i="1"/>
  <c r="B1059" i="1" s="1"/>
  <c r="C1057" i="1"/>
  <c r="B1057" i="1" s="1"/>
  <c r="C1090" i="1"/>
  <c r="B1090" i="1" s="1"/>
  <c r="C1182" i="1"/>
  <c r="B1182" i="1" s="1"/>
  <c r="C1280" i="1"/>
  <c r="B1280" i="1" s="1"/>
  <c r="C1292" i="1"/>
  <c r="B1292" i="1" s="1"/>
  <c r="C1323" i="1"/>
  <c r="B1323" i="1" s="1"/>
  <c r="C1324" i="1"/>
  <c r="B1324" i="1" s="1"/>
  <c r="C1359" i="1"/>
  <c r="B1359" i="1" s="1"/>
  <c r="C1356" i="1"/>
  <c r="B1356" i="1" s="1"/>
  <c r="C565" i="1"/>
  <c r="B565" i="1" s="1"/>
  <c r="C1353" i="1"/>
  <c r="B1353" i="1" s="1"/>
  <c r="C1338" i="1"/>
  <c r="B1338" i="1" s="1"/>
  <c r="C1350" i="1"/>
  <c r="B1350" i="1" s="1"/>
  <c r="C1179" i="1"/>
  <c r="B1179" i="1" s="1"/>
  <c r="C120" i="1"/>
  <c r="B120" i="1" s="1"/>
  <c r="C239" i="1"/>
  <c r="B239" i="1" s="1"/>
  <c r="C593" i="1"/>
  <c r="B593" i="1" s="1"/>
  <c r="C705" i="1"/>
  <c r="B705" i="1" s="1"/>
  <c r="C626" i="1"/>
  <c r="B626" i="1" s="1"/>
  <c r="C1212" i="1"/>
  <c r="B1212" i="1" s="1"/>
  <c r="C255" i="1"/>
  <c r="B255" i="1" s="1"/>
  <c r="C1188" i="1"/>
  <c r="B1188" i="1" s="1"/>
  <c r="C437" i="1"/>
  <c r="B437" i="1" s="1"/>
  <c r="C534" i="1"/>
  <c r="B534" i="1" s="1"/>
  <c r="C291" i="1"/>
  <c r="B291" i="1" s="1"/>
  <c r="C567" i="1"/>
  <c r="B567" i="1" s="1"/>
  <c r="C950" i="1"/>
  <c r="B950" i="1" s="1"/>
  <c r="C1097" i="1"/>
  <c r="B1097" i="1" s="1"/>
  <c r="C1364" i="1"/>
  <c r="B1364" i="1" s="1"/>
  <c r="C798" i="1"/>
  <c r="B798" i="1" s="1"/>
  <c r="C881" i="1"/>
  <c r="B881" i="1" s="1"/>
  <c r="C900" i="1"/>
  <c r="B900" i="1" s="1"/>
  <c r="C1074" i="1"/>
  <c r="B1074" i="1" s="1"/>
  <c r="C111" i="1"/>
  <c r="B111" i="1" s="1"/>
  <c r="C208" i="1"/>
  <c r="B208" i="1" s="1"/>
  <c r="C236" i="1"/>
  <c r="B236" i="1" s="1"/>
  <c r="C257" i="1"/>
  <c r="B257" i="1" s="1"/>
  <c r="C394" i="1"/>
  <c r="B394" i="1" s="1"/>
  <c r="C563" i="1"/>
  <c r="B563" i="1" s="1"/>
  <c r="C557" i="1"/>
  <c r="B557" i="1" s="1"/>
  <c r="C575" i="1"/>
  <c r="B575" i="1" s="1"/>
  <c r="C635" i="1"/>
  <c r="B635" i="1" s="1"/>
  <c r="C663" i="1"/>
  <c r="B663" i="1" s="1"/>
  <c r="C689" i="1"/>
  <c r="B689" i="1" s="1"/>
  <c r="C765" i="1"/>
  <c r="B765" i="1" s="1"/>
  <c r="C847" i="1"/>
  <c r="B847" i="1" s="1"/>
  <c r="C857" i="1"/>
  <c r="B857" i="1" s="1"/>
  <c r="C880" i="1"/>
  <c r="B880" i="1" s="1"/>
  <c r="C965" i="1"/>
  <c r="B965" i="1" s="1"/>
  <c r="C975" i="1"/>
  <c r="B975" i="1" s="1"/>
  <c r="C981" i="1"/>
  <c r="B981" i="1" s="1"/>
  <c r="C1224" i="1"/>
  <c r="B1224" i="1" s="1"/>
  <c r="C1265" i="1"/>
  <c r="B1265" i="1" s="1"/>
  <c r="C1285" i="1"/>
  <c r="B1285" i="1" s="1"/>
  <c r="C1349" i="1"/>
  <c r="B1349" i="1" s="1"/>
  <c r="C486" i="1"/>
  <c r="B486" i="1" s="1"/>
  <c r="C96" i="1"/>
  <c r="B96" i="1" s="1"/>
  <c r="C126" i="1"/>
  <c r="B126" i="1" s="1"/>
  <c r="C228" i="1"/>
  <c r="B228" i="1" s="1"/>
  <c r="C276" i="1"/>
  <c r="B276" i="1" s="1"/>
  <c r="C332" i="1"/>
  <c r="B332" i="1" s="1"/>
  <c r="C381" i="1"/>
  <c r="B381" i="1" s="1"/>
  <c r="C449" i="1"/>
  <c r="B449" i="1" s="1"/>
  <c r="C544" i="1"/>
  <c r="B544" i="1" s="1"/>
  <c r="C613" i="1"/>
  <c r="B613" i="1" s="1"/>
  <c r="C781" i="1"/>
  <c r="B781" i="1" s="1"/>
  <c r="C879" i="1"/>
  <c r="B879" i="1" s="1"/>
  <c r="C961" i="1"/>
  <c r="B961" i="1" s="1"/>
  <c r="C1072" i="1"/>
  <c r="B1072" i="1" s="1"/>
  <c r="C1117" i="1"/>
  <c r="B1117" i="1" s="1"/>
  <c r="C1162" i="1"/>
  <c r="B1162" i="1" s="1"/>
  <c r="C1167" i="1"/>
  <c r="B1167" i="1" s="1"/>
  <c r="C1168" i="1"/>
  <c r="B1168" i="1" s="1"/>
  <c r="C1264" i="1"/>
  <c r="B1264" i="1" s="1"/>
  <c r="C1332" i="1"/>
  <c r="B1332" i="1" s="1"/>
  <c r="C155" i="1"/>
  <c r="B155" i="1" s="1"/>
  <c r="C189" i="1"/>
  <c r="B189" i="1" s="1"/>
  <c r="C221" i="1"/>
  <c r="B221" i="1" s="1"/>
  <c r="C354" i="1"/>
  <c r="B354" i="1" s="1"/>
  <c r="C435" i="1"/>
  <c r="B435" i="1" s="1"/>
  <c r="C434" i="1"/>
  <c r="B434" i="1" s="1"/>
  <c r="C653" i="1"/>
  <c r="B653" i="1" s="1"/>
  <c r="C852" i="1"/>
  <c r="B852" i="1" s="1"/>
  <c r="C1018" i="1"/>
  <c r="B1018" i="1" s="1"/>
  <c r="C1091" i="1"/>
  <c r="B1091" i="1" s="1"/>
  <c r="C1228" i="1"/>
  <c r="B1228" i="1" s="1"/>
  <c r="C1259" i="1"/>
  <c r="B1259" i="1" s="1"/>
  <c r="C1260" i="1"/>
  <c r="B1260" i="1" s="1"/>
  <c r="C1337" i="1"/>
  <c r="B1337" i="1" s="1"/>
  <c r="C1100" i="1"/>
  <c r="B1100" i="1" s="1"/>
  <c r="C1173" i="1"/>
  <c r="B1173" i="1" s="1"/>
  <c r="C1175" i="1"/>
  <c r="B1175" i="1" s="1"/>
  <c r="C729" i="1"/>
  <c r="B729" i="1" s="1"/>
  <c r="C979" i="1"/>
  <c r="B979" i="1" s="1"/>
  <c r="C1178" i="1"/>
  <c r="B1178" i="1" s="1"/>
  <c r="C1305" i="1"/>
  <c r="B1305" i="1" s="1"/>
  <c r="C1348" i="1"/>
  <c r="B1348" i="1" s="1"/>
  <c r="C113" i="1"/>
  <c r="B113" i="1" s="1"/>
  <c r="C28" i="1"/>
  <c r="B28" i="1" s="1"/>
  <c r="C283" i="1"/>
  <c r="B283" i="1" s="1"/>
  <c r="C564" i="1"/>
  <c r="B564" i="1" s="1"/>
  <c r="C877" i="1"/>
  <c r="B877" i="1" s="1"/>
  <c r="C1038" i="1"/>
  <c r="B1038" i="1" s="1"/>
  <c r="C1054" i="1"/>
  <c r="B1054" i="1" s="1"/>
  <c r="C1347" i="1"/>
  <c r="B1347" i="1" s="1"/>
  <c r="C1344" i="1"/>
  <c r="B1344" i="1" s="1"/>
  <c r="C554" i="1"/>
  <c r="B554" i="1" s="1"/>
  <c r="C769" i="1"/>
  <c r="B769" i="1" s="1"/>
  <c r="C1019" i="1"/>
  <c r="B1019" i="1" s="1"/>
  <c r="C1351" i="1"/>
  <c r="B1351" i="1" s="1"/>
  <c r="C299" i="1"/>
  <c r="B299" i="1" s="1"/>
  <c r="C566" i="1"/>
  <c r="B566" i="1" s="1"/>
  <c r="C592" i="1"/>
  <c r="B592" i="1" s="1"/>
  <c r="C944" i="1"/>
  <c r="B944" i="1" s="1"/>
  <c r="C1096" i="1"/>
  <c r="B1096" i="1" s="1"/>
  <c r="C1103" i="1"/>
  <c r="B1103" i="1" s="1"/>
  <c r="C1363" i="1"/>
  <c r="B1363" i="1" s="1"/>
  <c r="C627" i="1"/>
  <c r="B627" i="1" s="1"/>
  <c r="C696" i="1"/>
  <c r="B696" i="1" s="1"/>
  <c r="C1213" i="1"/>
  <c r="B1213" i="1" s="1"/>
  <c r="C1254" i="1"/>
  <c r="B1254" i="1" s="1"/>
  <c r="C1187" i="1"/>
  <c r="B1187" i="1" s="1"/>
  <c r="C1227" i="1"/>
  <c r="B1227" i="1" s="1"/>
  <c r="C1269" i="1"/>
  <c r="B1269" i="1" s="1"/>
  <c r="C436" i="1"/>
  <c r="B436" i="1" s="1"/>
  <c r="C500" i="1"/>
  <c r="B500" i="1" s="1"/>
  <c r="C505" i="1"/>
  <c r="B505" i="1" s="1"/>
  <c r="C533" i="1"/>
  <c r="B533" i="1" s="1"/>
  <c r="C555" i="1"/>
  <c r="B555" i="1" s="1"/>
  <c r="C779" i="1"/>
  <c r="B779" i="1" s="1"/>
  <c r="C797" i="1"/>
  <c r="B797" i="1" s="1"/>
  <c r="C815" i="1"/>
  <c r="B815" i="1" s="1"/>
  <c r="C814" i="1"/>
  <c r="B814" i="1" s="1"/>
  <c r="C882" i="1"/>
  <c r="B882" i="1" s="1"/>
  <c r="C899" i="1"/>
  <c r="B899" i="1" s="1"/>
  <c r="C958" i="1"/>
  <c r="B958" i="1" s="1"/>
  <c r="C1004" i="1"/>
  <c r="B1004" i="1" s="1"/>
  <c r="C1073" i="1"/>
  <c r="B1073" i="1" s="1"/>
  <c r="C1229" i="1"/>
  <c r="B1229" i="1" s="1"/>
  <c r="C49" i="1"/>
  <c r="B49" i="1" s="1"/>
  <c r="C48" i="1"/>
  <c r="B48" i="1" s="1"/>
  <c r="C55" i="1"/>
  <c r="B55" i="1" s="1"/>
  <c r="C294" i="1"/>
  <c r="B294" i="1" s="1"/>
  <c r="C648" i="1"/>
  <c r="B648" i="1" s="1"/>
  <c r="C642" i="1"/>
  <c r="B642" i="1" s="1"/>
  <c r="C966" i="1"/>
  <c r="B966" i="1" s="1"/>
  <c r="C973" i="1"/>
  <c r="B973" i="1" s="1"/>
  <c r="C974" i="1"/>
  <c r="B974" i="1" s="1"/>
  <c r="C1003" i="1"/>
  <c r="B1003" i="1" s="1"/>
  <c r="C1061" i="1"/>
  <c r="B1061" i="1" s="1"/>
  <c r="C1339" i="1"/>
  <c r="B1339" i="1" s="1"/>
  <c r="C14" i="1"/>
  <c r="B14" i="1" s="1"/>
  <c r="C356" i="1"/>
  <c r="B356" i="1" s="1"/>
  <c r="C700" i="1"/>
  <c r="B700" i="1" s="1"/>
  <c r="C969" i="1"/>
  <c r="B969" i="1" s="1"/>
  <c r="C1191" i="1"/>
  <c r="B1191" i="1" s="1"/>
  <c r="C1247" i="1"/>
  <c r="B1247" i="1" s="1"/>
  <c r="C507" i="1"/>
  <c r="B507" i="1" s="1"/>
  <c r="C587" i="1"/>
  <c r="B587" i="1" s="1"/>
  <c r="C1330" i="1"/>
  <c r="B1330" i="1" s="1"/>
  <c r="C22" i="1"/>
  <c r="B22" i="1" s="1"/>
  <c r="C31" i="1"/>
  <c r="B31" i="1" s="1"/>
  <c r="C100" i="1"/>
  <c r="B100" i="1" s="1"/>
  <c r="C119" i="1"/>
  <c r="B119" i="1" s="1"/>
  <c r="C168" i="1"/>
  <c r="B168" i="1" s="1"/>
  <c r="C172" i="1"/>
  <c r="B172" i="1" s="1"/>
  <c r="C377" i="1"/>
  <c r="B377" i="1" s="1"/>
  <c r="C385" i="1"/>
  <c r="B385" i="1" s="1"/>
  <c r="C395" i="1"/>
  <c r="B395" i="1" s="1"/>
  <c r="C445" i="1"/>
  <c r="B445" i="1" s="1"/>
  <c r="C466" i="1"/>
  <c r="B466" i="1" s="1"/>
  <c r="C571" i="1"/>
  <c r="B571" i="1" s="1"/>
  <c r="C638" i="1"/>
  <c r="B638" i="1" s="1"/>
  <c r="C704" i="1"/>
  <c r="B704" i="1" s="1"/>
  <c r="C802" i="1"/>
  <c r="B802" i="1" s="1"/>
  <c r="C846" i="1"/>
  <c r="B846" i="1" s="1"/>
  <c r="C599" i="1"/>
  <c r="B599" i="1" s="1"/>
  <c r="C962" i="1"/>
  <c r="B962" i="1" s="1"/>
  <c r="C1290" i="1"/>
  <c r="B1290" i="1" s="1"/>
  <c r="C1334" i="1"/>
  <c r="B1334" i="1" s="1"/>
  <c r="C158" i="1"/>
  <c r="B158" i="1" s="1"/>
  <c r="C336" i="1"/>
  <c r="B336" i="1" s="1"/>
  <c r="C585" i="1"/>
  <c r="B585" i="1" s="1"/>
  <c r="C957" i="1"/>
  <c r="B957" i="1" s="1"/>
  <c r="C1195" i="1"/>
  <c r="B1195" i="1" s="1"/>
  <c r="C352" i="1"/>
  <c r="B352" i="1" s="1"/>
  <c r="C509" i="1"/>
  <c r="B509" i="1" s="1"/>
  <c r="C24" i="1"/>
  <c r="B24" i="1" s="1"/>
  <c r="C69" i="1"/>
  <c r="B69" i="1" s="1"/>
  <c r="C108" i="1"/>
  <c r="B108" i="1" s="1"/>
  <c r="C167" i="1"/>
  <c r="B167" i="1" s="1"/>
  <c r="C194" i="1"/>
  <c r="B194" i="1" s="1"/>
  <c r="C250" i="1"/>
  <c r="B250" i="1" s="1"/>
  <c r="C295" i="1"/>
  <c r="B295" i="1" s="1"/>
  <c r="C333" i="1"/>
  <c r="B333" i="1" s="1"/>
  <c r="C402" i="1"/>
  <c r="B402" i="1" s="1"/>
  <c r="C426" i="1"/>
  <c r="B426" i="1" s="1"/>
  <c r="C451" i="1"/>
  <c r="B451" i="1" s="1"/>
  <c r="C549" i="1"/>
  <c r="B549" i="1" s="1"/>
  <c r="C633" i="1"/>
  <c r="B633" i="1" s="1"/>
  <c r="C651" i="1"/>
  <c r="B651" i="1" s="1"/>
  <c r="C674" i="1"/>
  <c r="B674" i="1" s="1"/>
  <c r="C673" i="1"/>
  <c r="B673" i="1" s="1"/>
  <c r="C699" i="1"/>
  <c r="B699" i="1" s="1"/>
  <c r="C788" i="1"/>
  <c r="B788" i="1" s="1"/>
  <c r="C800" i="1"/>
  <c r="B800" i="1" s="1"/>
  <c r="C851" i="1"/>
  <c r="B851" i="1" s="1"/>
  <c r="C850" i="1"/>
  <c r="B850" i="1" s="1"/>
  <c r="C856" i="1"/>
  <c r="B856" i="1" s="1"/>
  <c r="C875" i="1"/>
  <c r="B875" i="1" s="1"/>
  <c r="C989" i="1"/>
  <c r="B989" i="1" s="1"/>
  <c r="C990" i="1"/>
  <c r="B990" i="1" s="1"/>
  <c r="C988" i="1"/>
  <c r="B988" i="1" s="1"/>
  <c r="C1010" i="1"/>
  <c r="B1010" i="1" s="1"/>
  <c r="C1008" i="1"/>
  <c r="B1008" i="1" s="1"/>
  <c r="C1021" i="1"/>
  <c r="B1021" i="1" s="1"/>
  <c r="C1079" i="1"/>
  <c r="B1079" i="1" s="1"/>
  <c r="C1145" i="1"/>
  <c r="B1145" i="1" s="1"/>
  <c r="C1194" i="1"/>
  <c r="B1194" i="1" s="1"/>
  <c r="C1282" i="1"/>
  <c r="B1282" i="1" s="1"/>
  <c r="C1306" i="1"/>
  <c r="B1306" i="1" s="1"/>
  <c r="C1308" i="1"/>
  <c r="B1308" i="1" s="1"/>
  <c r="C1329" i="1"/>
  <c r="B1329" i="1" s="1"/>
  <c r="C1325" i="1"/>
  <c r="B1325" i="1" s="1"/>
  <c r="C335" i="1"/>
  <c r="B335" i="1" s="1"/>
  <c r="C337" i="1"/>
  <c r="B337" i="1" s="1"/>
  <c r="C180" i="1"/>
  <c r="B180" i="1" s="1"/>
  <c r="C403" i="1"/>
  <c r="B403" i="1" s="1"/>
  <c r="C589" i="1"/>
  <c r="B589" i="1" s="1"/>
  <c r="C697" i="1"/>
  <c r="B697" i="1" s="1"/>
  <c r="C895" i="1"/>
  <c r="B895" i="1" s="1"/>
  <c r="C1094" i="1"/>
  <c r="B1094" i="1" s="1"/>
  <c r="C1328" i="1"/>
  <c r="B1328" i="1" s="1"/>
  <c r="C71" i="1"/>
  <c r="B71" i="1" s="1"/>
  <c r="C85" i="1"/>
  <c r="B85" i="1" s="1"/>
  <c r="C90" i="1"/>
  <c r="B90" i="1" s="1"/>
  <c r="C89" i="1"/>
  <c r="B89" i="1" s="1"/>
  <c r="C118" i="1"/>
  <c r="B118" i="1" s="1"/>
  <c r="C160" i="1"/>
  <c r="B160" i="1" s="1"/>
  <c r="C209" i="1"/>
  <c r="B209" i="1" s="1"/>
  <c r="C223" i="1"/>
  <c r="B223" i="1" s="1"/>
  <c r="C306" i="1"/>
  <c r="B306" i="1" s="1"/>
  <c r="C432" i="1"/>
  <c r="B432" i="1" s="1"/>
  <c r="C727" i="1"/>
  <c r="B727" i="1" s="1"/>
  <c r="C751" i="1"/>
  <c r="B751" i="1" s="1"/>
  <c r="C750" i="1"/>
  <c r="B750" i="1" s="1"/>
  <c r="C803" i="1"/>
  <c r="B803" i="1" s="1"/>
  <c r="C823" i="1"/>
  <c r="B823" i="1" s="1"/>
  <c r="C871" i="1"/>
  <c r="B871" i="1" s="1"/>
  <c r="C1120" i="1"/>
  <c r="B1120" i="1" s="1"/>
  <c r="C1198" i="1"/>
  <c r="B1198" i="1" s="1"/>
  <c r="C1220" i="1"/>
  <c r="B1220" i="1" s="1"/>
  <c r="C1256" i="1"/>
  <c r="B1256" i="1" s="1"/>
  <c r="C1358" i="1"/>
  <c r="B1358" i="1" s="1"/>
  <c r="C1372" i="1"/>
  <c r="B1372" i="1" s="1"/>
  <c r="C9" i="1"/>
  <c r="B9" i="1" s="1"/>
  <c r="C10" i="1"/>
  <c r="B10" i="1" s="1"/>
  <c r="C251" i="1"/>
  <c r="B251" i="1" s="1"/>
  <c r="C256" i="1"/>
  <c r="B256" i="1" s="1"/>
  <c r="C4" i="1"/>
  <c r="B4" i="1" s="1"/>
  <c r="C30" i="1"/>
  <c r="B30" i="1" s="1"/>
  <c r="C33" i="1"/>
  <c r="B33" i="1" s="1"/>
  <c r="C40" i="1"/>
  <c r="B40" i="1" s="1"/>
  <c r="C152" i="1"/>
  <c r="B152" i="1" s="1"/>
  <c r="C190" i="1"/>
  <c r="B190" i="1" s="1"/>
  <c r="C213" i="1"/>
  <c r="B213" i="1" s="1"/>
  <c r="C240" i="1"/>
  <c r="B240" i="1" s="1"/>
  <c r="C243" i="1"/>
  <c r="B243" i="1" s="1"/>
  <c r="C298" i="1"/>
  <c r="B298" i="1" s="1"/>
  <c r="C391" i="1"/>
  <c r="B391" i="1" s="1"/>
  <c r="C429" i="1"/>
  <c r="B429" i="1" s="1"/>
  <c r="C582" i="1"/>
  <c r="B582" i="1" s="1"/>
  <c r="C650" i="1"/>
  <c r="B650" i="1" s="1"/>
  <c r="C680" i="1"/>
  <c r="B680" i="1" s="1"/>
  <c r="C710" i="1"/>
  <c r="B710" i="1" s="1"/>
  <c r="C855" i="1"/>
  <c r="B855" i="1" s="1"/>
  <c r="C872" i="1"/>
  <c r="B872" i="1" s="1"/>
  <c r="C894" i="1"/>
  <c r="B894" i="1" s="1"/>
  <c r="C1001" i="1"/>
  <c r="B1001" i="1" s="1"/>
  <c r="C1028" i="1"/>
  <c r="B1028" i="1" s="1"/>
  <c r="C1113" i="1"/>
  <c r="B1113" i="1" s="1"/>
  <c r="C1189" i="1"/>
  <c r="B1189" i="1" s="1"/>
  <c r="C1221" i="1"/>
  <c r="B1221" i="1" s="1"/>
  <c r="C1297" i="1"/>
  <c r="B1297" i="1" s="1"/>
  <c r="C1288" i="1"/>
  <c r="B1288" i="1" s="1"/>
  <c r="C1296" i="1"/>
  <c r="B1296" i="1" s="1"/>
  <c r="C1298" i="1"/>
  <c r="B1298" i="1" s="1"/>
  <c r="C204" i="1"/>
  <c r="B204" i="1" s="1"/>
  <c r="C1053" i="1"/>
  <c r="B1053" i="1" s="1"/>
  <c r="C1049" i="1"/>
  <c r="B1049" i="1" s="1"/>
  <c r="C284" i="1"/>
  <c r="B284" i="1" s="1"/>
  <c r="C362" i="1"/>
  <c r="B362" i="1" s="1"/>
  <c r="C474" i="1"/>
  <c r="B474" i="1" s="1"/>
  <c r="C623" i="1"/>
  <c r="B623" i="1" s="1"/>
  <c r="C677" i="1"/>
  <c r="B677" i="1" s="1"/>
  <c r="C678" i="1"/>
  <c r="B678" i="1" s="1"/>
  <c r="C679" i="1"/>
  <c r="B679" i="1" s="1"/>
  <c r="C1230" i="1"/>
  <c r="B1230" i="1" s="1"/>
  <c r="C552" i="1"/>
  <c r="B552" i="1" s="1"/>
  <c r="C624" i="1"/>
  <c r="B624" i="1" s="1"/>
  <c r="C743" i="1"/>
  <c r="B743" i="1" s="1"/>
  <c r="C443" i="1"/>
  <c r="B443" i="1" s="1"/>
  <c r="C302" i="1"/>
  <c r="B302" i="1" s="1"/>
  <c r="C405" i="1"/>
  <c r="B405" i="1" s="1"/>
  <c r="C455" i="1"/>
  <c r="B455" i="1" s="1"/>
  <c r="C520" i="1"/>
  <c r="B520" i="1" s="1"/>
  <c r="C780" i="1"/>
  <c r="B780" i="1" s="1"/>
  <c r="C791" i="1"/>
  <c r="B791" i="1" s="1"/>
  <c r="C661" i="1"/>
  <c r="B661" i="1" s="1"/>
  <c r="C656" i="1"/>
  <c r="B656" i="1" s="1"/>
  <c r="C808" i="1"/>
  <c r="B808" i="1" s="1"/>
  <c r="C898" i="1"/>
  <c r="B898" i="1" s="1"/>
  <c r="C901" i="1"/>
  <c r="B901" i="1" s="1"/>
  <c r="C1063" i="1"/>
  <c r="B1063" i="1" s="1"/>
  <c r="C1181" i="1"/>
  <c r="B1181" i="1" s="1"/>
  <c r="C1283" i="1"/>
  <c r="B1283" i="1" s="1"/>
  <c r="C175" i="1"/>
  <c r="B175" i="1" s="1"/>
  <c r="C233" i="1"/>
  <c r="B233" i="1" s="1"/>
  <c r="C776" i="1"/>
  <c r="B776" i="1" s="1"/>
  <c r="C1354" i="1"/>
  <c r="B1354" i="1" s="1"/>
  <c r="C249" i="1"/>
  <c r="B249" i="1" s="1"/>
  <c r="C1275" i="1"/>
  <c r="B1275" i="1" s="1"/>
  <c r="C654" i="1"/>
  <c r="B654" i="1" s="1"/>
  <c r="C760" i="1"/>
  <c r="B760" i="1" s="1"/>
  <c r="C762" i="1"/>
  <c r="B762" i="1" s="1"/>
  <c r="C906" i="1"/>
  <c r="B906" i="1" s="1"/>
  <c r="C1031" i="1"/>
  <c r="B1031" i="1" s="1"/>
  <c r="C970" i="1"/>
  <c r="B970" i="1" s="1"/>
  <c r="C1020" i="1"/>
  <c r="B1020" i="1" s="1"/>
  <c r="C1118" i="1"/>
  <c r="B1118" i="1" s="1"/>
  <c r="C1374" i="1"/>
  <c r="B1374" i="1" s="1"/>
  <c r="C1355" i="1"/>
  <c r="B1355" i="1" s="1"/>
  <c r="C1274" i="1"/>
  <c r="B1274" i="1" s="1"/>
  <c r="C1272" i="1"/>
  <c r="B1272" i="1" s="1"/>
  <c r="C278" i="1"/>
  <c r="B278" i="1" s="1"/>
  <c r="C116" i="1"/>
  <c r="B116" i="1" s="1"/>
  <c r="C25" i="1"/>
  <c r="B25" i="1" s="1"/>
  <c r="C88" i="1"/>
  <c r="B88" i="1" s="1"/>
  <c r="C188" i="1"/>
  <c r="B188" i="1" s="1"/>
  <c r="C201" i="1"/>
  <c r="B201" i="1" s="1"/>
  <c r="C349" i="1"/>
  <c r="B349" i="1" s="1"/>
  <c r="C491" i="1"/>
  <c r="B491" i="1" s="1"/>
  <c r="C753" i="1"/>
  <c r="B753" i="1" s="1"/>
  <c r="C870" i="1"/>
  <c r="B870" i="1" s="1"/>
  <c r="C1009" i="1"/>
  <c r="B1009" i="1" s="1"/>
  <c r="C54" i="1"/>
  <c r="B54" i="1" s="1"/>
  <c r="C380" i="1"/>
  <c r="B380" i="1" s="1"/>
  <c r="C717" i="1"/>
  <c r="B717" i="1" s="1"/>
  <c r="C712" i="1"/>
  <c r="B712" i="1" s="1"/>
  <c r="C922" i="1"/>
  <c r="B922" i="1" s="1"/>
  <c r="C1002" i="1"/>
  <c r="B1002" i="1" s="1"/>
  <c r="C1062" i="1"/>
  <c r="B1062" i="1" s="1"/>
  <c r="C1086" i="1"/>
  <c r="B1086" i="1" s="1"/>
  <c r="C1277" i="1"/>
  <c r="B1277" i="1" s="1"/>
  <c r="C1336" i="1"/>
  <c r="B1336" i="1" s="1"/>
  <c r="C1257" i="1"/>
  <c r="B1257" i="1" s="1"/>
  <c r="C681" i="1"/>
  <c r="B681" i="1" s="1"/>
  <c r="C670" i="1"/>
  <c r="B670" i="1" s="1"/>
  <c r="C887" i="1"/>
  <c r="B887" i="1" s="1"/>
  <c r="C919" i="1"/>
  <c r="B919" i="1" s="1"/>
  <c r="C995" i="1"/>
  <c r="B995" i="1" s="1"/>
  <c r="C652" i="1"/>
  <c r="B652" i="1" s="1"/>
  <c r="C76" i="1"/>
  <c r="B76" i="1" s="1"/>
  <c r="C165" i="1"/>
  <c r="B165" i="1" s="1"/>
  <c r="C220" i="1"/>
  <c r="B220" i="1" s="1"/>
  <c r="C285" i="1"/>
  <c r="B285" i="1" s="1"/>
  <c r="C386" i="1"/>
  <c r="B386" i="1" s="1"/>
  <c r="C473" i="1"/>
  <c r="B473" i="1" s="1"/>
  <c r="C676" i="1"/>
  <c r="B676" i="1" s="1"/>
  <c r="C726" i="1"/>
  <c r="B726" i="1" s="1"/>
  <c r="C783" i="1"/>
  <c r="B783" i="1" s="1"/>
  <c r="C858" i="1"/>
  <c r="B858" i="1" s="1"/>
  <c r="C861" i="1"/>
  <c r="B861" i="1" s="1"/>
  <c r="C1052" i="1"/>
  <c r="B1052" i="1" s="1"/>
  <c r="C1362" i="1"/>
  <c r="B1362" i="1" s="1"/>
  <c r="C6" i="1"/>
  <c r="B6" i="1" s="1"/>
  <c r="C18" i="1"/>
  <c r="B18" i="1" s="1"/>
  <c r="C20" i="1"/>
  <c r="B20" i="1" s="1"/>
  <c r="C35" i="1"/>
  <c r="B35" i="1" s="1"/>
  <c r="C52" i="1"/>
  <c r="B52" i="1" s="1"/>
  <c r="C51" i="1"/>
  <c r="B51" i="1" s="1"/>
  <c r="C81" i="1"/>
  <c r="B81" i="1" s="1"/>
  <c r="C139" i="1"/>
  <c r="B139" i="1" s="1"/>
  <c r="C156" i="1"/>
  <c r="B156" i="1" s="1"/>
  <c r="C157" i="1"/>
  <c r="B157" i="1" s="1"/>
  <c r="C202" i="1"/>
  <c r="B202" i="1" s="1"/>
  <c r="C211" i="1"/>
  <c r="B211" i="1" s="1"/>
  <c r="C222" i="1"/>
  <c r="B222" i="1" s="1"/>
  <c r="C231" i="1"/>
  <c r="B231" i="1" s="1"/>
  <c r="C290" i="1"/>
  <c r="B290" i="1" s="1"/>
  <c r="C297" i="1"/>
  <c r="B297" i="1" s="1"/>
  <c r="C341" i="1"/>
  <c r="B341" i="1" s="1"/>
  <c r="C345" i="1"/>
  <c r="B345" i="1" s="1"/>
  <c r="C353" i="1"/>
  <c r="B353" i="1" s="1"/>
  <c r="C355" i="1"/>
  <c r="B355" i="1" s="1"/>
  <c r="C409" i="1"/>
  <c r="B409" i="1" s="1"/>
  <c r="C421" i="1"/>
  <c r="B421" i="1" s="1"/>
  <c r="C417" i="1"/>
  <c r="B417" i="1" s="1"/>
  <c r="C428" i="1"/>
  <c r="B428" i="1" s="1"/>
  <c r="C441" i="1"/>
  <c r="B441" i="1" s="1"/>
  <c r="C461" i="1"/>
  <c r="B461" i="1" s="1"/>
  <c r="C457" i="1"/>
  <c r="B457" i="1" s="1"/>
  <c r="C465" i="1"/>
  <c r="B465" i="1" s="1"/>
  <c r="C464" i="1"/>
  <c r="B464" i="1" s="1"/>
  <c r="C485" i="1"/>
  <c r="B485" i="1" s="1"/>
  <c r="C496" i="1"/>
  <c r="B496" i="1" s="1"/>
  <c r="C502" i="1"/>
  <c r="B502" i="1" s="1"/>
  <c r="C556" i="1"/>
  <c r="B556" i="1" s="1"/>
  <c r="C722" i="1"/>
  <c r="B722" i="1" s="1"/>
  <c r="C771" i="1"/>
  <c r="B771" i="1" s="1"/>
  <c r="C878" i="1"/>
  <c r="B878" i="1" s="1"/>
  <c r="C954" i="1"/>
  <c r="B954" i="1" s="1"/>
  <c r="C951" i="1"/>
  <c r="B951" i="1" s="1"/>
  <c r="C985" i="1"/>
  <c r="B985" i="1" s="1"/>
  <c r="C1058" i="1"/>
  <c r="B1058" i="1" s="1"/>
  <c r="C1088" i="1"/>
  <c r="B1088" i="1" s="1"/>
  <c r="C1190" i="1"/>
  <c r="B1190" i="1" s="1"/>
  <c r="C1211" i="1"/>
  <c r="B1211" i="1" s="1"/>
  <c r="C1209" i="1"/>
  <c r="B1209" i="1" s="1"/>
  <c r="C1250" i="1"/>
  <c r="B1250" i="1" s="1"/>
  <c r="C1248" i="1"/>
  <c r="B1248" i="1" s="1"/>
  <c r="C1253" i="1"/>
  <c r="B1253" i="1" s="1"/>
  <c r="C342" i="1"/>
  <c r="B342" i="1" s="1"/>
  <c r="C369" i="1"/>
  <c r="B369" i="1" s="1"/>
  <c r="C884" i="1"/>
  <c r="B884" i="1" s="1"/>
  <c r="C886" i="1"/>
  <c r="B886" i="1" s="1"/>
  <c r="C1065" i="1"/>
  <c r="B1065" i="1" s="1"/>
  <c r="C1287" i="1"/>
  <c r="B1287" i="1" s="1"/>
  <c r="C163" i="1"/>
  <c r="B163" i="1" s="1"/>
  <c r="C191" i="1"/>
  <c r="B191" i="1" s="1"/>
  <c r="C300" i="1"/>
  <c r="B300" i="1" s="1"/>
  <c r="C456" i="1"/>
  <c r="B456" i="1" s="1"/>
  <c r="C498" i="1"/>
  <c r="B498" i="1" s="1"/>
  <c r="C569" i="1"/>
  <c r="B569" i="1" s="1"/>
  <c r="C668" i="1"/>
  <c r="B668" i="1" s="1"/>
  <c r="C984" i="1"/>
  <c r="B984" i="1" s="1"/>
  <c r="C1196" i="1"/>
  <c r="B1196" i="1" s="1"/>
  <c r="C32" i="1"/>
  <c r="B32" i="1" s="1"/>
  <c r="C37" i="1"/>
  <c r="B37" i="1" s="1"/>
  <c r="C82" i="1"/>
  <c r="B82" i="1" s="1"/>
  <c r="C159" i="1"/>
  <c r="B159" i="1" s="1"/>
  <c r="C215" i="1"/>
  <c r="B215" i="1" s="1"/>
  <c r="C229" i="1"/>
  <c r="B229" i="1" s="1"/>
  <c r="C280" i="1"/>
  <c r="B280" i="1" s="1"/>
  <c r="C344" i="1"/>
  <c r="B344" i="1" s="1"/>
  <c r="C375" i="1"/>
  <c r="B375" i="1" s="1"/>
  <c r="C419" i="1"/>
  <c r="B419" i="1" s="1"/>
  <c r="C438" i="1"/>
  <c r="B438" i="1" s="1"/>
  <c r="C454" i="1"/>
  <c r="B454" i="1" s="1"/>
  <c r="C551" i="1"/>
  <c r="B551" i="1" s="1"/>
  <c r="C591" i="1"/>
  <c r="B591" i="1" s="1"/>
  <c r="C675" i="1"/>
  <c r="B675" i="1" s="1"/>
  <c r="C784" i="1"/>
  <c r="B784" i="1" s="1"/>
  <c r="C864" i="1"/>
  <c r="B864" i="1" s="1"/>
  <c r="C953" i="1"/>
  <c r="B953" i="1" s="1"/>
  <c r="C1017" i="1"/>
  <c r="B1017" i="1" s="1"/>
  <c r="C1069" i="1"/>
  <c r="B1069" i="1" s="1"/>
  <c r="C1171" i="1"/>
  <c r="B1171" i="1" s="1"/>
  <c r="C1192" i="1"/>
  <c r="B1192" i="1" s="1"/>
  <c r="C1268" i="1"/>
  <c r="B1268" i="1" s="1"/>
  <c r="C1252" i="1"/>
  <c r="B1252" i="1" s="1"/>
  <c r="C1249" i="1"/>
  <c r="B1249" i="1" s="1"/>
  <c r="C1393" i="1"/>
  <c r="B1393" i="1" s="1"/>
  <c r="C1388" i="1"/>
  <c r="B1388" i="1" s="1"/>
  <c r="C1391" i="1"/>
  <c r="B1391" i="1" s="1"/>
  <c r="C1390" i="1"/>
  <c r="B1390" i="1" s="1"/>
  <c r="C1392" i="1"/>
  <c r="B1392" i="1" s="1"/>
  <c r="C1389" i="1"/>
  <c r="B1389" i="1" s="1"/>
  <c r="C1246" i="1"/>
  <c r="B1246" i="1" s="1"/>
  <c r="C1226" i="1"/>
  <c r="B1226" i="1" s="1"/>
  <c r="C1225" i="1"/>
  <c r="B1225" i="1" s="1"/>
  <c r="C1207" i="1"/>
  <c r="B1207" i="1" s="1"/>
  <c r="C1205" i="1"/>
  <c r="B1205" i="1" s="1"/>
  <c r="C1414" i="1"/>
  <c r="B1414" i="1" s="1"/>
  <c r="C1413" i="1"/>
  <c r="B1413" i="1" s="1"/>
  <c r="C1416" i="1"/>
  <c r="B1416" i="1" s="1"/>
  <c r="C666" i="1"/>
  <c r="B666" i="1" s="1"/>
  <c r="D1014" i="1"/>
  <c r="D5" i="1"/>
  <c r="D39" i="1"/>
  <c r="D41" i="1"/>
  <c r="D286" i="1"/>
  <c r="D287" i="1"/>
  <c r="D383" i="1"/>
  <c r="D547" i="1"/>
  <c r="D660" i="1"/>
  <c r="D913" i="1"/>
  <c r="D1174" i="1"/>
  <c r="D1176" i="1"/>
  <c r="D909" i="1"/>
  <c r="D908" i="1"/>
  <c r="D905" i="1"/>
  <c r="D470" i="1"/>
  <c r="D467" i="1"/>
  <c r="D793" i="1"/>
  <c r="D358" i="1"/>
  <c r="D38" i="1"/>
  <c r="D543" i="1"/>
  <c r="D545" i="1"/>
  <c r="D903" i="1"/>
  <c r="D925" i="1"/>
  <c r="D1210" i="1"/>
  <c r="D17" i="1"/>
  <c r="D149" i="1"/>
  <c r="D183" i="1"/>
  <c r="D427" i="1"/>
  <c r="D483" i="1"/>
  <c r="D605" i="1"/>
  <c r="D767" i="1"/>
  <c r="D865" i="1"/>
  <c r="D980" i="1"/>
  <c r="D1110" i="1"/>
  <c r="D1202" i="1"/>
  <c r="D26" i="1"/>
  <c r="D50" i="1"/>
  <c r="D57" i="1"/>
  <c r="D142" i="1"/>
  <c r="D1153" i="1"/>
  <c r="D1105" i="1"/>
  <c r="D1106" i="1"/>
  <c r="D1357" i="1"/>
  <c r="D1368" i="1"/>
  <c r="D121" i="1"/>
  <c r="D122" i="1"/>
  <c r="D124" i="1"/>
  <c r="D123" i="1"/>
  <c r="D125" i="1"/>
  <c r="D468" i="1"/>
  <c r="D568" i="1"/>
  <c r="D598" i="1"/>
  <c r="D595" i="1"/>
  <c r="D596" i="1"/>
  <c r="D636" i="1"/>
  <c r="D641" i="1"/>
  <c r="D667" i="1"/>
  <c r="D719" i="1"/>
  <c r="D718" i="1"/>
  <c r="D720" i="1"/>
  <c r="D721" i="1"/>
  <c r="D725" i="1"/>
  <c r="D731" i="1"/>
  <c r="D799" i="1"/>
  <c r="D817" i="1"/>
  <c r="D819" i="1"/>
  <c r="D820" i="1"/>
  <c r="D818" i="1"/>
  <c r="D816" i="1"/>
  <c r="D822" i="1"/>
  <c r="D916" i="1"/>
  <c r="D923" i="1"/>
  <c r="D929" i="1"/>
  <c r="D928" i="1"/>
  <c r="D927" i="1"/>
  <c r="D930" i="1"/>
  <c r="D931" i="1"/>
  <c r="D933" i="1"/>
  <c r="D963" i="1"/>
  <c r="D999" i="1"/>
  <c r="D1005" i="1"/>
  <c r="D1026" i="1"/>
  <c r="D1024" i="1"/>
  <c r="D1030" i="1"/>
  <c r="D1029" i="1"/>
  <c r="D1025" i="1"/>
  <c r="D1032" i="1"/>
  <c r="D1055" i="1"/>
  <c r="D1115" i="1"/>
  <c r="D1137" i="1"/>
  <c r="D1136" i="1"/>
  <c r="D1140" i="1"/>
  <c r="D1138" i="1"/>
  <c r="D1139" i="1"/>
  <c r="D1141" i="1"/>
  <c r="D1300" i="1"/>
  <c r="D1301" i="1"/>
  <c r="D1303" i="1"/>
  <c r="D1302" i="1"/>
  <c r="D1307" i="1"/>
  <c r="D1304" i="1"/>
  <c r="D706" i="1"/>
  <c r="D410" i="1"/>
  <c r="D1011" i="1"/>
  <c r="D331" i="1"/>
  <c r="D1217" i="1"/>
  <c r="D1299" i="1"/>
  <c r="D42" i="1"/>
  <c r="D1177" i="1"/>
  <c r="D1327" i="1"/>
  <c r="D703" i="1"/>
  <c r="D737" i="1"/>
  <c r="D848" i="1"/>
  <c r="D15" i="1"/>
  <c r="D63" i="1"/>
  <c r="D72" i="1"/>
  <c r="D1135" i="1"/>
  <c r="D1166" i="1"/>
  <c r="D303" i="1"/>
  <c r="D1050" i="1"/>
  <c r="D501" i="1"/>
  <c r="D1098" i="1"/>
  <c r="D105" i="1"/>
  <c r="D170" i="1"/>
  <c r="D796" i="1"/>
  <c r="D993" i="1"/>
  <c r="D604" i="1"/>
  <c r="D80" i="1"/>
  <c r="D97" i="1"/>
  <c r="D127" i="1"/>
  <c r="D227" i="1"/>
  <c r="D275" i="1"/>
  <c r="D1122" i="1"/>
  <c r="D1163" i="1"/>
  <c r="D1261" i="1"/>
  <c r="D1331" i="1"/>
  <c r="D691" i="1"/>
  <c r="D732" i="1"/>
  <c r="D64" i="1"/>
  <c r="D132" i="1"/>
  <c r="D472" i="1"/>
  <c r="D471" i="1"/>
  <c r="D475" i="1"/>
  <c r="D576" i="1"/>
  <c r="D631" i="1"/>
  <c r="D669" i="1"/>
  <c r="D1084" i="1"/>
  <c r="D1085" i="1"/>
  <c r="D259" i="1"/>
  <c r="D312" i="1"/>
  <c r="D396" i="1"/>
  <c r="D515" i="1"/>
  <c r="D601" i="1"/>
  <c r="D462" i="1"/>
  <c r="D584" i="1"/>
  <c r="D260" i="1"/>
  <c r="D313" i="1"/>
  <c r="D404" i="1"/>
  <c r="D516" i="1"/>
  <c r="D602" i="1"/>
  <c r="D103" i="1"/>
  <c r="D147" i="1"/>
  <c r="D173" i="1"/>
  <c r="D176" i="1"/>
  <c r="D205" i="1"/>
  <c r="D216" i="1"/>
  <c r="D226" i="1"/>
  <c r="D258" i="1"/>
  <c r="D277" i="1"/>
  <c r="D296" i="1"/>
  <c r="D308" i="1"/>
  <c r="D334" i="1"/>
  <c r="D351" i="1"/>
  <c r="D361" i="1"/>
  <c r="D379" i="1"/>
  <c r="D392" i="1"/>
  <c r="D399" i="1"/>
  <c r="D433" i="1"/>
  <c r="D453" i="1"/>
  <c r="D497" i="1"/>
  <c r="D546" i="1"/>
  <c r="D574" i="1"/>
  <c r="D588" i="1"/>
  <c r="D632" i="1"/>
  <c r="D643" i="1"/>
  <c r="D664" i="1"/>
  <c r="D709" i="1"/>
  <c r="D708" i="1"/>
  <c r="D754" i="1"/>
  <c r="D787" i="1"/>
  <c r="D794" i="1"/>
  <c r="D821" i="1"/>
  <c r="D860" i="1"/>
  <c r="D874" i="1"/>
  <c r="D892" i="1"/>
  <c r="D926" i="1"/>
  <c r="D956" i="1"/>
  <c r="D976" i="1"/>
  <c r="D1000" i="1"/>
  <c r="D1015" i="1"/>
  <c r="D1068" i="1"/>
  <c r="D1092" i="1"/>
  <c r="D1107" i="1"/>
  <c r="D1127" i="1"/>
  <c r="D1169" i="1"/>
  <c r="D1183" i="1"/>
  <c r="D1200" i="1"/>
  <c r="D1240" i="1"/>
  <c r="D1263" i="1"/>
  <c r="D1278" i="1"/>
  <c r="D1291" i="1"/>
  <c r="D1326" i="1"/>
  <c r="D1346" i="1"/>
  <c r="D1384" i="1"/>
  <c r="D58" i="1"/>
  <c r="D343" i="1"/>
  <c r="D541" i="1"/>
  <c r="D594" i="1"/>
  <c r="D630" i="1"/>
  <c r="D683" i="1"/>
  <c r="D773" i="1"/>
  <c r="D795" i="1"/>
  <c r="D869" i="1"/>
  <c r="D1154" i="1"/>
  <c r="D1170" i="1"/>
  <c r="D1203" i="1"/>
  <c r="D244" i="1"/>
  <c r="D262" i="1"/>
  <c r="D314" i="1"/>
  <c r="D401" i="1"/>
  <c r="D518" i="1"/>
  <c r="D606" i="1"/>
  <c r="D53" i="1"/>
  <c r="D144" i="1"/>
  <c r="D1121" i="1"/>
  <c r="D1266" i="1"/>
  <c r="D1335" i="1"/>
  <c r="D210" i="1"/>
  <c r="D777" i="1"/>
  <c r="D1165" i="1"/>
  <c r="D94" i="1"/>
  <c r="D109" i="1"/>
  <c r="D179" i="1"/>
  <c r="D304" i="1"/>
  <c r="D338" i="1"/>
  <c r="D387" i="1"/>
  <c r="D444" i="1"/>
  <c r="D550" i="1"/>
  <c r="D827" i="1"/>
  <c r="D261" i="1"/>
  <c r="D311" i="1"/>
  <c r="D400" i="1"/>
  <c r="D517" i="1"/>
  <c r="D603" i="1"/>
  <c r="D95" i="1"/>
  <c r="D98" i="1"/>
  <c r="D263" i="1"/>
  <c r="D315" i="1"/>
  <c r="D406" i="1"/>
  <c r="D521" i="1"/>
  <c r="D608" i="1"/>
  <c r="D366" i="1"/>
  <c r="D480" i="1"/>
  <c r="D644" i="1"/>
  <c r="D896" i="1"/>
  <c r="D1044" i="1"/>
  <c r="D1284" i="1"/>
  <c r="D3" i="1"/>
  <c r="D61" i="1"/>
  <c r="D92" i="1"/>
  <c r="D146" i="1"/>
  <c r="D145" i="1"/>
  <c r="D143" i="1"/>
  <c r="D151" i="1"/>
  <c r="D154" i="1"/>
  <c r="D371" i="1"/>
  <c r="D442" i="1"/>
  <c r="D439" i="1"/>
  <c r="D590" i="1"/>
  <c r="D698" i="1"/>
  <c r="D790" i="1"/>
  <c r="D891" i="1"/>
  <c r="D890" i="1"/>
  <c r="D1108" i="1"/>
  <c r="D1109" i="1"/>
  <c r="D246" i="1"/>
  <c r="D867" i="1"/>
  <c r="D79" i="1"/>
  <c r="D766" i="1"/>
  <c r="D482" i="1"/>
  <c r="D665" i="1"/>
  <c r="D959" i="1"/>
  <c r="D1036" i="1"/>
  <c r="D1343" i="1"/>
  <c r="D368" i="1"/>
  <c r="D634" i="1"/>
  <c r="D649" i="1"/>
  <c r="D685" i="1"/>
  <c r="D27" i="1"/>
  <c r="D46" i="1"/>
  <c r="D45" i="1"/>
  <c r="D47" i="1"/>
  <c r="D130" i="1"/>
  <c r="D339" i="1"/>
  <c r="D365" i="1"/>
  <c r="D450" i="1"/>
  <c r="D452" i="1"/>
  <c r="D560" i="1"/>
  <c r="D655" i="1"/>
  <c r="D1056" i="1"/>
  <c r="D289" i="1"/>
  <c r="D558" i="1"/>
  <c r="D907" i="1"/>
  <c r="D1082" i="1"/>
  <c r="D1342" i="1"/>
  <c r="D469" i="1"/>
  <c r="D662" i="1"/>
  <c r="D248" i="1"/>
  <c r="D883" i="1"/>
  <c r="D759" i="1"/>
  <c r="D774" i="1"/>
  <c r="D977" i="1"/>
  <c r="D991" i="1"/>
  <c r="D1214" i="1"/>
  <c r="D1133" i="1"/>
  <c r="D684" i="1"/>
  <c r="D853" i="1"/>
  <c r="D904" i="1"/>
  <c r="D1033" i="1"/>
  <c r="D494" i="1"/>
  <c r="D514" i="1"/>
  <c r="D542" i="1"/>
  <c r="D600" i="1"/>
  <c r="D647" i="1"/>
  <c r="D645" i="1"/>
  <c r="D744" i="1"/>
  <c r="D841" i="1"/>
  <c r="D889" i="1"/>
  <c r="D986" i="1"/>
  <c r="D998" i="1"/>
  <c r="D1219" i="1"/>
  <c r="D911" i="1"/>
  <c r="D968" i="1"/>
  <c r="D1180" i="1"/>
  <c r="D1352" i="1"/>
  <c r="D724" i="1"/>
  <c r="D1101" i="1"/>
  <c r="D13" i="1"/>
  <c r="D162" i="1"/>
  <c r="D166" i="1"/>
  <c r="D241" i="1"/>
  <c r="D288" i="1"/>
  <c r="D388" i="1"/>
  <c r="D393" i="1"/>
  <c r="D446" i="1"/>
  <c r="D764" i="1"/>
  <c r="D854" i="1"/>
  <c r="D902" i="1"/>
  <c r="D952" i="1"/>
  <c r="D996" i="1"/>
  <c r="D1281" i="1"/>
  <c r="D581" i="1"/>
  <c r="D104" i="1"/>
  <c r="D141" i="1"/>
  <c r="D73" i="1"/>
  <c r="D117" i="1"/>
  <c r="D350" i="1"/>
  <c r="D459" i="1"/>
  <c r="D458" i="1"/>
  <c r="D508" i="1"/>
  <c r="D1129" i="1"/>
  <c r="D1161" i="1"/>
  <c r="D36" i="1"/>
  <c r="D169" i="1"/>
  <c r="D238" i="1"/>
  <c r="D245" i="1"/>
  <c r="D247" i="1"/>
  <c r="D348" i="1"/>
  <c r="D487" i="1"/>
  <c r="D503" i="1"/>
  <c r="D177" i="1"/>
  <c r="D68" i="1"/>
  <c r="D101" i="1"/>
  <c r="D110" i="1"/>
  <c r="D185" i="1"/>
  <c r="D224" i="1"/>
  <c r="D112" i="1"/>
  <c r="D225" i="1"/>
  <c r="D75" i="1"/>
  <c r="D74" i="1"/>
  <c r="D174" i="1"/>
  <c r="D93" i="1"/>
  <c r="D107" i="1"/>
  <c r="D181" i="1"/>
  <c r="D237" i="1"/>
  <c r="D78" i="1"/>
  <c r="D828" i="1"/>
  <c r="D849" i="1"/>
  <c r="D1007" i="1"/>
  <c r="D1077" i="1"/>
  <c r="D570" i="1"/>
  <c r="D440" i="1"/>
  <c r="D67" i="1"/>
  <c r="D131" i="1"/>
  <c r="D572" i="1"/>
  <c r="D1071" i="1"/>
  <c r="D1255" i="1"/>
  <c r="D955" i="1"/>
  <c r="D711" i="1"/>
  <c r="D897" i="1"/>
  <c r="D786" i="1"/>
  <c r="D479" i="1"/>
  <c r="D1293" i="1"/>
  <c r="D888" i="1"/>
  <c r="D826" i="1"/>
  <c r="D254" i="1"/>
  <c r="D310" i="1"/>
  <c r="D690" i="1"/>
  <c r="D135" i="1"/>
  <c r="D197" i="1"/>
  <c r="D272" i="1"/>
  <c r="D326" i="1"/>
  <c r="D422" i="1"/>
  <c r="D488" i="1"/>
  <c r="D536" i="1"/>
  <c r="D577" i="1"/>
  <c r="D619" i="1"/>
  <c r="D695" i="1"/>
  <c r="D745" i="1"/>
  <c r="D842" i="1"/>
  <c r="D946" i="1"/>
  <c r="D1045" i="1"/>
  <c r="D1157" i="1"/>
  <c r="D1242" i="1"/>
  <c r="D1319" i="1"/>
  <c r="D374" i="1"/>
  <c r="D184" i="1"/>
  <c r="D198" i="1"/>
  <c r="D271" i="1"/>
  <c r="D327" i="1"/>
  <c r="D382" i="1"/>
  <c r="D423" i="1"/>
  <c r="D504" i="1"/>
  <c r="D537" i="1"/>
  <c r="D620" i="1"/>
  <c r="D746" i="1"/>
  <c r="D844" i="1"/>
  <c r="D868" i="1"/>
  <c r="D948" i="1"/>
  <c r="D1047" i="1"/>
  <c r="D1159" i="1"/>
  <c r="D1142" i="1"/>
  <c r="D1244" i="1"/>
  <c r="D1321" i="1"/>
  <c r="D65" i="1"/>
  <c r="D397" i="1"/>
  <c r="D752" i="1"/>
  <c r="D1099" i="1"/>
  <c r="D1232" i="1"/>
  <c r="D328" i="1"/>
  <c r="D873" i="1"/>
  <c r="D1279" i="1"/>
  <c r="D66" i="1"/>
  <c r="D319" i="1"/>
  <c r="D408" i="1"/>
  <c r="D526" i="1"/>
  <c r="D612" i="1"/>
  <c r="D736" i="1"/>
  <c r="D833" i="1"/>
  <c r="D939" i="1"/>
  <c r="D1037" i="1"/>
  <c r="D1235" i="1"/>
  <c r="D1312" i="1"/>
  <c r="D1179" i="1"/>
  <c r="D120" i="1"/>
  <c r="D239" i="1"/>
  <c r="D593" i="1"/>
  <c r="D705" i="1"/>
  <c r="D626" i="1"/>
  <c r="D1212" i="1"/>
  <c r="D255" i="1"/>
  <c r="D1188" i="1"/>
  <c r="D437" i="1"/>
  <c r="D534" i="1"/>
  <c r="D291" i="1"/>
  <c r="D567" i="1"/>
  <c r="D950" i="1"/>
  <c r="D1097" i="1"/>
  <c r="D1364" i="1"/>
  <c r="D798" i="1"/>
  <c r="D881" i="1"/>
  <c r="D900" i="1"/>
  <c r="D1074" i="1"/>
  <c r="D486" i="1"/>
  <c r="D96" i="1"/>
  <c r="D126" i="1"/>
  <c r="D228" i="1"/>
  <c r="D276" i="1"/>
  <c r="D332" i="1"/>
  <c r="D381" i="1"/>
  <c r="D449" i="1"/>
  <c r="D544" i="1"/>
  <c r="D613" i="1"/>
  <c r="D781" i="1"/>
  <c r="D879" i="1"/>
  <c r="D961" i="1"/>
  <c r="D1072" i="1"/>
  <c r="D1117" i="1"/>
  <c r="D1162" i="1"/>
  <c r="D1167" i="1"/>
  <c r="D1168" i="1"/>
  <c r="D1264" i="1"/>
  <c r="D1332" i="1"/>
  <c r="D1100" i="1"/>
  <c r="D1173" i="1"/>
  <c r="D1175" i="1"/>
  <c r="D113" i="1"/>
  <c r="D299" i="1"/>
  <c r="D566" i="1"/>
  <c r="D592" i="1"/>
  <c r="D944" i="1"/>
  <c r="D1096" i="1"/>
  <c r="D1103" i="1"/>
  <c r="D1363" i="1"/>
  <c r="D627" i="1"/>
  <c r="D696" i="1"/>
  <c r="D1213" i="1"/>
  <c r="D1254" i="1"/>
  <c r="D1187" i="1"/>
  <c r="D1227" i="1"/>
  <c r="D1269" i="1"/>
  <c r="D14" i="1"/>
  <c r="D356" i="1"/>
  <c r="D700" i="1"/>
  <c r="D969" i="1"/>
  <c r="D1191" i="1"/>
  <c r="D1247" i="1"/>
  <c r="D507" i="1"/>
  <c r="D587" i="1"/>
  <c r="D158" i="1"/>
  <c r="D336" i="1"/>
  <c r="D585" i="1"/>
  <c r="D957" i="1"/>
  <c r="D1195" i="1"/>
  <c r="D352" i="1"/>
  <c r="D509" i="1"/>
  <c r="D335" i="1"/>
  <c r="D337" i="1"/>
  <c r="D9" i="1"/>
  <c r="D10" i="1"/>
  <c r="D251" i="1"/>
  <c r="D256" i="1"/>
  <c r="D204" i="1"/>
  <c r="D1053" i="1"/>
  <c r="D1049" i="1"/>
  <c r="D284" i="1"/>
  <c r="D362" i="1"/>
  <c r="D474" i="1"/>
  <c r="D623" i="1"/>
  <c r="D677" i="1"/>
  <c r="D678" i="1"/>
  <c r="D679" i="1"/>
  <c r="D1230" i="1"/>
  <c r="D552" i="1"/>
  <c r="D624" i="1"/>
  <c r="D743" i="1"/>
  <c r="D443" i="1"/>
  <c r="D302" i="1"/>
  <c r="D405" i="1"/>
  <c r="D455" i="1"/>
  <c r="D520" i="1"/>
  <c r="D780" i="1"/>
  <c r="D791" i="1"/>
  <c r="D175" i="1"/>
  <c r="D233" i="1"/>
  <c r="D776" i="1"/>
  <c r="D1354" i="1"/>
  <c r="D760" i="1"/>
  <c r="D762" i="1"/>
  <c r="D970" i="1"/>
  <c r="D1020" i="1"/>
  <c r="D278" i="1"/>
  <c r="D116" i="1"/>
  <c r="D681" i="1"/>
  <c r="D670" i="1"/>
  <c r="D887" i="1"/>
  <c r="D919" i="1"/>
  <c r="D995" i="1"/>
  <c r="D652" i="1"/>
  <c r="D76" i="1"/>
  <c r="D165" i="1"/>
  <c r="D220" i="1"/>
  <c r="D285" i="1"/>
  <c r="D386" i="1"/>
  <c r="D473" i="1"/>
  <c r="D676" i="1"/>
  <c r="D726" i="1"/>
  <c r="D783" i="1"/>
  <c r="D858" i="1"/>
  <c r="D861" i="1"/>
  <c r="D1052" i="1"/>
  <c r="D1362" i="1"/>
  <c r="D1253" i="1"/>
  <c r="D342" i="1"/>
  <c r="D369" i="1"/>
  <c r="D884" i="1"/>
  <c r="D886" i="1"/>
  <c r="D1065" i="1"/>
  <c r="D1287" i="1"/>
  <c r="D163" i="1"/>
  <c r="D191" i="1"/>
  <c r="D300" i="1"/>
  <c r="D456" i="1"/>
  <c r="D498" i="1"/>
  <c r="D569" i="1"/>
  <c r="D668" i="1"/>
  <c r="D984" i="1"/>
  <c r="D1196" i="1"/>
  <c r="D1252" i="1"/>
  <c r="D1393" i="1"/>
  <c r="D1388" i="1"/>
  <c r="D1391" i="1"/>
  <c r="D1390" i="1"/>
  <c r="D1392" i="1"/>
  <c r="D1389" i="1"/>
  <c r="D1414" i="1"/>
  <c r="D1416" i="1"/>
  <c r="F1014" i="1"/>
  <c r="F5" i="1"/>
  <c r="F39" i="1"/>
  <c r="F41" i="1"/>
  <c r="F286" i="1"/>
  <c r="F287" i="1"/>
  <c r="F383" i="1"/>
  <c r="F547" i="1"/>
  <c r="F660" i="1"/>
  <c r="F913" i="1"/>
  <c r="F1174" i="1"/>
  <c r="F1176" i="1"/>
  <c r="F171" i="1"/>
  <c r="F493" i="1"/>
  <c r="F506" i="1"/>
  <c r="F597" i="1"/>
  <c r="F768" i="1"/>
  <c r="F918" i="1"/>
  <c r="F924" i="1"/>
  <c r="F1006" i="1"/>
  <c r="F1199" i="1"/>
  <c r="F1341" i="1"/>
  <c r="F909" i="1"/>
  <c r="F908" i="1"/>
  <c r="F905" i="1"/>
  <c r="F470" i="1"/>
  <c r="F467" i="1"/>
  <c r="F793" i="1"/>
  <c r="F358" i="1"/>
  <c r="F7" i="1"/>
  <c r="F12" i="1"/>
  <c r="F34" i="1"/>
  <c r="F83" i="1"/>
  <c r="F102" i="1"/>
  <c r="F182" i="1"/>
  <c r="F207" i="1"/>
  <c r="F279" i="1"/>
  <c r="F305" i="1"/>
  <c r="F389" i="1"/>
  <c r="F463" i="1"/>
  <c r="F513" i="1"/>
  <c r="F553" i="1"/>
  <c r="F628" i="1"/>
  <c r="F629" i="1"/>
  <c r="F671" i="1"/>
  <c r="F758" i="1"/>
  <c r="F792" i="1"/>
  <c r="F813" i="1"/>
  <c r="F917" i="1"/>
  <c r="F1111" i="1"/>
  <c r="F1125" i="1"/>
  <c r="F1184" i="1"/>
  <c r="F1185" i="1"/>
  <c r="F1251" i="1"/>
  <c r="F1412" i="1"/>
  <c r="F38" i="1"/>
  <c r="F543" i="1"/>
  <c r="F545" i="1"/>
  <c r="F903" i="1"/>
  <c r="F925" i="1"/>
  <c r="F1210" i="1"/>
  <c r="F17" i="1"/>
  <c r="F149" i="1"/>
  <c r="F183" i="1"/>
  <c r="F427" i="1"/>
  <c r="F483" i="1"/>
  <c r="F605" i="1"/>
  <c r="F767" i="1"/>
  <c r="F865" i="1"/>
  <c r="F980" i="1"/>
  <c r="F1110" i="1"/>
  <c r="F1202" i="1"/>
  <c r="F26" i="1"/>
  <c r="F50" i="1"/>
  <c r="F57" i="1"/>
  <c r="F142" i="1"/>
  <c r="F1153" i="1"/>
  <c r="F115" i="1"/>
  <c r="F137" i="1"/>
  <c r="F203" i="1"/>
  <c r="F242" i="1"/>
  <c r="F292" i="1"/>
  <c r="F367" i="1"/>
  <c r="F499" i="1"/>
  <c r="F561" i="1"/>
  <c r="F646" i="1"/>
  <c r="F693" i="1"/>
  <c r="F782" i="1"/>
  <c r="F812" i="1"/>
  <c r="F920" i="1"/>
  <c r="F972" i="1"/>
  <c r="F1013" i="1"/>
  <c r="F1083" i="1"/>
  <c r="F1089" i="1"/>
  <c r="F1148" i="1"/>
  <c r="F1186" i="1"/>
  <c r="F1197" i="1"/>
  <c r="F1276" i="1"/>
  <c r="F1317" i="1"/>
  <c r="F1365" i="1"/>
  <c r="F1409" i="1"/>
  <c r="F1105" i="1"/>
  <c r="F1106" i="1"/>
  <c r="F1357" i="1"/>
  <c r="F1368" i="1"/>
  <c r="F121" i="1"/>
  <c r="F122" i="1"/>
  <c r="F124" i="1"/>
  <c r="F123" i="1"/>
  <c r="F125" i="1"/>
  <c r="F468" i="1"/>
  <c r="F568" i="1"/>
  <c r="F598" i="1"/>
  <c r="F595" i="1"/>
  <c r="F596" i="1"/>
  <c r="F636" i="1"/>
  <c r="F641" i="1"/>
  <c r="F667" i="1"/>
  <c r="F719" i="1"/>
  <c r="F718" i="1"/>
  <c r="F720" i="1"/>
  <c r="F721" i="1"/>
  <c r="F725" i="1"/>
  <c r="F731" i="1"/>
  <c r="F799" i="1"/>
  <c r="F817" i="1"/>
  <c r="F819" i="1"/>
  <c r="F820" i="1"/>
  <c r="F818" i="1"/>
  <c r="F816" i="1"/>
  <c r="F822" i="1"/>
  <c r="F916" i="1"/>
  <c r="F923" i="1"/>
  <c r="F929" i="1"/>
  <c r="F928" i="1"/>
  <c r="F927" i="1"/>
  <c r="F930" i="1"/>
  <c r="F931" i="1"/>
  <c r="F933" i="1"/>
  <c r="F963" i="1"/>
  <c r="F999" i="1"/>
  <c r="F1005" i="1"/>
  <c r="F1026" i="1"/>
  <c r="F1024" i="1"/>
  <c r="F1030" i="1"/>
  <c r="F1029" i="1"/>
  <c r="F1025" i="1"/>
  <c r="F1032" i="1"/>
  <c r="F1055" i="1"/>
  <c r="F1115" i="1"/>
  <c r="F1137" i="1"/>
  <c r="F1136" i="1"/>
  <c r="F1140" i="1"/>
  <c r="F1138" i="1"/>
  <c r="F1139" i="1"/>
  <c r="F1141" i="1"/>
  <c r="F1300" i="1"/>
  <c r="F1301" i="1"/>
  <c r="F1303" i="1"/>
  <c r="F1302" i="1"/>
  <c r="F1307" i="1"/>
  <c r="F1304" i="1"/>
  <c r="F706" i="1"/>
  <c r="F410" i="1"/>
  <c r="F1011" i="1"/>
  <c r="F230" i="1"/>
  <c r="F1400" i="1"/>
  <c r="F2" i="1"/>
  <c r="F19" i="1"/>
  <c r="F23" i="1"/>
  <c r="F420" i="1"/>
  <c r="F540" i="1"/>
  <c r="F639" i="1"/>
  <c r="F728" i="1"/>
  <c r="F992" i="1"/>
  <c r="F1164" i="1"/>
  <c r="F1172" i="1"/>
  <c r="F1201" i="1"/>
  <c r="F1216" i="1"/>
  <c r="F331" i="1"/>
  <c r="F1217" i="1"/>
  <c r="F1299" i="1"/>
  <c r="F42" i="1"/>
  <c r="F1177" i="1"/>
  <c r="F1327" i="1"/>
  <c r="F703" i="1"/>
  <c r="F737" i="1"/>
  <c r="F848" i="1"/>
  <c r="F15" i="1"/>
  <c r="F63" i="1"/>
  <c r="F72" i="1"/>
  <c r="F1135" i="1"/>
  <c r="F1166" i="1"/>
  <c r="F303" i="1"/>
  <c r="F1050" i="1"/>
  <c r="F70" i="1"/>
  <c r="F91" i="1"/>
  <c r="F114" i="1"/>
  <c r="F148" i="1"/>
  <c r="F346" i="1"/>
  <c r="F363" i="1"/>
  <c r="F398" i="1"/>
  <c r="F448" i="1"/>
  <c r="F510" i="1"/>
  <c r="F573" i="1"/>
  <c r="F686" i="1"/>
  <c r="F866" i="1"/>
  <c r="F1066" i="1"/>
  <c r="F1124" i="1"/>
  <c r="F1262" i="1"/>
  <c r="F1333" i="1"/>
  <c r="F1345" i="1"/>
  <c r="F1366" i="1"/>
  <c r="F501" i="1"/>
  <c r="F1098" i="1"/>
  <c r="F105" i="1"/>
  <c r="F170" i="1"/>
  <c r="F796" i="1"/>
  <c r="F993" i="1"/>
  <c r="F604" i="1"/>
  <c r="F80" i="1"/>
  <c r="F97" i="1"/>
  <c r="F127" i="1"/>
  <c r="F227" i="1"/>
  <c r="F275" i="1"/>
  <c r="F1122" i="1"/>
  <c r="F1163" i="1"/>
  <c r="F1261" i="1"/>
  <c r="F1331" i="1"/>
  <c r="F691" i="1"/>
  <c r="F732" i="1"/>
  <c r="F64" i="1"/>
  <c r="F132" i="1"/>
  <c r="F472" i="1"/>
  <c r="F471" i="1"/>
  <c r="F475" i="1"/>
  <c r="F576" i="1"/>
  <c r="F631" i="1"/>
  <c r="F669" i="1"/>
  <c r="F1084" i="1"/>
  <c r="F1085" i="1"/>
  <c r="F384" i="1"/>
  <c r="F495" i="1"/>
  <c r="F775" i="1"/>
  <c r="F785" i="1"/>
  <c r="F1102" i="1"/>
  <c r="F1126" i="1"/>
  <c r="F1406" i="1"/>
  <c r="F1405" i="1"/>
  <c r="F259" i="1"/>
  <c r="F312" i="1"/>
  <c r="F396" i="1"/>
  <c r="F515" i="1"/>
  <c r="F601" i="1"/>
  <c r="F462" i="1"/>
  <c r="F584" i="1"/>
  <c r="F260" i="1"/>
  <c r="F313" i="1"/>
  <c r="F404" i="1"/>
  <c r="F516" i="1"/>
  <c r="F602" i="1"/>
  <c r="F103" i="1"/>
  <c r="F147" i="1"/>
  <c r="F173" i="1"/>
  <c r="F176" i="1"/>
  <c r="F205" i="1"/>
  <c r="F216" i="1"/>
  <c r="F226" i="1"/>
  <c r="F258" i="1"/>
  <c r="F277" i="1"/>
  <c r="F296" i="1"/>
  <c r="F308" i="1"/>
  <c r="F334" i="1"/>
  <c r="F351" i="1"/>
  <c r="F361" i="1"/>
  <c r="F379" i="1"/>
  <c r="F392" i="1"/>
  <c r="F399" i="1"/>
  <c r="F433" i="1"/>
  <c r="F453" i="1"/>
  <c r="F497" i="1"/>
  <c r="F546" i="1"/>
  <c r="F574" i="1"/>
  <c r="F588" i="1"/>
  <c r="F632" i="1"/>
  <c r="F643" i="1"/>
  <c r="F664" i="1"/>
  <c r="F709" i="1"/>
  <c r="F708" i="1"/>
  <c r="F754" i="1"/>
  <c r="F787" i="1"/>
  <c r="F794" i="1"/>
  <c r="F821" i="1"/>
  <c r="F860" i="1"/>
  <c r="F874" i="1"/>
  <c r="F892" i="1"/>
  <c r="F926" i="1"/>
  <c r="F956" i="1"/>
  <c r="F976" i="1"/>
  <c r="F1000" i="1"/>
  <c r="F1015" i="1"/>
  <c r="F1068" i="1"/>
  <c r="F1092" i="1"/>
  <c r="F1107" i="1"/>
  <c r="F1127" i="1"/>
  <c r="F1169" i="1"/>
  <c r="F1183" i="1"/>
  <c r="F1200" i="1"/>
  <c r="F1240" i="1"/>
  <c r="F1263" i="1"/>
  <c r="F1278" i="1"/>
  <c r="F1291" i="1"/>
  <c r="F1326" i="1"/>
  <c r="F1346" i="1"/>
  <c r="F1384" i="1"/>
  <c r="F490" i="1"/>
  <c r="F492" i="1"/>
  <c r="F770" i="1"/>
  <c r="F778" i="1"/>
  <c r="F809" i="1"/>
  <c r="F885" i="1"/>
  <c r="F1075" i="1"/>
  <c r="F1208" i="1"/>
  <c r="F1270" i="1"/>
  <c r="F1340" i="1"/>
  <c r="F1398" i="1"/>
  <c r="F1402" i="1"/>
  <c r="F58" i="1"/>
  <c r="F343" i="1"/>
  <c r="F541" i="1"/>
  <c r="F594" i="1"/>
  <c r="F630" i="1"/>
  <c r="F683" i="1"/>
  <c r="F773" i="1"/>
  <c r="F795" i="1"/>
  <c r="F869" i="1"/>
  <c r="F1154" i="1"/>
  <c r="F1170" i="1"/>
  <c r="F1203" i="1"/>
  <c r="F244" i="1"/>
  <c r="F262" i="1"/>
  <c r="F314" i="1"/>
  <c r="F401" i="1"/>
  <c r="F518" i="1"/>
  <c r="F606" i="1"/>
  <c r="F53" i="1"/>
  <c r="F144" i="1"/>
  <c r="F1121" i="1"/>
  <c r="F1266" i="1"/>
  <c r="F1335" i="1"/>
  <c r="F210" i="1"/>
  <c r="F777" i="1"/>
  <c r="F1165" i="1"/>
  <c r="F94" i="1"/>
  <c r="F109" i="1"/>
  <c r="F179" i="1"/>
  <c r="F304" i="1"/>
  <c r="F338" i="1"/>
  <c r="F387" i="1"/>
  <c r="F444" i="1"/>
  <c r="F550" i="1"/>
  <c r="F827" i="1"/>
  <c r="F261" i="1"/>
  <c r="F311" i="1"/>
  <c r="F400" i="1"/>
  <c r="F517" i="1"/>
  <c r="F603" i="1"/>
  <c r="F95" i="1"/>
  <c r="F98" i="1"/>
  <c r="F309" i="1"/>
  <c r="F370" i="1"/>
  <c r="F415" i="1"/>
  <c r="F535" i="1"/>
  <c r="F713" i="1"/>
  <c r="F982" i="1"/>
  <c r="F983" i="1"/>
  <c r="F1016" i="1"/>
  <c r="F1023" i="1"/>
  <c r="F1116" i="1"/>
  <c r="F1128" i="1"/>
  <c r="F1134" i="1"/>
  <c r="F1267" i="1"/>
  <c r="F1401" i="1"/>
  <c r="F84" i="1"/>
  <c r="F364" i="1"/>
  <c r="F484" i="1"/>
  <c r="F580" i="1"/>
  <c r="F625" i="1"/>
  <c r="F772" i="1"/>
  <c r="F801" i="1"/>
  <c r="F960" i="1"/>
  <c r="F1012" i="1"/>
  <c r="F1193" i="1"/>
  <c r="F1222" i="1"/>
  <c r="F1397" i="1"/>
  <c r="F263" i="1"/>
  <c r="F315" i="1"/>
  <c r="F406" i="1"/>
  <c r="F521" i="1"/>
  <c r="F608" i="1"/>
  <c r="F701" i="1"/>
  <c r="F964" i="1"/>
  <c r="F971" i="1"/>
  <c r="F987" i="1"/>
  <c r="F1087" i="1"/>
  <c r="F1258" i="1"/>
  <c r="F1377" i="1"/>
  <c r="F1399" i="1"/>
  <c r="F366" i="1"/>
  <c r="F480" i="1"/>
  <c r="F644" i="1"/>
  <c r="F896" i="1"/>
  <c r="F1044" i="1"/>
  <c r="F1284" i="1"/>
  <c r="F3" i="1"/>
  <c r="F61" i="1"/>
  <c r="F92" i="1"/>
  <c r="F146" i="1"/>
  <c r="F145" i="1"/>
  <c r="F143" i="1"/>
  <c r="F151" i="1"/>
  <c r="F154" i="1"/>
  <c r="F371" i="1"/>
  <c r="F442" i="1"/>
  <c r="F439" i="1"/>
  <c r="F590" i="1"/>
  <c r="F698" i="1"/>
  <c r="F790" i="1"/>
  <c r="F891" i="1"/>
  <c r="F890" i="1"/>
  <c r="F1108" i="1"/>
  <c r="F1109" i="1"/>
  <c r="F246" i="1"/>
  <c r="F867" i="1"/>
  <c r="F79" i="1"/>
  <c r="F766" i="1"/>
  <c r="F482" i="1"/>
  <c r="F665" i="1"/>
  <c r="F959" i="1"/>
  <c r="F1036" i="1"/>
  <c r="F1343" i="1"/>
  <c r="F368" i="1"/>
  <c r="F634" i="1"/>
  <c r="F649" i="1"/>
  <c r="F685" i="1"/>
  <c r="F11" i="1"/>
  <c r="F27" i="1"/>
  <c r="F46" i="1"/>
  <c r="F45" i="1"/>
  <c r="F47" i="1"/>
  <c r="F130" i="1"/>
  <c r="F339" i="1"/>
  <c r="F106" i="1"/>
  <c r="F234" i="1"/>
  <c r="F372" i="1"/>
  <c r="F365" i="1"/>
  <c r="F450" i="1"/>
  <c r="F452" i="1"/>
  <c r="F560" i="1"/>
  <c r="F655" i="1"/>
  <c r="F838" i="1"/>
  <c r="F862" i="1"/>
  <c r="F1078" i="1"/>
  <c r="F1112" i="1"/>
  <c r="F1223" i="1"/>
  <c r="F1286" i="1"/>
  <c r="F1056" i="1"/>
  <c r="F289" i="1"/>
  <c r="F558" i="1"/>
  <c r="F907" i="1"/>
  <c r="F1082" i="1"/>
  <c r="F1342" i="1"/>
  <c r="F469" i="1"/>
  <c r="F662" i="1"/>
  <c r="F248" i="1"/>
  <c r="F883" i="1"/>
  <c r="F759" i="1"/>
  <c r="F774" i="1"/>
  <c r="F977" i="1"/>
  <c r="F16" i="1"/>
  <c r="F56" i="1"/>
  <c r="F99" i="1"/>
  <c r="F140" i="1"/>
  <c r="F161" i="1"/>
  <c r="F218" i="1"/>
  <c r="F293" i="1"/>
  <c r="F373" i="1"/>
  <c r="F659" i="1"/>
  <c r="F714" i="1"/>
  <c r="F763" i="1"/>
  <c r="F761" i="1"/>
  <c r="F810" i="1"/>
  <c r="F859" i="1"/>
  <c r="F863" i="1"/>
  <c r="F994" i="1"/>
  <c r="F1080" i="1"/>
  <c r="F1218" i="1"/>
  <c r="F1204" i="1"/>
  <c r="F1215" i="1"/>
  <c r="F1289" i="1"/>
  <c r="F1394" i="1"/>
  <c r="F825" i="1"/>
  <c r="F932" i="1"/>
  <c r="F935" i="1"/>
  <c r="F967" i="1"/>
  <c r="F1067" i="1"/>
  <c r="F1064" i="1"/>
  <c r="F1076" i="1"/>
  <c r="F1123" i="1"/>
  <c r="F1131" i="1"/>
  <c r="F1132" i="1"/>
  <c r="F1206" i="1"/>
  <c r="F1407" i="1"/>
  <c r="F1382" i="1"/>
  <c r="F1385" i="1"/>
  <c r="F991" i="1"/>
  <c r="F1214" i="1"/>
  <c r="F1133" i="1"/>
  <c r="F893" i="1"/>
  <c r="F912" i="1"/>
  <c r="F1081" i="1"/>
  <c r="F684" i="1"/>
  <c r="F853" i="1"/>
  <c r="F904" i="1"/>
  <c r="F1033" i="1"/>
  <c r="F1386" i="1"/>
  <c r="F1383" i="1"/>
  <c r="F494" i="1"/>
  <c r="F514" i="1"/>
  <c r="F542" i="1"/>
  <c r="F600" i="1"/>
  <c r="F647" i="1"/>
  <c r="F645" i="1"/>
  <c r="F744" i="1"/>
  <c r="F841" i="1"/>
  <c r="F889" i="1"/>
  <c r="F986" i="1"/>
  <c r="F998" i="1"/>
  <c r="F1219" i="1"/>
  <c r="F911" i="1"/>
  <c r="F968" i="1"/>
  <c r="F1180" i="1"/>
  <c r="F1352" i="1"/>
  <c r="F724" i="1"/>
  <c r="F1101" i="1"/>
  <c r="F13" i="1"/>
  <c r="F162" i="1"/>
  <c r="F166" i="1"/>
  <c r="F241" i="1"/>
  <c r="F288" i="1"/>
  <c r="F388" i="1"/>
  <c r="F393" i="1"/>
  <c r="F446" i="1"/>
  <c r="F764" i="1"/>
  <c r="F854" i="1"/>
  <c r="F902" i="1"/>
  <c r="F952" i="1"/>
  <c r="F996" i="1"/>
  <c r="F1281" i="1"/>
  <c r="F1380" i="1"/>
  <c r="F447" i="1"/>
  <c r="F672" i="1"/>
  <c r="F581" i="1"/>
  <c r="F29" i="1"/>
  <c r="F86" i="1"/>
  <c r="F150" i="1"/>
  <c r="F186" i="1"/>
  <c r="F232" i="1"/>
  <c r="F357" i="1"/>
  <c r="F390" i="1"/>
  <c r="F431" i="1"/>
  <c r="F583" i="1"/>
  <c r="F586" i="1"/>
  <c r="F607" i="1"/>
  <c r="F658" i="1"/>
  <c r="F716" i="1"/>
  <c r="F978" i="1"/>
  <c r="F1027" i="1"/>
  <c r="F1070" i="1"/>
  <c r="F1379" i="1"/>
  <c r="F1381" i="1"/>
  <c r="F8" i="1"/>
  <c r="F44" i="1"/>
  <c r="F43" i="1"/>
  <c r="F60" i="1"/>
  <c r="F62" i="1"/>
  <c r="F219" i="1"/>
  <c r="F359" i="1"/>
  <c r="F378" i="1"/>
  <c r="F460" i="1"/>
  <c r="F548" i="1"/>
  <c r="F562" i="1"/>
  <c r="F657" i="1"/>
  <c r="F692" i="1"/>
  <c r="F707" i="1"/>
  <c r="F723" i="1"/>
  <c r="F755" i="1"/>
  <c r="F756" i="1"/>
  <c r="F757" i="1"/>
  <c r="F807" i="1"/>
  <c r="F806" i="1"/>
  <c r="F914" i="1"/>
  <c r="F910" i="1"/>
  <c r="F1095" i="1"/>
  <c r="F1093" i="1"/>
  <c r="F1119" i="1"/>
  <c r="F1376" i="1"/>
  <c r="F104" i="1"/>
  <c r="F141" i="1"/>
  <c r="F73" i="1"/>
  <c r="F117" i="1"/>
  <c r="F350" i="1"/>
  <c r="F459" i="1"/>
  <c r="F458" i="1"/>
  <c r="F508" i="1"/>
  <c r="F1129" i="1"/>
  <c r="F1161" i="1"/>
  <c r="F36" i="1"/>
  <c r="F169" i="1"/>
  <c r="F238" i="1"/>
  <c r="F245" i="1"/>
  <c r="F247" i="1"/>
  <c r="F348" i="1"/>
  <c r="F487" i="1"/>
  <c r="F503" i="1"/>
  <c r="F177" i="1"/>
  <c r="F68" i="1"/>
  <c r="F101" i="1"/>
  <c r="F110" i="1"/>
  <c r="F185" i="1"/>
  <c r="F224" i="1"/>
  <c r="F112" i="1"/>
  <c r="F225" i="1"/>
  <c r="F75" i="1"/>
  <c r="F74" i="1"/>
  <c r="F174" i="1"/>
  <c r="F93" i="1"/>
  <c r="F107" i="1"/>
  <c r="F181" i="1"/>
  <c r="F237" i="1"/>
  <c r="F78" i="1"/>
  <c r="F828" i="1"/>
  <c r="F849" i="1"/>
  <c r="F1007" i="1"/>
  <c r="F1077" i="1"/>
  <c r="F570" i="1"/>
  <c r="F1375" i="1"/>
  <c r="F1271" i="1"/>
  <c r="F440" i="1"/>
  <c r="F67" i="1"/>
  <c r="F131" i="1"/>
  <c r="F572" i="1"/>
  <c r="F1071" i="1"/>
  <c r="F1255" i="1"/>
  <c r="F133" i="1"/>
  <c r="F136" i="1"/>
  <c r="F195" i="1"/>
  <c r="F199" i="1"/>
  <c r="F252" i="1"/>
  <c r="F268" i="1"/>
  <c r="F273" i="1"/>
  <c r="F264" i="1"/>
  <c r="F320" i="1"/>
  <c r="F329" i="1"/>
  <c r="F316" i="1"/>
  <c r="F411" i="1"/>
  <c r="F424" i="1"/>
  <c r="F527" i="1"/>
  <c r="F538" i="1"/>
  <c r="F614" i="1"/>
  <c r="F621" i="1"/>
  <c r="F738" i="1"/>
  <c r="F747" i="1"/>
  <c r="F834" i="1"/>
  <c r="F843" i="1"/>
  <c r="F940" i="1"/>
  <c r="F947" i="1"/>
  <c r="F1039" i="1"/>
  <c r="F1046" i="1"/>
  <c r="F1149" i="1"/>
  <c r="F1158" i="1"/>
  <c r="F1236" i="1"/>
  <c r="F1243" i="1"/>
  <c r="F1294" i="1"/>
  <c r="F1316" i="1"/>
  <c r="F1320" i="1"/>
  <c r="F512" i="1"/>
  <c r="F1373" i="1"/>
  <c r="F955" i="1"/>
  <c r="F711" i="1"/>
  <c r="F897" i="1"/>
  <c r="F786" i="1"/>
  <c r="F134" i="1"/>
  <c r="F196" i="1"/>
  <c r="F270" i="1"/>
  <c r="F307" i="1"/>
  <c r="F325" i="1"/>
  <c r="F418" i="1"/>
  <c r="F532" i="1"/>
  <c r="F618" i="1"/>
  <c r="F742" i="1"/>
  <c r="F840" i="1"/>
  <c r="F945" i="1"/>
  <c r="F1043" i="1"/>
  <c r="F1156" i="1"/>
  <c r="F1241" i="1"/>
  <c r="F1318" i="1"/>
  <c r="F1371" i="1"/>
  <c r="F479" i="1"/>
  <c r="F1293" i="1"/>
  <c r="F888" i="1"/>
  <c r="F129" i="1"/>
  <c r="F193" i="1"/>
  <c r="F267" i="1"/>
  <c r="F318" i="1"/>
  <c r="F407" i="1"/>
  <c r="F524" i="1"/>
  <c r="F610" i="1"/>
  <c r="F734" i="1"/>
  <c r="F831" i="1"/>
  <c r="F824" i="1"/>
  <c r="F937" i="1"/>
  <c r="F1035" i="1"/>
  <c r="F1147" i="1"/>
  <c r="F1233" i="1"/>
  <c r="F1273" i="1"/>
  <c r="F1311" i="1"/>
  <c r="F21" i="1"/>
  <c r="F826" i="1"/>
  <c r="F269" i="1"/>
  <c r="F281" i="1"/>
  <c r="F282" i="1"/>
  <c r="F416" i="1"/>
  <c r="F523" i="1"/>
  <c r="F531" i="1"/>
  <c r="F830" i="1"/>
  <c r="F839" i="1"/>
  <c r="F1144" i="1"/>
  <c r="F1155" i="1"/>
  <c r="F254" i="1"/>
  <c r="F310" i="1"/>
  <c r="F690" i="1"/>
  <c r="F135" i="1"/>
  <c r="F197" i="1"/>
  <c r="F272" i="1"/>
  <c r="F326" i="1"/>
  <c r="F422" i="1"/>
  <c r="F488" i="1"/>
  <c r="F536" i="1"/>
  <c r="F577" i="1"/>
  <c r="F619" i="1"/>
  <c r="F695" i="1"/>
  <c r="F745" i="1"/>
  <c r="F842" i="1"/>
  <c r="F946" i="1"/>
  <c r="F1045" i="1"/>
  <c r="F1157" i="1"/>
  <c r="F1242" i="1"/>
  <c r="F1319" i="1"/>
  <c r="F374" i="1"/>
  <c r="F321" i="1"/>
  <c r="F322" i="1"/>
  <c r="F412" i="1"/>
  <c r="F413" i="1"/>
  <c r="F528" i="1"/>
  <c r="F529" i="1"/>
  <c r="F615" i="1"/>
  <c r="F616" i="1"/>
  <c r="F739" i="1"/>
  <c r="F740" i="1"/>
  <c r="F835" i="1"/>
  <c r="F836" i="1"/>
  <c r="F941" i="1"/>
  <c r="F942" i="1"/>
  <c r="F1040" i="1"/>
  <c r="F1041" i="1"/>
  <c r="F1150" i="1"/>
  <c r="F1151" i="1"/>
  <c r="F1237" i="1"/>
  <c r="F1238" i="1"/>
  <c r="F1314" i="1"/>
  <c r="F1313" i="1"/>
  <c r="F184" i="1"/>
  <c r="F198" i="1"/>
  <c r="F271" i="1"/>
  <c r="F327" i="1"/>
  <c r="F382" i="1"/>
  <c r="F423" i="1"/>
  <c r="F504" i="1"/>
  <c r="F537" i="1"/>
  <c r="F620" i="1"/>
  <c r="F746" i="1"/>
  <c r="F844" i="1"/>
  <c r="F868" i="1"/>
  <c r="F948" i="1"/>
  <c r="F1047" i="1"/>
  <c r="F1159" i="1"/>
  <c r="F1142" i="1"/>
  <c r="F1244" i="1"/>
  <c r="F1321" i="1"/>
  <c r="F1370" i="1"/>
  <c r="F128" i="1"/>
  <c r="F192" i="1"/>
  <c r="F253" i="1"/>
  <c r="F265" i="1"/>
  <c r="F266" i="1"/>
  <c r="F317" i="1"/>
  <c r="F477" i="1"/>
  <c r="F522" i="1"/>
  <c r="F609" i="1"/>
  <c r="F733" i="1"/>
  <c r="F829" i="1"/>
  <c r="F934" i="1"/>
  <c r="F1130" i="1"/>
  <c r="F1143" i="1"/>
  <c r="F1231" i="1"/>
  <c r="F1309" i="1"/>
  <c r="F65" i="1"/>
  <c r="F397" i="1"/>
  <c r="F752" i="1"/>
  <c r="F1099" i="1"/>
  <c r="F1232" i="1"/>
  <c r="F328" i="1"/>
  <c r="F873" i="1"/>
  <c r="F1279" i="1"/>
  <c r="F1369" i="1"/>
  <c r="F324" i="1"/>
  <c r="F360" i="1"/>
  <c r="F478" i="1"/>
  <c r="F481" i="1"/>
  <c r="F525" i="1"/>
  <c r="F611" i="1"/>
  <c r="F735" i="1"/>
  <c r="F832" i="1"/>
  <c r="F938" i="1"/>
  <c r="F936" i="1"/>
  <c r="F1051" i="1"/>
  <c r="F1034" i="1"/>
  <c r="F1146" i="1"/>
  <c r="F1234" i="1"/>
  <c r="F1310" i="1"/>
  <c r="F66" i="1"/>
  <c r="F323" i="1"/>
  <c r="F414" i="1"/>
  <c r="F530" i="1"/>
  <c r="F617" i="1"/>
  <c r="F741" i="1"/>
  <c r="F837" i="1"/>
  <c r="F943" i="1"/>
  <c r="F1042" i="1"/>
  <c r="F1152" i="1"/>
  <c r="F1239" i="1"/>
  <c r="F1315" i="1"/>
  <c r="F319" i="1"/>
  <c r="F408" i="1"/>
  <c r="F526" i="1"/>
  <c r="F612" i="1"/>
  <c r="F736" i="1"/>
  <c r="F833" i="1"/>
  <c r="F939" i="1"/>
  <c r="F1037" i="1"/>
  <c r="F1235" i="1"/>
  <c r="F1312" i="1"/>
  <c r="F138" i="1"/>
  <c r="F187" i="1"/>
  <c r="F200" i="1"/>
  <c r="F274" i="1"/>
  <c r="F330" i="1"/>
  <c r="F425" i="1"/>
  <c r="F489" i="1"/>
  <c r="F511" i="1"/>
  <c r="F539" i="1"/>
  <c r="F578" i="1"/>
  <c r="F579" i="1"/>
  <c r="F622" i="1"/>
  <c r="F694" i="1"/>
  <c r="F748" i="1"/>
  <c r="F804" i="1"/>
  <c r="F845" i="1"/>
  <c r="F915" i="1"/>
  <c r="F949" i="1"/>
  <c r="F1048" i="1"/>
  <c r="F1160" i="1"/>
  <c r="F1245" i="1"/>
  <c r="F1295" i="1"/>
  <c r="F1322" i="1"/>
  <c r="F1367" i="1"/>
  <c r="F1361" i="1"/>
  <c r="F682" i="1"/>
  <c r="F687" i="1"/>
  <c r="F688" i="1"/>
  <c r="F1104" i="1"/>
  <c r="F1114" i="1"/>
  <c r="F59" i="1"/>
  <c r="F1360" i="1"/>
  <c r="F77" i="1"/>
  <c r="F87" i="1"/>
  <c r="F153" i="1"/>
  <c r="F164" i="1"/>
  <c r="F178" i="1"/>
  <c r="F206" i="1"/>
  <c r="F212" i="1"/>
  <c r="F214" i="1"/>
  <c r="F217" i="1"/>
  <c r="F235" i="1"/>
  <c r="F301" i="1"/>
  <c r="F340" i="1"/>
  <c r="F347" i="1"/>
  <c r="F376" i="1"/>
  <c r="F430" i="1"/>
  <c r="F476" i="1"/>
  <c r="F519" i="1"/>
  <c r="F559" i="1"/>
  <c r="F637" i="1"/>
  <c r="F640" i="1"/>
  <c r="F702" i="1"/>
  <c r="F715" i="1"/>
  <c r="F730" i="1"/>
  <c r="F749" i="1"/>
  <c r="F789" i="1"/>
  <c r="F805" i="1"/>
  <c r="F811" i="1"/>
  <c r="F876" i="1"/>
  <c r="F921" i="1"/>
  <c r="F997" i="1"/>
  <c r="F1022" i="1"/>
  <c r="F1060" i="1"/>
  <c r="F1059" i="1"/>
  <c r="F1057" i="1"/>
  <c r="F1090" i="1"/>
  <c r="F1182" i="1"/>
  <c r="F1280" i="1"/>
  <c r="F1292" i="1"/>
  <c r="F1323" i="1"/>
  <c r="F1324" i="1"/>
  <c r="F1359" i="1"/>
  <c r="F1356" i="1"/>
  <c r="F565" i="1"/>
  <c r="F1353" i="1"/>
  <c r="F1338" i="1"/>
  <c r="F1350" i="1"/>
  <c r="F1179" i="1"/>
  <c r="F120" i="1"/>
  <c r="F239" i="1"/>
  <c r="F593" i="1"/>
  <c r="F705" i="1"/>
  <c r="F626" i="1"/>
  <c r="F1212" i="1"/>
  <c r="F255" i="1"/>
  <c r="F1188" i="1"/>
  <c r="F437" i="1"/>
  <c r="F534" i="1"/>
  <c r="F291" i="1"/>
  <c r="F567" i="1"/>
  <c r="F950" i="1"/>
  <c r="F1097" i="1"/>
  <c r="F1364" i="1"/>
  <c r="F798" i="1"/>
  <c r="F881" i="1"/>
  <c r="F900" i="1"/>
  <c r="F1074" i="1"/>
  <c r="F111" i="1"/>
  <c r="F208" i="1"/>
  <c r="F236" i="1"/>
  <c r="F257" i="1"/>
  <c r="F394" i="1"/>
  <c r="F563" i="1"/>
  <c r="F557" i="1"/>
  <c r="F575" i="1"/>
  <c r="F635" i="1"/>
  <c r="F663" i="1"/>
  <c r="F689" i="1"/>
  <c r="F765" i="1"/>
  <c r="F847" i="1"/>
  <c r="F857" i="1"/>
  <c r="F880" i="1"/>
  <c r="F965" i="1"/>
  <c r="F975" i="1"/>
  <c r="F981" i="1"/>
  <c r="F1224" i="1"/>
  <c r="F1265" i="1"/>
  <c r="F1285" i="1"/>
  <c r="F1349" i="1"/>
  <c r="F486" i="1"/>
  <c r="F96" i="1"/>
  <c r="F126" i="1"/>
  <c r="F228" i="1"/>
  <c r="F276" i="1"/>
  <c r="F332" i="1"/>
  <c r="F381" i="1"/>
  <c r="F449" i="1"/>
  <c r="F544" i="1"/>
  <c r="F613" i="1"/>
  <c r="F781" i="1"/>
  <c r="F879" i="1"/>
  <c r="F961" i="1"/>
  <c r="F1072" i="1"/>
  <c r="F1117" i="1"/>
  <c r="F1162" i="1"/>
  <c r="F1167" i="1"/>
  <c r="F1168" i="1"/>
  <c r="F1264" i="1"/>
  <c r="F1332" i="1"/>
  <c r="F155" i="1"/>
  <c r="F189" i="1"/>
  <c r="F221" i="1"/>
  <c r="F354" i="1"/>
  <c r="F435" i="1"/>
  <c r="F434" i="1"/>
  <c r="F653" i="1"/>
  <c r="F852" i="1"/>
  <c r="F1018" i="1"/>
  <c r="F1091" i="1"/>
  <c r="F1228" i="1"/>
  <c r="F1259" i="1"/>
  <c r="F1260" i="1"/>
  <c r="F1337" i="1"/>
  <c r="F1100" i="1"/>
  <c r="F1173" i="1"/>
  <c r="F1175" i="1"/>
  <c r="F729" i="1"/>
  <c r="F979" i="1"/>
  <c r="F1178" i="1"/>
  <c r="F1305" i="1"/>
  <c r="F1348" i="1"/>
  <c r="F113" i="1"/>
  <c r="F28" i="1"/>
  <c r="F283" i="1"/>
  <c r="F564" i="1"/>
  <c r="F877" i="1"/>
  <c r="F1038" i="1"/>
  <c r="F1054" i="1"/>
  <c r="F1347" i="1"/>
  <c r="F1344" i="1"/>
  <c r="F554" i="1"/>
  <c r="F769" i="1"/>
  <c r="F1019" i="1"/>
  <c r="F1351" i="1"/>
  <c r="F299" i="1"/>
  <c r="F566" i="1"/>
  <c r="F592" i="1"/>
  <c r="F944" i="1"/>
  <c r="F1096" i="1"/>
  <c r="F1103" i="1"/>
  <c r="F1363" i="1"/>
  <c r="F627" i="1"/>
  <c r="F696" i="1"/>
  <c r="F1213" i="1"/>
  <c r="F1254" i="1"/>
  <c r="F1187" i="1"/>
  <c r="F1227" i="1"/>
  <c r="F1269" i="1"/>
  <c r="F436" i="1"/>
  <c r="F500" i="1"/>
  <c r="F505" i="1"/>
  <c r="F533" i="1"/>
  <c r="F555" i="1"/>
  <c r="F779" i="1"/>
  <c r="F797" i="1"/>
  <c r="F815" i="1"/>
  <c r="F814" i="1"/>
  <c r="F882" i="1"/>
  <c r="F899" i="1"/>
  <c r="F958" i="1"/>
  <c r="F1004" i="1"/>
  <c r="F1073" i="1"/>
  <c r="F1229" i="1"/>
  <c r="F49" i="1"/>
  <c r="F48" i="1"/>
  <c r="F55" i="1"/>
  <c r="F294" i="1"/>
  <c r="F648" i="1"/>
  <c r="F642" i="1"/>
  <c r="F966" i="1"/>
  <c r="F973" i="1"/>
  <c r="F974" i="1"/>
  <c r="F1003" i="1"/>
  <c r="F1061" i="1"/>
  <c r="F1339" i="1"/>
  <c r="F14" i="1"/>
  <c r="F356" i="1"/>
  <c r="F700" i="1"/>
  <c r="F969" i="1"/>
  <c r="F1191" i="1"/>
  <c r="F1247" i="1"/>
  <c r="F507" i="1"/>
  <c r="F587" i="1"/>
  <c r="F1330" i="1"/>
  <c r="F22" i="1"/>
  <c r="F31" i="1"/>
  <c r="F100" i="1"/>
  <c r="F119" i="1"/>
  <c r="F168" i="1"/>
  <c r="F172" i="1"/>
  <c r="F377" i="1"/>
  <c r="F385" i="1"/>
  <c r="F395" i="1"/>
  <c r="F445" i="1"/>
  <c r="F466" i="1"/>
  <c r="F571" i="1"/>
  <c r="F638" i="1"/>
  <c r="F704" i="1"/>
  <c r="F802" i="1"/>
  <c r="F846" i="1"/>
  <c r="F599" i="1"/>
  <c r="F962" i="1"/>
  <c r="F1290" i="1"/>
  <c r="F1334" i="1"/>
  <c r="F158" i="1"/>
  <c r="F336" i="1"/>
  <c r="F585" i="1"/>
  <c r="F957" i="1"/>
  <c r="F1195" i="1"/>
  <c r="F352" i="1"/>
  <c r="F509" i="1"/>
  <c r="F24" i="1"/>
  <c r="F69" i="1"/>
  <c r="F108" i="1"/>
  <c r="F167" i="1"/>
  <c r="F194" i="1"/>
  <c r="F250" i="1"/>
  <c r="F295" i="1"/>
  <c r="F333" i="1"/>
  <c r="F402" i="1"/>
  <c r="F426" i="1"/>
  <c r="F451" i="1"/>
  <c r="F549" i="1"/>
  <c r="F633" i="1"/>
  <c r="F651" i="1"/>
  <c r="F674" i="1"/>
  <c r="F673" i="1"/>
  <c r="F699" i="1"/>
  <c r="F788" i="1"/>
  <c r="F800" i="1"/>
  <c r="F851" i="1"/>
  <c r="F850" i="1"/>
  <c r="F856" i="1"/>
  <c r="F875" i="1"/>
  <c r="F989" i="1"/>
  <c r="F990" i="1"/>
  <c r="F988" i="1"/>
  <c r="F1010" i="1"/>
  <c r="F1008" i="1"/>
  <c r="F1021" i="1"/>
  <c r="F1079" i="1"/>
  <c r="F1145" i="1"/>
  <c r="F1194" i="1"/>
  <c r="F1282" i="1"/>
  <c r="F1306" i="1"/>
  <c r="F1308" i="1"/>
  <c r="F1329" i="1"/>
  <c r="F1325" i="1"/>
  <c r="F335" i="1"/>
  <c r="F337" i="1"/>
  <c r="F180" i="1"/>
  <c r="F403" i="1"/>
  <c r="F589" i="1"/>
  <c r="F697" i="1"/>
  <c r="F895" i="1"/>
  <c r="F1094" i="1"/>
  <c r="F1328" i="1"/>
  <c r="F71" i="1"/>
  <c r="F85" i="1"/>
  <c r="F90" i="1"/>
  <c r="F89" i="1"/>
  <c r="F118" i="1"/>
  <c r="F160" i="1"/>
  <c r="F209" i="1"/>
  <c r="F223" i="1"/>
  <c r="F306" i="1"/>
  <c r="F432" i="1"/>
  <c r="F727" i="1"/>
  <c r="F751" i="1"/>
  <c r="F750" i="1"/>
  <c r="F803" i="1"/>
  <c r="F823" i="1"/>
  <c r="F871" i="1"/>
  <c r="F1120" i="1"/>
  <c r="F1198" i="1"/>
  <c r="F1220" i="1"/>
  <c r="F1256" i="1"/>
  <c r="F1358" i="1"/>
  <c r="F1372" i="1"/>
  <c r="F9" i="1"/>
  <c r="F10" i="1"/>
  <c r="F251" i="1"/>
  <c r="F256" i="1"/>
  <c r="F4" i="1"/>
  <c r="F30" i="1"/>
  <c r="F33" i="1"/>
  <c r="F40" i="1"/>
  <c r="F152" i="1"/>
  <c r="F190" i="1"/>
  <c r="F213" i="1"/>
  <c r="F240" i="1"/>
  <c r="F243" i="1"/>
  <c r="F298" i="1"/>
  <c r="F391" i="1"/>
  <c r="F429" i="1"/>
  <c r="F582" i="1"/>
  <c r="F650" i="1"/>
  <c r="F680" i="1"/>
  <c r="F710" i="1"/>
  <c r="F855" i="1"/>
  <c r="F872" i="1"/>
  <c r="F894" i="1"/>
  <c r="F1001" i="1"/>
  <c r="F1028" i="1"/>
  <c r="F1113" i="1"/>
  <c r="F1189" i="1"/>
  <c r="F1221" i="1"/>
  <c r="F1297" i="1"/>
  <c r="F1288" i="1"/>
  <c r="F1296" i="1"/>
  <c r="F1298" i="1"/>
  <c r="F204" i="1"/>
  <c r="F1053" i="1"/>
  <c r="F1049" i="1"/>
  <c r="F284" i="1"/>
  <c r="F362" i="1"/>
  <c r="F474" i="1"/>
  <c r="F623" i="1"/>
  <c r="F677" i="1"/>
  <c r="F678" i="1"/>
  <c r="F679" i="1"/>
  <c r="F1230" i="1"/>
  <c r="F552" i="1"/>
  <c r="F624" i="1"/>
  <c r="F743" i="1"/>
  <c r="F443" i="1"/>
  <c r="F302" i="1"/>
  <c r="F405" i="1"/>
  <c r="F455" i="1"/>
  <c r="F520" i="1"/>
  <c r="F780" i="1"/>
  <c r="F791" i="1"/>
  <c r="F661" i="1"/>
  <c r="F656" i="1"/>
  <c r="F808" i="1"/>
  <c r="F898" i="1"/>
  <c r="F901" i="1"/>
  <c r="F1063" i="1"/>
  <c r="F1181" i="1"/>
  <c r="F1283" i="1"/>
  <c r="F175" i="1"/>
  <c r="F233" i="1"/>
  <c r="F776" i="1"/>
  <c r="F1354" i="1"/>
  <c r="F249" i="1"/>
  <c r="F1275" i="1"/>
  <c r="F654" i="1"/>
  <c r="F760" i="1"/>
  <c r="F762" i="1"/>
  <c r="F906" i="1"/>
  <c r="F1031" i="1"/>
  <c r="F970" i="1"/>
  <c r="F1020" i="1"/>
  <c r="F1118" i="1"/>
  <c r="F1374" i="1"/>
  <c r="F1355" i="1"/>
  <c r="F1274" i="1"/>
  <c r="F1272" i="1"/>
  <c r="F278" i="1"/>
  <c r="F116" i="1"/>
  <c r="F25" i="1"/>
  <c r="F88" i="1"/>
  <c r="F188" i="1"/>
  <c r="F201" i="1"/>
  <c r="F349" i="1"/>
  <c r="F491" i="1"/>
  <c r="F753" i="1"/>
  <c r="F870" i="1"/>
  <c r="F1009" i="1"/>
  <c r="F54" i="1"/>
  <c r="F380" i="1"/>
  <c r="F717" i="1"/>
  <c r="F712" i="1"/>
  <c r="F922" i="1"/>
  <c r="F1002" i="1"/>
  <c r="F1062" i="1"/>
  <c r="F1086" i="1"/>
  <c r="F1277" i="1"/>
  <c r="F1336" i="1"/>
  <c r="F1257" i="1"/>
  <c r="F681" i="1"/>
  <c r="F670" i="1"/>
  <c r="F887" i="1"/>
  <c r="F919" i="1"/>
  <c r="F995" i="1"/>
  <c r="F652" i="1"/>
  <c r="F76" i="1"/>
  <c r="F165" i="1"/>
  <c r="F220" i="1"/>
  <c r="F285" i="1"/>
  <c r="F386" i="1"/>
  <c r="F473" i="1"/>
  <c r="F676" i="1"/>
  <c r="F726" i="1"/>
  <c r="F783" i="1"/>
  <c r="F858" i="1"/>
  <c r="F861" i="1"/>
  <c r="F1052" i="1"/>
  <c r="F1362" i="1"/>
  <c r="F6" i="1"/>
  <c r="F18" i="1"/>
  <c r="F20" i="1"/>
  <c r="F35" i="1"/>
  <c r="F52" i="1"/>
  <c r="F51" i="1"/>
  <c r="F81" i="1"/>
  <c r="F139" i="1"/>
  <c r="F156" i="1"/>
  <c r="F157" i="1"/>
  <c r="F202" i="1"/>
  <c r="F211" i="1"/>
  <c r="F222" i="1"/>
  <c r="F231" i="1"/>
  <c r="F290" i="1"/>
  <c r="F297" i="1"/>
  <c r="F341" i="1"/>
  <c r="F345" i="1"/>
  <c r="F353" i="1"/>
  <c r="F355" i="1"/>
  <c r="F409" i="1"/>
  <c r="F421" i="1"/>
  <c r="F417" i="1"/>
  <c r="F428" i="1"/>
  <c r="F441" i="1"/>
  <c r="F461" i="1"/>
  <c r="F457" i="1"/>
  <c r="F465" i="1"/>
  <c r="F464" i="1"/>
  <c r="F485" i="1"/>
  <c r="F496" i="1"/>
  <c r="F502" i="1"/>
  <c r="F556" i="1"/>
  <c r="F722" i="1"/>
  <c r="F771" i="1"/>
  <c r="F878" i="1"/>
  <c r="F954" i="1"/>
  <c r="F951" i="1"/>
  <c r="F985" i="1"/>
  <c r="F1058" i="1"/>
  <c r="F1088" i="1"/>
  <c r="F1190" i="1"/>
  <c r="F1211" i="1"/>
  <c r="F1209" i="1"/>
  <c r="F1250" i="1"/>
  <c r="F1248" i="1"/>
  <c r="F1253" i="1"/>
  <c r="F342" i="1"/>
  <c r="F369" i="1"/>
  <c r="F884" i="1"/>
  <c r="F886" i="1"/>
  <c r="F1065" i="1"/>
  <c r="F1287" i="1"/>
  <c r="F163" i="1"/>
  <c r="F191" i="1"/>
  <c r="F300" i="1"/>
  <c r="F456" i="1"/>
  <c r="F498" i="1"/>
  <c r="F569" i="1"/>
  <c r="F668" i="1"/>
  <c r="F984" i="1"/>
  <c r="F1196" i="1"/>
  <c r="F32" i="1"/>
  <c r="F37" i="1"/>
  <c r="F82" i="1"/>
  <c r="F159" i="1"/>
  <c r="F215" i="1"/>
  <c r="F229" i="1"/>
  <c r="F280" i="1"/>
  <c r="F344" i="1"/>
  <c r="F375" i="1"/>
  <c r="F419" i="1"/>
  <c r="F438" i="1"/>
  <c r="F454" i="1"/>
  <c r="F551" i="1"/>
  <c r="F591" i="1"/>
  <c r="F675" i="1"/>
  <c r="F784" i="1"/>
  <c r="F864" i="1"/>
  <c r="F953" i="1"/>
  <c r="F1017" i="1"/>
  <c r="F1069" i="1"/>
  <c r="F1171" i="1"/>
  <c r="F1192" i="1"/>
  <c r="F1268" i="1"/>
  <c r="F1252" i="1"/>
  <c r="F1249" i="1"/>
  <c r="F1393" i="1"/>
  <c r="F1388" i="1"/>
  <c r="F1391" i="1"/>
  <c r="F1390" i="1"/>
  <c r="F1392" i="1"/>
  <c r="F1389" i="1"/>
  <c r="F1246" i="1"/>
  <c r="F1226" i="1"/>
  <c r="F1225" i="1"/>
  <c r="F1207" i="1"/>
  <c r="F1205" i="1"/>
  <c r="F1414" i="1"/>
  <c r="F1413" i="1"/>
  <c r="F1416" i="1"/>
  <c r="F666" i="1"/>
  <c r="D1271" i="1"/>
  <c r="T1014" i="1"/>
  <c r="T5" i="1"/>
  <c r="T39" i="1"/>
  <c r="T41" i="1"/>
  <c r="T286" i="1"/>
  <c r="T287" i="1"/>
  <c r="T383" i="1"/>
  <c r="T547" i="1"/>
  <c r="T660" i="1"/>
  <c r="T913" i="1"/>
  <c r="T1174" i="1"/>
  <c r="T1176" i="1"/>
  <c r="T171" i="1"/>
  <c r="T493" i="1"/>
  <c r="T506" i="1"/>
  <c r="T597" i="1"/>
  <c r="T768" i="1"/>
  <c r="T918" i="1"/>
  <c r="T924" i="1"/>
  <c r="T1006" i="1"/>
  <c r="T1199" i="1"/>
  <c r="T1341" i="1"/>
  <c r="T909" i="1"/>
  <c r="T908" i="1"/>
  <c r="T905" i="1"/>
  <c r="T470" i="1"/>
  <c r="T467" i="1"/>
  <c r="T793" i="1"/>
  <c r="T358" i="1"/>
  <c r="T7" i="1"/>
  <c r="T12" i="1"/>
  <c r="T34" i="1"/>
  <c r="T83" i="1"/>
  <c r="T102" i="1"/>
  <c r="T182" i="1"/>
  <c r="T207" i="1"/>
  <c r="T279" i="1"/>
  <c r="T305" i="1"/>
  <c r="T389" i="1"/>
  <c r="T463" i="1"/>
  <c r="T513" i="1"/>
  <c r="T553" i="1"/>
  <c r="T628" i="1"/>
  <c r="T629" i="1"/>
  <c r="T671" i="1"/>
  <c r="T758" i="1"/>
  <c r="T792" i="1"/>
  <c r="T813" i="1"/>
  <c r="T917" i="1"/>
  <c r="T1111" i="1"/>
  <c r="T1125" i="1"/>
  <c r="T1184" i="1"/>
  <c r="T1185" i="1"/>
  <c r="T1251" i="1"/>
  <c r="T38" i="1"/>
  <c r="T543" i="1"/>
  <c r="T545" i="1"/>
  <c r="T903" i="1"/>
  <c r="T925" i="1"/>
  <c r="T1210" i="1"/>
  <c r="T17" i="1"/>
  <c r="T149" i="1"/>
  <c r="T183" i="1"/>
  <c r="T427" i="1"/>
  <c r="T483" i="1"/>
  <c r="T605" i="1"/>
  <c r="T767" i="1"/>
  <c r="T865" i="1"/>
  <c r="T980" i="1"/>
  <c r="T1110" i="1"/>
  <c r="T1202" i="1"/>
  <c r="T26" i="1"/>
  <c r="T50" i="1"/>
  <c r="T57" i="1"/>
  <c r="T142" i="1"/>
  <c r="T1153" i="1"/>
  <c r="T115" i="1"/>
  <c r="T137" i="1"/>
  <c r="T203" i="1"/>
  <c r="T242" i="1"/>
  <c r="T292" i="1"/>
  <c r="T367" i="1"/>
  <c r="T499" i="1"/>
  <c r="T561" i="1"/>
  <c r="T646" i="1"/>
  <c r="T693" i="1"/>
  <c r="T782" i="1"/>
  <c r="T812" i="1"/>
  <c r="T920" i="1"/>
  <c r="T972" i="1"/>
  <c r="T1013" i="1"/>
  <c r="T1083" i="1"/>
  <c r="T1089" i="1"/>
  <c r="T1148" i="1"/>
  <c r="T1186" i="1"/>
  <c r="T1197" i="1"/>
  <c r="T1276" i="1"/>
  <c r="T1317" i="1"/>
  <c r="T1365" i="1"/>
  <c r="T1105" i="1"/>
  <c r="T1106" i="1"/>
  <c r="T1357" i="1"/>
  <c r="T1368" i="1"/>
  <c r="T121" i="1"/>
  <c r="T122" i="1"/>
  <c r="T124" i="1"/>
  <c r="T123" i="1"/>
  <c r="T125" i="1"/>
  <c r="T468" i="1"/>
  <c r="T568" i="1"/>
  <c r="T598" i="1"/>
  <c r="T595" i="1"/>
  <c r="T596" i="1"/>
  <c r="T636" i="1"/>
  <c r="T641" i="1"/>
  <c r="T667" i="1"/>
  <c r="T719" i="1"/>
  <c r="T718" i="1"/>
  <c r="T720" i="1"/>
  <c r="T721" i="1"/>
  <c r="T725" i="1"/>
  <c r="T731" i="1"/>
  <c r="T799" i="1"/>
  <c r="T817" i="1"/>
  <c r="T819" i="1"/>
  <c r="T820" i="1"/>
  <c r="T818" i="1"/>
  <c r="T816" i="1"/>
  <c r="T822" i="1"/>
  <c r="T916" i="1"/>
  <c r="T923" i="1"/>
  <c r="T929" i="1"/>
  <c r="T928" i="1"/>
  <c r="T927" i="1"/>
  <c r="T930" i="1"/>
  <c r="T931" i="1"/>
  <c r="T933" i="1"/>
  <c r="T963" i="1"/>
  <c r="T999" i="1"/>
  <c r="T1005" i="1"/>
  <c r="T1026" i="1"/>
  <c r="T1024" i="1"/>
  <c r="T1030" i="1"/>
  <c r="T1029" i="1"/>
  <c r="T1025" i="1"/>
  <c r="T1032" i="1"/>
  <c r="T1055" i="1"/>
  <c r="T1115" i="1"/>
  <c r="T1137" i="1"/>
  <c r="T1136" i="1"/>
  <c r="T1140" i="1"/>
  <c r="T1138" i="1"/>
  <c r="T1139" i="1"/>
  <c r="T1141" i="1"/>
  <c r="T1300" i="1"/>
  <c r="T1301" i="1"/>
  <c r="T1303" i="1"/>
  <c r="T1302" i="1"/>
  <c r="T1307" i="1"/>
  <c r="T1304" i="1"/>
  <c r="T706" i="1"/>
  <c r="T410" i="1"/>
  <c r="T1011" i="1"/>
  <c r="T230" i="1"/>
  <c r="T2" i="1"/>
  <c r="T19" i="1"/>
  <c r="T23" i="1"/>
  <c r="T420" i="1"/>
  <c r="T540" i="1"/>
  <c r="T639" i="1"/>
  <c r="T728" i="1"/>
  <c r="T992" i="1"/>
  <c r="T1164" i="1"/>
  <c r="T1172" i="1"/>
  <c r="T1201" i="1"/>
  <c r="T331" i="1"/>
  <c r="T1217" i="1"/>
  <c r="T1299" i="1"/>
  <c r="T42" i="1"/>
  <c r="T1177" i="1"/>
  <c r="T1327" i="1"/>
  <c r="T703" i="1"/>
  <c r="T737" i="1"/>
  <c r="T848" i="1"/>
  <c r="T15" i="1"/>
  <c r="T63" i="1"/>
  <c r="T72" i="1"/>
  <c r="T1135" i="1"/>
  <c r="T1166" i="1"/>
  <c r="T303" i="1"/>
  <c r="T1050" i="1"/>
  <c r="T70" i="1"/>
  <c r="T91" i="1"/>
  <c r="T114" i="1"/>
  <c r="T148" i="1"/>
  <c r="T346" i="1"/>
  <c r="T363" i="1"/>
  <c r="T398" i="1"/>
  <c r="T448" i="1"/>
  <c r="T510" i="1"/>
  <c r="T573" i="1"/>
  <c r="T686" i="1"/>
  <c r="T866" i="1"/>
  <c r="T1066" i="1"/>
  <c r="T1124" i="1"/>
  <c r="T1262" i="1"/>
  <c r="T1333" i="1"/>
  <c r="T1345" i="1"/>
  <c r="T1366" i="1"/>
  <c r="T501" i="1"/>
  <c r="T1098" i="1"/>
  <c r="T105" i="1"/>
  <c r="T170" i="1"/>
  <c r="T796" i="1"/>
  <c r="T993" i="1"/>
  <c r="T604" i="1"/>
  <c r="T80" i="1"/>
  <c r="T97" i="1"/>
  <c r="T127" i="1"/>
  <c r="T227" i="1"/>
  <c r="T275" i="1"/>
  <c r="T1122" i="1"/>
  <c r="T1163" i="1"/>
  <c r="T1261" i="1"/>
  <c r="T1331" i="1"/>
  <c r="T691" i="1"/>
  <c r="T732" i="1"/>
  <c r="T64" i="1"/>
  <c r="T132" i="1"/>
  <c r="T472" i="1"/>
  <c r="T471" i="1"/>
  <c r="T475" i="1"/>
  <c r="T576" i="1"/>
  <c r="T631" i="1"/>
  <c r="T669" i="1"/>
  <c r="T1084" i="1"/>
  <c r="T1085" i="1"/>
  <c r="T384" i="1"/>
  <c r="T495" i="1"/>
  <c r="T775" i="1"/>
  <c r="T785" i="1"/>
  <c r="T1102" i="1"/>
  <c r="T1126" i="1"/>
  <c r="T259" i="1"/>
  <c r="T312" i="1"/>
  <c r="T396" i="1"/>
  <c r="T515" i="1"/>
  <c r="T601" i="1"/>
  <c r="T462" i="1"/>
  <c r="T584" i="1"/>
  <c r="T260" i="1"/>
  <c r="T313" i="1"/>
  <c r="T404" i="1"/>
  <c r="T516" i="1"/>
  <c r="T602" i="1"/>
  <c r="T103" i="1"/>
  <c r="T147" i="1"/>
  <c r="T173" i="1"/>
  <c r="T176" i="1"/>
  <c r="T205" i="1"/>
  <c r="T216" i="1"/>
  <c r="T226" i="1"/>
  <c r="T258" i="1"/>
  <c r="T277" i="1"/>
  <c r="T296" i="1"/>
  <c r="T308" i="1"/>
  <c r="T334" i="1"/>
  <c r="T351" i="1"/>
  <c r="T361" i="1"/>
  <c r="T379" i="1"/>
  <c r="T392" i="1"/>
  <c r="T399" i="1"/>
  <c r="T433" i="1"/>
  <c r="T453" i="1"/>
  <c r="T497" i="1"/>
  <c r="T546" i="1"/>
  <c r="T574" i="1"/>
  <c r="T588" i="1"/>
  <c r="T632" i="1"/>
  <c r="T643" i="1"/>
  <c r="T664" i="1"/>
  <c r="T709" i="1"/>
  <c r="T708" i="1"/>
  <c r="T754" i="1"/>
  <c r="T787" i="1"/>
  <c r="T794" i="1"/>
  <c r="T821" i="1"/>
  <c r="T860" i="1"/>
  <c r="T874" i="1"/>
  <c r="T892" i="1"/>
  <c r="T926" i="1"/>
  <c r="T956" i="1"/>
  <c r="T976" i="1"/>
  <c r="T1000" i="1"/>
  <c r="T1015" i="1"/>
  <c r="T1068" i="1"/>
  <c r="T1092" i="1"/>
  <c r="T1107" i="1"/>
  <c r="T1127" i="1"/>
  <c r="T1169" i="1"/>
  <c r="T1183" i="1"/>
  <c r="T1200" i="1"/>
  <c r="T1240" i="1"/>
  <c r="T1263" i="1"/>
  <c r="T1278" i="1"/>
  <c r="T1291" i="1"/>
  <c r="T1326" i="1"/>
  <c r="T1346" i="1"/>
  <c r="T1384" i="1"/>
  <c r="T490" i="1"/>
  <c r="T492" i="1"/>
  <c r="T770" i="1"/>
  <c r="T778" i="1"/>
  <c r="T809" i="1"/>
  <c r="T885" i="1"/>
  <c r="T1075" i="1"/>
  <c r="T1208" i="1"/>
  <c r="T1270" i="1"/>
  <c r="T1340" i="1"/>
  <c r="T58" i="1"/>
  <c r="T343" i="1"/>
  <c r="T541" i="1"/>
  <c r="T594" i="1"/>
  <c r="T630" i="1"/>
  <c r="T683" i="1"/>
  <c r="T773" i="1"/>
  <c r="T795" i="1"/>
  <c r="T869" i="1"/>
  <c r="T1154" i="1"/>
  <c r="T1170" i="1"/>
  <c r="T1203" i="1"/>
  <c r="T244" i="1"/>
  <c r="T262" i="1"/>
  <c r="T314" i="1"/>
  <c r="T401" i="1"/>
  <c r="T518" i="1"/>
  <c r="T606" i="1"/>
  <c r="T53" i="1"/>
  <c r="T144" i="1"/>
  <c r="T1121" i="1"/>
  <c r="T1266" i="1"/>
  <c r="T1335" i="1"/>
  <c r="T210" i="1"/>
  <c r="T777" i="1"/>
  <c r="T1165" i="1"/>
  <c r="T94" i="1"/>
  <c r="T109" i="1"/>
  <c r="T179" i="1"/>
  <c r="T304" i="1"/>
  <c r="T338" i="1"/>
  <c r="T387" i="1"/>
  <c r="T444" i="1"/>
  <c r="T550" i="1"/>
  <c r="T827" i="1"/>
  <c r="T261" i="1"/>
  <c r="T311" i="1"/>
  <c r="T400" i="1"/>
  <c r="T517" i="1"/>
  <c r="T603" i="1"/>
  <c r="T95" i="1"/>
  <c r="T98" i="1"/>
  <c r="T309" i="1"/>
  <c r="T370" i="1"/>
  <c r="T415" i="1"/>
  <c r="T535" i="1"/>
  <c r="T713" i="1"/>
  <c r="T982" i="1"/>
  <c r="T983" i="1"/>
  <c r="T1016" i="1"/>
  <c r="T1023" i="1"/>
  <c r="T1116" i="1"/>
  <c r="T1128" i="1"/>
  <c r="T1134" i="1"/>
  <c r="T1267" i="1"/>
  <c r="T84" i="1"/>
  <c r="T364" i="1"/>
  <c r="T484" i="1"/>
  <c r="T580" i="1"/>
  <c r="T625" i="1"/>
  <c r="T772" i="1"/>
  <c r="T801" i="1"/>
  <c r="T960" i="1"/>
  <c r="T1012" i="1"/>
  <c r="T1193" i="1"/>
  <c r="T1222" i="1"/>
  <c r="T263" i="1"/>
  <c r="T315" i="1"/>
  <c r="T406" i="1"/>
  <c r="T521" i="1"/>
  <c r="T608" i="1"/>
  <c r="T701" i="1"/>
  <c r="T964" i="1"/>
  <c r="T971" i="1"/>
  <c r="T987" i="1"/>
  <c r="T1087" i="1"/>
  <c r="T1258" i="1"/>
  <c r="T1377" i="1"/>
  <c r="T366" i="1"/>
  <c r="T480" i="1"/>
  <c r="T644" i="1"/>
  <c r="T896" i="1"/>
  <c r="T1044" i="1"/>
  <c r="T1284" i="1"/>
  <c r="T3" i="1"/>
  <c r="T61" i="1"/>
  <c r="T92" i="1"/>
  <c r="T146" i="1"/>
  <c r="T145" i="1"/>
  <c r="T143" i="1"/>
  <c r="T151" i="1"/>
  <c r="T154" i="1"/>
  <c r="T371" i="1"/>
  <c r="T442" i="1"/>
  <c r="T439" i="1"/>
  <c r="T590" i="1"/>
  <c r="T698" i="1"/>
  <c r="T790" i="1"/>
  <c r="T891" i="1"/>
  <c r="T890" i="1"/>
  <c r="T1108" i="1"/>
  <c r="T1109" i="1"/>
  <c r="T246" i="1"/>
  <c r="T867" i="1"/>
  <c r="T79" i="1"/>
  <c r="T766" i="1"/>
  <c r="T482" i="1"/>
  <c r="T665" i="1"/>
  <c r="T959" i="1"/>
  <c r="T1036" i="1"/>
  <c r="T1343" i="1"/>
  <c r="T368" i="1"/>
  <c r="T634" i="1"/>
  <c r="T649" i="1"/>
  <c r="T685" i="1"/>
  <c r="T11" i="1"/>
  <c r="T27" i="1"/>
  <c r="T46" i="1"/>
  <c r="T45" i="1"/>
  <c r="T47" i="1"/>
  <c r="T130" i="1"/>
  <c r="T339" i="1"/>
  <c r="T106" i="1"/>
  <c r="T234" i="1"/>
  <c r="T372" i="1"/>
  <c r="T365" i="1"/>
  <c r="T450" i="1"/>
  <c r="T452" i="1"/>
  <c r="T560" i="1"/>
  <c r="T655" i="1"/>
  <c r="T838" i="1"/>
  <c r="T862" i="1"/>
  <c r="T1078" i="1"/>
  <c r="T1112" i="1"/>
  <c r="T1223" i="1"/>
  <c r="T1286" i="1"/>
  <c r="T1056" i="1"/>
  <c r="T289" i="1"/>
  <c r="T558" i="1"/>
  <c r="T907" i="1"/>
  <c r="T1082" i="1"/>
  <c r="T1342" i="1"/>
  <c r="T469" i="1"/>
  <c r="T662" i="1"/>
  <c r="T248" i="1"/>
  <c r="T883" i="1"/>
  <c r="T759" i="1"/>
  <c r="T774" i="1"/>
  <c r="T977" i="1"/>
  <c r="T16" i="1"/>
  <c r="T56" i="1"/>
  <c r="T99" i="1"/>
  <c r="T140" i="1"/>
  <c r="T161" i="1"/>
  <c r="T218" i="1"/>
  <c r="T293" i="1"/>
  <c r="T373" i="1"/>
  <c r="T659" i="1"/>
  <c r="T714" i="1"/>
  <c r="T763" i="1"/>
  <c r="T761" i="1"/>
  <c r="T810" i="1"/>
  <c r="T859" i="1"/>
  <c r="T863" i="1"/>
  <c r="T994" i="1"/>
  <c r="T1080" i="1"/>
  <c r="T1218" i="1"/>
  <c r="T1204" i="1"/>
  <c r="T1215" i="1"/>
  <c r="T1289" i="1"/>
  <c r="T825" i="1"/>
  <c r="T932" i="1"/>
  <c r="T935" i="1"/>
  <c r="T967" i="1"/>
  <c r="T1067" i="1"/>
  <c r="T1064" i="1"/>
  <c r="T1076" i="1"/>
  <c r="T1123" i="1"/>
  <c r="T1131" i="1"/>
  <c r="T1132" i="1"/>
  <c r="T1206" i="1"/>
  <c r="T991" i="1"/>
  <c r="T1214" i="1"/>
  <c r="T1133" i="1"/>
  <c r="T893" i="1"/>
  <c r="T912" i="1"/>
  <c r="T1081" i="1"/>
  <c r="T684" i="1"/>
  <c r="T853" i="1"/>
  <c r="T904" i="1"/>
  <c r="T1033" i="1"/>
  <c r="T494" i="1"/>
  <c r="T514" i="1"/>
  <c r="T542" i="1"/>
  <c r="T600" i="1"/>
  <c r="T647" i="1"/>
  <c r="T645" i="1"/>
  <c r="T744" i="1"/>
  <c r="T841" i="1"/>
  <c r="T889" i="1"/>
  <c r="T986" i="1"/>
  <c r="T998" i="1"/>
  <c r="T1219" i="1"/>
  <c r="T911" i="1"/>
  <c r="T968" i="1"/>
  <c r="T1180" i="1"/>
  <c r="T1352" i="1"/>
  <c r="T724" i="1"/>
  <c r="T1101" i="1"/>
  <c r="T13" i="1"/>
  <c r="T162" i="1"/>
  <c r="T166" i="1"/>
  <c r="T241" i="1"/>
  <c r="T288" i="1"/>
  <c r="T388" i="1"/>
  <c r="T393" i="1"/>
  <c r="T446" i="1"/>
  <c r="T764" i="1"/>
  <c r="T854" i="1"/>
  <c r="T902" i="1"/>
  <c r="T952" i="1"/>
  <c r="T996" i="1"/>
  <c r="T1281" i="1"/>
  <c r="T447" i="1"/>
  <c r="T672" i="1"/>
  <c r="T581" i="1"/>
  <c r="T29" i="1"/>
  <c r="T86" i="1"/>
  <c r="T150" i="1"/>
  <c r="T186" i="1"/>
  <c r="T232" i="1"/>
  <c r="T357" i="1"/>
  <c r="T390" i="1"/>
  <c r="T431" i="1"/>
  <c r="T583" i="1"/>
  <c r="T586" i="1"/>
  <c r="T607" i="1"/>
  <c r="T658" i="1"/>
  <c r="T716" i="1"/>
  <c r="T978" i="1"/>
  <c r="T1027" i="1"/>
  <c r="T1070" i="1"/>
  <c r="T8" i="1"/>
  <c r="T44" i="1"/>
  <c r="T43" i="1"/>
  <c r="T60" i="1"/>
  <c r="T62" i="1"/>
  <c r="T219" i="1"/>
  <c r="T359" i="1"/>
  <c r="T378" i="1"/>
  <c r="T460" i="1"/>
  <c r="T548" i="1"/>
  <c r="T562" i="1"/>
  <c r="T657" i="1"/>
  <c r="T692" i="1"/>
  <c r="T707" i="1"/>
  <c r="T723" i="1"/>
  <c r="T755" i="1"/>
  <c r="T756" i="1"/>
  <c r="T757" i="1"/>
  <c r="T807" i="1"/>
  <c r="T806" i="1"/>
  <c r="T914" i="1"/>
  <c r="T910" i="1"/>
  <c r="T1095" i="1"/>
  <c r="T1093" i="1"/>
  <c r="T1119" i="1"/>
  <c r="T104" i="1"/>
  <c r="T141" i="1"/>
  <c r="T73" i="1"/>
  <c r="T117" i="1"/>
  <c r="T350" i="1"/>
  <c r="T459" i="1"/>
  <c r="T458" i="1"/>
  <c r="T508" i="1"/>
  <c r="T1129" i="1"/>
  <c r="T1161" i="1"/>
  <c r="T36" i="1"/>
  <c r="T169" i="1"/>
  <c r="T238" i="1"/>
  <c r="T245" i="1"/>
  <c r="T247" i="1"/>
  <c r="T348" i="1"/>
  <c r="T487" i="1"/>
  <c r="T503" i="1"/>
  <c r="T177" i="1"/>
  <c r="T68" i="1"/>
  <c r="T101" i="1"/>
  <c r="T110" i="1"/>
  <c r="T185" i="1"/>
  <c r="T224" i="1"/>
  <c r="T112" i="1"/>
  <c r="T225" i="1"/>
  <c r="T75" i="1"/>
  <c r="T74" i="1"/>
  <c r="T174" i="1"/>
  <c r="T93" i="1"/>
  <c r="T107" i="1"/>
  <c r="T181" i="1"/>
  <c r="T237" i="1"/>
  <c r="T78" i="1"/>
  <c r="T828" i="1"/>
  <c r="T849" i="1"/>
  <c r="T1007" i="1"/>
  <c r="T1077" i="1"/>
  <c r="T570" i="1"/>
  <c r="T1271" i="1"/>
  <c r="T440" i="1"/>
  <c r="T67" i="1"/>
  <c r="T131" i="1"/>
  <c r="T572" i="1"/>
  <c r="T1071" i="1"/>
  <c r="T1255" i="1"/>
  <c r="T133" i="1"/>
  <c r="T136" i="1"/>
  <c r="T195" i="1"/>
  <c r="T199" i="1"/>
  <c r="T252" i="1"/>
  <c r="T268" i="1"/>
  <c r="T273" i="1"/>
  <c r="T264" i="1"/>
  <c r="T320" i="1"/>
  <c r="T329" i="1"/>
  <c r="T316" i="1"/>
  <c r="T411" i="1"/>
  <c r="T424" i="1"/>
  <c r="T527" i="1"/>
  <c r="T538" i="1"/>
  <c r="T614" i="1"/>
  <c r="T621" i="1"/>
  <c r="T738" i="1"/>
  <c r="T747" i="1"/>
  <c r="T834" i="1"/>
  <c r="T843" i="1"/>
  <c r="T940" i="1"/>
  <c r="T947" i="1"/>
  <c r="T1039" i="1"/>
  <c r="T1046" i="1"/>
  <c r="T1149" i="1"/>
  <c r="T1158" i="1"/>
  <c r="T1236" i="1"/>
  <c r="T1243" i="1"/>
  <c r="T1294" i="1"/>
  <c r="T1316" i="1"/>
  <c r="T1320" i="1"/>
  <c r="T512" i="1"/>
  <c r="T955" i="1"/>
  <c r="T711" i="1"/>
  <c r="T897" i="1"/>
  <c r="T786" i="1"/>
  <c r="T134" i="1"/>
  <c r="T196" i="1"/>
  <c r="T270" i="1"/>
  <c r="T307" i="1"/>
  <c r="T325" i="1"/>
  <c r="T418" i="1"/>
  <c r="T532" i="1"/>
  <c r="T618" i="1"/>
  <c r="T742" i="1"/>
  <c r="T840" i="1"/>
  <c r="T945" i="1"/>
  <c r="T1043" i="1"/>
  <c r="T1156" i="1"/>
  <c r="T1241" i="1"/>
  <c r="T1318" i="1"/>
  <c r="T479" i="1"/>
  <c r="T1293" i="1"/>
  <c r="T888" i="1"/>
  <c r="T129" i="1"/>
  <c r="T193" i="1"/>
  <c r="T267" i="1"/>
  <c r="T318" i="1"/>
  <c r="T407" i="1"/>
  <c r="T524" i="1"/>
  <c r="T610" i="1"/>
  <c r="T734" i="1"/>
  <c r="T831" i="1"/>
  <c r="T824" i="1"/>
  <c r="T937" i="1"/>
  <c r="T1035" i="1"/>
  <c r="T1147" i="1"/>
  <c r="T1233" i="1"/>
  <c r="T1273" i="1"/>
  <c r="T1311" i="1"/>
  <c r="T21" i="1"/>
  <c r="T826" i="1"/>
  <c r="T269" i="1"/>
  <c r="T281" i="1"/>
  <c r="T282" i="1"/>
  <c r="T416" i="1"/>
  <c r="T523" i="1"/>
  <c r="T531" i="1"/>
  <c r="T830" i="1"/>
  <c r="T839" i="1"/>
  <c r="T1144" i="1"/>
  <c r="T1155" i="1"/>
  <c r="T254" i="1"/>
  <c r="T310" i="1"/>
  <c r="T690" i="1"/>
  <c r="T135" i="1"/>
  <c r="T197" i="1"/>
  <c r="T272" i="1"/>
  <c r="T326" i="1"/>
  <c r="T422" i="1"/>
  <c r="T488" i="1"/>
  <c r="T536" i="1"/>
  <c r="T577" i="1"/>
  <c r="T619" i="1"/>
  <c r="T695" i="1"/>
  <c r="T745" i="1"/>
  <c r="T842" i="1"/>
  <c r="T946" i="1"/>
  <c r="T1045" i="1"/>
  <c r="T1157" i="1"/>
  <c r="T1242" i="1"/>
  <c r="T1319" i="1"/>
  <c r="T374" i="1"/>
  <c r="T321" i="1"/>
  <c r="T322" i="1"/>
  <c r="T412" i="1"/>
  <c r="T413" i="1"/>
  <c r="T528" i="1"/>
  <c r="T529" i="1"/>
  <c r="T615" i="1"/>
  <c r="T616" i="1"/>
  <c r="T739" i="1"/>
  <c r="T740" i="1"/>
  <c r="T835" i="1"/>
  <c r="T836" i="1"/>
  <c r="T941" i="1"/>
  <c r="T942" i="1"/>
  <c r="T1040" i="1"/>
  <c r="T1041" i="1"/>
  <c r="T1150" i="1"/>
  <c r="T1151" i="1"/>
  <c r="T1237" i="1"/>
  <c r="T1238" i="1"/>
  <c r="T1314" i="1"/>
  <c r="T1313" i="1"/>
  <c r="T184" i="1"/>
  <c r="T198" i="1"/>
  <c r="T271" i="1"/>
  <c r="T327" i="1"/>
  <c r="T382" i="1"/>
  <c r="T423" i="1"/>
  <c r="T504" i="1"/>
  <c r="T537" i="1"/>
  <c r="T620" i="1"/>
  <c r="T746" i="1"/>
  <c r="T844" i="1"/>
  <c r="T868" i="1"/>
  <c r="T948" i="1"/>
  <c r="T1047" i="1"/>
  <c r="T1159" i="1"/>
  <c r="T1142" i="1"/>
  <c r="T1244" i="1"/>
  <c r="T1321" i="1"/>
  <c r="T128" i="1"/>
  <c r="T192" i="1"/>
  <c r="T253" i="1"/>
  <c r="T265" i="1"/>
  <c r="T266" i="1"/>
  <c r="T317" i="1"/>
  <c r="T477" i="1"/>
  <c r="T522" i="1"/>
  <c r="T609" i="1"/>
  <c r="T733" i="1"/>
  <c r="T829" i="1"/>
  <c r="T934" i="1"/>
  <c r="T1130" i="1"/>
  <c r="T1143" i="1"/>
  <c r="T1231" i="1"/>
  <c r="T1309" i="1"/>
  <c r="T65" i="1"/>
  <c r="T397" i="1"/>
  <c r="T752" i="1"/>
  <c r="T1099" i="1"/>
  <c r="T1232" i="1"/>
  <c r="T328" i="1"/>
  <c r="T873" i="1"/>
  <c r="T1279" i="1"/>
  <c r="T324" i="1"/>
  <c r="T360" i="1"/>
  <c r="T478" i="1"/>
  <c r="T481" i="1"/>
  <c r="T525" i="1"/>
  <c r="T611" i="1"/>
  <c r="T735" i="1"/>
  <c r="T832" i="1"/>
  <c r="T938" i="1"/>
  <c r="T936" i="1"/>
  <c r="T1051" i="1"/>
  <c r="T1034" i="1"/>
  <c r="T1146" i="1"/>
  <c r="T1234" i="1"/>
  <c r="T1310" i="1"/>
  <c r="T66" i="1"/>
  <c r="T323" i="1"/>
  <c r="T414" i="1"/>
  <c r="T530" i="1"/>
  <c r="T617" i="1"/>
  <c r="T741" i="1"/>
  <c r="T837" i="1"/>
  <c r="T943" i="1"/>
  <c r="T1042" i="1"/>
  <c r="T1152" i="1"/>
  <c r="T1239" i="1"/>
  <c r="T1315" i="1"/>
  <c r="T319" i="1"/>
  <c r="T408" i="1"/>
  <c r="T526" i="1"/>
  <c r="T612" i="1"/>
  <c r="T736" i="1"/>
  <c r="T833" i="1"/>
  <c r="T939" i="1"/>
  <c r="T1037" i="1"/>
  <c r="T1235" i="1"/>
  <c r="T1312" i="1"/>
  <c r="T138" i="1"/>
  <c r="T187" i="1"/>
  <c r="T200" i="1"/>
  <c r="T274" i="1"/>
  <c r="T330" i="1"/>
  <c r="T425" i="1"/>
  <c r="T489" i="1"/>
  <c r="T511" i="1"/>
  <c r="T539" i="1"/>
  <c r="T578" i="1"/>
  <c r="T579" i="1"/>
  <c r="T622" i="1"/>
  <c r="T694" i="1"/>
  <c r="T748" i="1"/>
  <c r="T804" i="1"/>
  <c r="T845" i="1"/>
  <c r="T915" i="1"/>
  <c r="T949" i="1"/>
  <c r="T1048" i="1"/>
  <c r="T1160" i="1"/>
  <c r="T1245" i="1"/>
  <c r="T1295" i="1"/>
  <c r="T1322" i="1"/>
  <c r="T682" i="1"/>
  <c r="T687" i="1"/>
  <c r="T688" i="1"/>
  <c r="T1104" i="1"/>
  <c r="T1114" i="1"/>
  <c r="T59" i="1"/>
  <c r="T77" i="1"/>
  <c r="T87" i="1"/>
  <c r="T153" i="1"/>
  <c r="T164" i="1"/>
  <c r="T178" i="1"/>
  <c r="T206" i="1"/>
  <c r="T212" i="1"/>
  <c r="T214" i="1"/>
  <c r="T217" i="1"/>
  <c r="T235" i="1"/>
  <c r="T301" i="1"/>
  <c r="T340" i="1"/>
  <c r="T347" i="1"/>
  <c r="T376" i="1"/>
  <c r="T430" i="1"/>
  <c r="T476" i="1"/>
  <c r="T519" i="1"/>
  <c r="T559" i="1"/>
  <c r="T637" i="1"/>
  <c r="T640" i="1"/>
  <c r="T702" i="1"/>
  <c r="T715" i="1"/>
  <c r="T730" i="1"/>
  <c r="T749" i="1"/>
  <c r="T789" i="1"/>
  <c r="T805" i="1"/>
  <c r="T811" i="1"/>
  <c r="T876" i="1"/>
  <c r="T921" i="1"/>
  <c r="T997" i="1"/>
  <c r="T1022" i="1"/>
  <c r="T1060" i="1"/>
  <c r="T1059" i="1"/>
  <c r="T1057" i="1"/>
  <c r="T1090" i="1"/>
  <c r="T1182" i="1"/>
  <c r="T1280" i="1"/>
  <c r="T1292" i="1"/>
  <c r="T1323" i="1"/>
  <c r="T1324" i="1"/>
  <c r="T565" i="1"/>
  <c r="T1179" i="1"/>
  <c r="T120" i="1"/>
  <c r="T239" i="1"/>
  <c r="T593" i="1"/>
  <c r="T705" i="1"/>
  <c r="T626" i="1"/>
  <c r="T1212" i="1"/>
  <c r="T255" i="1"/>
  <c r="T1188" i="1"/>
  <c r="T437" i="1"/>
  <c r="T534" i="1"/>
  <c r="T291" i="1"/>
  <c r="T567" i="1"/>
  <c r="T950" i="1"/>
  <c r="T1097" i="1"/>
  <c r="T1364" i="1"/>
  <c r="T798" i="1"/>
  <c r="T881" i="1"/>
  <c r="T900" i="1"/>
  <c r="T1074" i="1"/>
  <c r="T111" i="1"/>
  <c r="T208" i="1"/>
  <c r="T236" i="1"/>
  <c r="T257" i="1"/>
  <c r="T394" i="1"/>
  <c r="T563" i="1"/>
  <c r="T557" i="1"/>
  <c r="T575" i="1"/>
  <c r="T635" i="1"/>
  <c r="T663" i="1"/>
  <c r="T689" i="1"/>
  <c r="T765" i="1"/>
  <c r="T847" i="1"/>
  <c r="T857" i="1"/>
  <c r="T880" i="1"/>
  <c r="T965" i="1"/>
  <c r="T975" i="1"/>
  <c r="T981" i="1"/>
  <c r="T1224" i="1"/>
  <c r="T1265" i="1"/>
  <c r="T1285" i="1"/>
  <c r="T486" i="1"/>
  <c r="T96" i="1"/>
  <c r="T126" i="1"/>
  <c r="T228" i="1"/>
  <c r="T276" i="1"/>
  <c r="T332" i="1"/>
  <c r="T381" i="1"/>
  <c r="T449" i="1"/>
  <c r="T544" i="1"/>
  <c r="T613" i="1"/>
  <c r="T781" i="1"/>
  <c r="T879" i="1"/>
  <c r="T961" i="1"/>
  <c r="T1072" i="1"/>
  <c r="T1117" i="1"/>
  <c r="T1162" i="1"/>
  <c r="T1167" i="1"/>
  <c r="T1168" i="1"/>
  <c r="T1264" i="1"/>
  <c r="T1332" i="1"/>
  <c r="T155" i="1"/>
  <c r="T189" i="1"/>
  <c r="T221" i="1"/>
  <c r="T354" i="1"/>
  <c r="T435" i="1"/>
  <c r="T434" i="1"/>
  <c r="T653" i="1"/>
  <c r="T852" i="1"/>
  <c r="T1018" i="1"/>
  <c r="T1091" i="1"/>
  <c r="T1228" i="1"/>
  <c r="T1259" i="1"/>
  <c r="T1260" i="1"/>
  <c r="T1337" i="1"/>
  <c r="T1100" i="1"/>
  <c r="T1173" i="1"/>
  <c r="T1175" i="1"/>
  <c r="T729" i="1"/>
  <c r="T979" i="1"/>
  <c r="T1178" i="1"/>
  <c r="T1305" i="1"/>
  <c r="T113" i="1"/>
  <c r="T28" i="1"/>
  <c r="T283" i="1"/>
  <c r="T564" i="1"/>
  <c r="T877" i="1"/>
  <c r="T1038" i="1"/>
  <c r="T1054" i="1"/>
  <c r="T554" i="1"/>
  <c r="T769" i="1"/>
  <c r="T1019" i="1"/>
  <c r="T299" i="1"/>
  <c r="T566" i="1"/>
  <c r="T592" i="1"/>
  <c r="T944" i="1"/>
  <c r="T1096" i="1"/>
  <c r="T1103" i="1"/>
  <c r="T1363" i="1"/>
  <c r="T627" i="1"/>
  <c r="T696" i="1"/>
  <c r="T1213" i="1"/>
  <c r="T1254" i="1"/>
  <c r="T1187" i="1"/>
  <c r="T1227" i="1"/>
  <c r="T1269" i="1"/>
  <c r="T436" i="1"/>
  <c r="T500" i="1"/>
  <c r="T505" i="1"/>
  <c r="T533" i="1"/>
  <c r="T555" i="1"/>
  <c r="T779" i="1"/>
  <c r="T797" i="1"/>
  <c r="T815" i="1"/>
  <c r="T814" i="1"/>
  <c r="T882" i="1"/>
  <c r="T899" i="1"/>
  <c r="T958" i="1"/>
  <c r="T1004" i="1"/>
  <c r="T1073" i="1"/>
  <c r="T1229" i="1"/>
  <c r="T49" i="1"/>
  <c r="T48" i="1"/>
  <c r="T55" i="1"/>
  <c r="T294" i="1"/>
  <c r="T648" i="1"/>
  <c r="T642" i="1"/>
  <c r="T966" i="1"/>
  <c r="T973" i="1"/>
  <c r="T974" i="1"/>
  <c r="T1003" i="1"/>
  <c r="T1061" i="1"/>
  <c r="T14" i="1"/>
  <c r="T356" i="1"/>
  <c r="T700" i="1"/>
  <c r="T969" i="1"/>
  <c r="T1191" i="1"/>
  <c r="T1247" i="1"/>
  <c r="T507" i="1"/>
  <c r="T587" i="1"/>
  <c r="T22" i="1"/>
  <c r="T31" i="1"/>
  <c r="T100" i="1"/>
  <c r="T119" i="1"/>
  <c r="T168" i="1"/>
  <c r="T172" i="1"/>
  <c r="T377" i="1"/>
  <c r="T385" i="1"/>
  <c r="T395" i="1"/>
  <c r="T445" i="1"/>
  <c r="T466" i="1"/>
  <c r="T571" i="1"/>
  <c r="T638" i="1"/>
  <c r="T704" i="1"/>
  <c r="T802" i="1"/>
  <c r="T846" i="1"/>
  <c r="T599" i="1"/>
  <c r="T962" i="1"/>
  <c r="T1290" i="1"/>
  <c r="T158" i="1"/>
  <c r="T336" i="1"/>
  <c r="T585" i="1"/>
  <c r="T957" i="1"/>
  <c r="T1195" i="1"/>
  <c r="T352" i="1"/>
  <c r="T509" i="1"/>
  <c r="T24" i="1"/>
  <c r="T69" i="1"/>
  <c r="T108" i="1"/>
  <c r="T167" i="1"/>
  <c r="T194" i="1"/>
  <c r="T250" i="1"/>
  <c r="T295" i="1"/>
  <c r="T333" i="1"/>
  <c r="T402" i="1"/>
  <c r="T426" i="1"/>
  <c r="T451" i="1"/>
  <c r="T549" i="1"/>
  <c r="T633" i="1"/>
  <c r="T651" i="1"/>
  <c r="T674" i="1"/>
  <c r="T673" i="1"/>
  <c r="T699" i="1"/>
  <c r="T788" i="1"/>
  <c r="T800" i="1"/>
  <c r="T851" i="1"/>
  <c r="T850" i="1"/>
  <c r="T856" i="1"/>
  <c r="T875" i="1"/>
  <c r="T989" i="1"/>
  <c r="T990" i="1"/>
  <c r="T988" i="1"/>
  <c r="T1010" i="1"/>
  <c r="T1008" i="1"/>
  <c r="T1021" i="1"/>
  <c r="T1079" i="1"/>
  <c r="T1145" i="1"/>
  <c r="T1194" i="1"/>
  <c r="T1282" i="1"/>
  <c r="T1306" i="1"/>
  <c r="T1308" i="1"/>
  <c r="T1325" i="1"/>
  <c r="T335" i="1"/>
  <c r="T337" i="1"/>
  <c r="T180" i="1"/>
  <c r="T403" i="1"/>
  <c r="T589" i="1"/>
  <c r="T697" i="1"/>
  <c r="T895" i="1"/>
  <c r="T1094" i="1"/>
  <c r="T71" i="1"/>
  <c r="T85" i="1"/>
  <c r="T90" i="1"/>
  <c r="T89" i="1"/>
  <c r="T118" i="1"/>
  <c r="T160" i="1"/>
  <c r="T209" i="1"/>
  <c r="T223" i="1"/>
  <c r="T306" i="1"/>
  <c r="T432" i="1"/>
  <c r="T727" i="1"/>
  <c r="T751" i="1"/>
  <c r="T750" i="1"/>
  <c r="T803" i="1"/>
  <c r="T823" i="1"/>
  <c r="T871" i="1"/>
  <c r="T1120" i="1"/>
  <c r="T1198" i="1"/>
  <c r="T1220" i="1"/>
  <c r="T1256" i="1"/>
  <c r="T9" i="1"/>
  <c r="T10" i="1"/>
  <c r="T251" i="1"/>
  <c r="T256" i="1"/>
  <c r="T4" i="1"/>
  <c r="T30" i="1"/>
  <c r="T33" i="1"/>
  <c r="T40" i="1"/>
  <c r="T152" i="1"/>
  <c r="T190" i="1"/>
  <c r="T213" i="1"/>
  <c r="T240" i="1"/>
  <c r="T243" i="1"/>
  <c r="T298" i="1"/>
  <c r="T391" i="1"/>
  <c r="T429" i="1"/>
  <c r="T582" i="1"/>
  <c r="T650" i="1"/>
  <c r="T680" i="1"/>
  <c r="T710" i="1"/>
  <c r="T855" i="1"/>
  <c r="T872" i="1"/>
  <c r="T894" i="1"/>
  <c r="T1001" i="1"/>
  <c r="T1028" i="1"/>
  <c r="T1113" i="1"/>
  <c r="T1189" i="1"/>
  <c r="T1221" i="1"/>
  <c r="T1288" i="1"/>
  <c r="T204" i="1"/>
  <c r="T1053" i="1"/>
  <c r="T1049" i="1"/>
  <c r="T284" i="1"/>
  <c r="T362" i="1"/>
  <c r="T474" i="1"/>
  <c r="T623" i="1"/>
  <c r="T677" i="1"/>
  <c r="T678" i="1"/>
  <c r="T679" i="1"/>
  <c r="T1230" i="1"/>
  <c r="T552" i="1"/>
  <c r="T624" i="1"/>
  <c r="T743" i="1"/>
  <c r="T443" i="1"/>
  <c r="T302" i="1"/>
  <c r="T405" i="1"/>
  <c r="T455" i="1"/>
  <c r="T520" i="1"/>
  <c r="T780" i="1"/>
  <c r="T791" i="1"/>
  <c r="T661" i="1"/>
  <c r="T656" i="1"/>
  <c r="T808" i="1"/>
  <c r="T898" i="1"/>
  <c r="T901" i="1"/>
  <c r="T1063" i="1"/>
  <c r="T1181" i="1"/>
  <c r="T175" i="1"/>
  <c r="T233" i="1"/>
  <c r="T776" i="1"/>
  <c r="T1354" i="1"/>
  <c r="T249" i="1"/>
  <c r="T654" i="1"/>
  <c r="T760" i="1"/>
  <c r="T762" i="1"/>
  <c r="T906" i="1"/>
  <c r="T1031" i="1"/>
  <c r="T970" i="1"/>
  <c r="T1020" i="1"/>
  <c r="T1118" i="1"/>
  <c r="T278" i="1"/>
  <c r="T116" i="1"/>
  <c r="T25" i="1"/>
  <c r="T88" i="1"/>
  <c r="T188" i="1"/>
  <c r="T201" i="1"/>
  <c r="T349" i="1"/>
  <c r="T491" i="1"/>
  <c r="T753" i="1"/>
  <c r="T870" i="1"/>
  <c r="T1009" i="1"/>
  <c r="T54" i="1"/>
  <c r="T380" i="1"/>
  <c r="T717" i="1"/>
  <c r="T712" i="1"/>
  <c r="T922" i="1"/>
  <c r="T1002" i="1"/>
  <c r="T1062" i="1"/>
  <c r="T1086" i="1"/>
  <c r="T1277" i="1"/>
  <c r="T1336" i="1"/>
  <c r="T681" i="1"/>
  <c r="T670" i="1"/>
  <c r="T887" i="1"/>
  <c r="T919" i="1"/>
  <c r="T995" i="1"/>
  <c r="T652" i="1"/>
  <c r="T76" i="1"/>
  <c r="T165" i="1"/>
  <c r="T220" i="1"/>
  <c r="T285" i="1"/>
  <c r="T386" i="1"/>
  <c r="T473" i="1"/>
  <c r="T676" i="1"/>
  <c r="T726" i="1"/>
  <c r="T783" i="1"/>
  <c r="T858" i="1"/>
  <c r="T861" i="1"/>
  <c r="T1052" i="1"/>
  <c r="T1362" i="1"/>
  <c r="T6" i="1"/>
  <c r="T18" i="1"/>
  <c r="T20" i="1"/>
  <c r="T35" i="1"/>
  <c r="T52" i="1"/>
  <c r="T51" i="1"/>
  <c r="T81" i="1"/>
  <c r="T139" i="1"/>
  <c r="T156" i="1"/>
  <c r="T157" i="1"/>
  <c r="T202" i="1"/>
  <c r="T211" i="1"/>
  <c r="T222" i="1"/>
  <c r="T231" i="1"/>
  <c r="T290" i="1"/>
  <c r="T297" i="1"/>
  <c r="T341" i="1"/>
  <c r="T345" i="1"/>
  <c r="T353" i="1"/>
  <c r="T355" i="1"/>
  <c r="T409" i="1"/>
  <c r="T421" i="1"/>
  <c r="T417" i="1"/>
  <c r="T428" i="1"/>
  <c r="T441" i="1"/>
  <c r="T461" i="1"/>
  <c r="T457" i="1"/>
  <c r="T465" i="1"/>
  <c r="T464" i="1"/>
  <c r="T485" i="1"/>
  <c r="T496" i="1"/>
  <c r="T502" i="1"/>
  <c r="T556" i="1"/>
  <c r="T722" i="1"/>
  <c r="T771" i="1"/>
  <c r="T878" i="1"/>
  <c r="T954" i="1"/>
  <c r="T951" i="1"/>
  <c r="T985" i="1"/>
  <c r="T1058" i="1"/>
  <c r="T1088" i="1"/>
  <c r="T1190" i="1"/>
  <c r="T1211" i="1"/>
  <c r="T1209" i="1"/>
  <c r="T1250" i="1"/>
  <c r="T1248" i="1"/>
  <c r="T1253" i="1"/>
  <c r="T342" i="1"/>
  <c r="T369" i="1"/>
  <c r="T884" i="1"/>
  <c r="T886" i="1"/>
  <c r="T1065" i="1"/>
  <c r="T1287" i="1"/>
  <c r="T163" i="1"/>
  <c r="T191" i="1"/>
  <c r="T300" i="1"/>
  <c r="T456" i="1"/>
  <c r="T498" i="1"/>
  <c r="T569" i="1"/>
  <c r="T668" i="1"/>
  <c r="T984" i="1"/>
  <c r="T1196" i="1"/>
  <c r="T32" i="1"/>
  <c r="T37" i="1"/>
  <c r="T82" i="1"/>
  <c r="T159" i="1"/>
  <c r="T215" i="1"/>
  <c r="T229" i="1"/>
  <c r="T280" i="1"/>
  <c r="T344" i="1"/>
  <c r="T375" i="1"/>
  <c r="T419" i="1"/>
  <c r="T438" i="1"/>
  <c r="T454" i="1"/>
  <c r="T551" i="1"/>
  <c r="T591" i="1"/>
  <c r="T675" i="1"/>
  <c r="T784" i="1"/>
  <c r="T864" i="1"/>
  <c r="T953" i="1"/>
  <c r="T1017" i="1"/>
  <c r="T1069" i="1"/>
  <c r="T1171" i="1"/>
  <c r="T1192" i="1"/>
  <c r="T1268" i="1"/>
  <c r="T1252" i="1"/>
  <c r="T1393" i="1"/>
  <c r="T1388" i="1"/>
  <c r="T1391" i="1"/>
  <c r="T1390" i="1"/>
  <c r="T1392" i="1"/>
  <c r="T1389" i="1"/>
  <c r="T1414" i="1"/>
  <c r="T1413" i="1"/>
  <c r="T1416" i="1"/>
  <c r="S1378" i="1" l="1"/>
  <c r="M1396" i="1"/>
  <c r="X9" i="16"/>
  <c r="Q9" i="16"/>
  <c r="Y9" i="16"/>
  <c r="J17" i="16"/>
  <c r="W13" i="16"/>
  <c r="AA13" i="16"/>
  <c r="S1421" i="1"/>
  <c r="P1395" i="1"/>
  <c r="Q1395" i="1" s="1"/>
  <c r="Y13" i="16"/>
  <c r="R1421" i="1"/>
  <c r="D1421" i="1" s="1"/>
  <c r="S1411" i="1"/>
  <c r="S1216" i="1"/>
  <c r="S1410" i="1"/>
  <c r="P1396" i="1"/>
  <c r="Q1396" i="1" s="1"/>
  <c r="R1396" i="1" s="1"/>
  <c r="S1418" i="1"/>
  <c r="R1410" i="1"/>
  <c r="R1411" i="1"/>
  <c r="D1410" i="1" s="1"/>
  <c r="S1422" i="1"/>
  <c r="S1415" i="1"/>
  <c r="R1422" i="1"/>
  <c r="R1418" i="1"/>
  <c r="D88" i="1" s="1"/>
  <c r="S1417" i="1"/>
  <c r="R1417" i="1"/>
  <c r="D1417" i="1" s="1"/>
  <c r="R1415" i="1"/>
  <c r="D1415" i="1" s="1"/>
  <c r="S1419" i="1"/>
  <c r="R1419" i="1"/>
  <c r="D1419" i="1" s="1"/>
  <c r="S1387" i="1"/>
  <c r="R1378" i="1"/>
  <c r="D1378" i="1" s="1"/>
  <c r="R1387" i="1"/>
  <c r="D1387" i="1" s="1"/>
  <c r="R1403" i="1"/>
  <c r="R1395" i="1"/>
  <c r="K9" i="16"/>
  <c r="R1420" i="1"/>
  <c r="R1408" i="1"/>
  <c r="D1408" i="1" s="1"/>
  <c r="R1404" i="1"/>
  <c r="G9" i="16"/>
  <c r="D70" i="1"/>
  <c r="D346" i="1"/>
  <c r="D510" i="1"/>
  <c r="D1066" i="1"/>
  <c r="D1345" i="1"/>
  <c r="D91" i="1"/>
  <c r="D363" i="1"/>
  <c r="D573" i="1"/>
  <c r="D1124" i="1"/>
  <c r="D1366" i="1"/>
  <c r="D114" i="1"/>
  <c r="D398" i="1"/>
  <c r="D686" i="1"/>
  <c r="D1262" i="1"/>
  <c r="D1420" i="1"/>
  <c r="D148" i="1"/>
  <c r="D448" i="1"/>
  <c r="D866" i="1"/>
  <c r="D1333" i="1"/>
  <c r="C17" i="16"/>
  <c r="D530" i="1"/>
  <c r="D943" i="1"/>
  <c r="D1315" i="1"/>
  <c r="D617" i="1"/>
  <c r="D1042" i="1"/>
  <c r="D323" i="1"/>
  <c r="D741" i="1"/>
  <c r="D1152" i="1"/>
  <c r="D1404" i="1"/>
  <c r="D414" i="1"/>
  <c r="D837" i="1"/>
  <c r="D1239" i="1"/>
  <c r="F9" i="16"/>
  <c r="E17" i="16"/>
  <c r="B9" i="16"/>
  <c r="I9" i="16"/>
  <c r="D1396" i="1"/>
  <c r="Q12" i="16"/>
  <c r="Y12" i="16"/>
  <c r="X13" i="16"/>
  <c r="AB13" i="16"/>
  <c r="S12" i="16"/>
  <c r="AA12" i="16"/>
  <c r="U12" i="16"/>
  <c r="V13" i="16"/>
  <c r="Z13" i="16"/>
  <c r="AB16" i="16"/>
  <c r="AB17" i="16" s="1"/>
  <c r="L16" i="16"/>
  <c r="L17" i="16" s="1"/>
  <c r="P16" i="16"/>
  <c r="P17" i="16" s="1"/>
  <c r="T16" i="16"/>
  <c r="T17" i="16" s="1"/>
  <c r="D9" i="16"/>
  <c r="H9" i="16"/>
  <c r="L9" i="16"/>
  <c r="P9" i="16"/>
  <c r="T9" i="16"/>
  <c r="N12" i="16"/>
  <c r="R12" i="16"/>
  <c r="V12" i="16"/>
  <c r="Z12" i="16"/>
  <c r="M16" i="16"/>
  <c r="M17" i="16" s="1"/>
  <c r="Q16" i="16"/>
  <c r="Q17" i="16" s="1"/>
  <c r="Z16" i="16"/>
  <c r="Z17" i="16" s="1"/>
  <c r="N16" i="16"/>
  <c r="N17" i="16" s="1"/>
  <c r="R16" i="16"/>
  <c r="R17" i="16" s="1"/>
  <c r="AA16" i="16"/>
  <c r="AA17" i="16" s="1"/>
  <c r="P12" i="16"/>
  <c r="T12" i="16"/>
  <c r="X12" i="16"/>
  <c r="AB12" i="16"/>
  <c r="O16" i="16"/>
  <c r="O17" i="16" s="1"/>
  <c r="S16" i="16"/>
  <c r="S17" i="16" s="1"/>
  <c r="S1353" i="1"/>
  <c r="S1367" i="1"/>
  <c r="S1375" i="1"/>
  <c r="S1376" i="1"/>
  <c r="S1385" i="1"/>
  <c r="S1397" i="1"/>
  <c r="S1401" i="1"/>
  <c r="S1402" i="1"/>
  <c r="S1412" i="1"/>
  <c r="S1349" i="1"/>
  <c r="S1360" i="1"/>
  <c r="S1383" i="1"/>
  <c r="S1400" i="1"/>
  <c r="S1225" i="1"/>
  <c r="S1374" i="1"/>
  <c r="S1298" i="1"/>
  <c r="S1372" i="1"/>
  <c r="S1329" i="1"/>
  <c r="S1339" i="1"/>
  <c r="S1226" i="1"/>
  <c r="S1249" i="1"/>
  <c r="S1272" i="1"/>
  <c r="S1275" i="1"/>
  <c r="S1296" i="1"/>
  <c r="S1358" i="1"/>
  <c r="S1351" i="1"/>
  <c r="S1344" i="1"/>
  <c r="S1369" i="1"/>
  <c r="S1386" i="1"/>
  <c r="S1382" i="1"/>
  <c r="S1398" i="1"/>
  <c r="S666" i="1"/>
  <c r="S1205" i="1"/>
  <c r="S1246" i="1"/>
  <c r="S1274" i="1"/>
  <c r="S1328" i="1"/>
  <c r="S1347" i="1"/>
  <c r="S1348" i="1"/>
  <c r="S1350" i="1"/>
  <c r="S1356" i="1"/>
  <c r="S1370" i="1"/>
  <c r="S1381" i="1"/>
  <c r="S1407" i="1"/>
  <c r="S1394" i="1"/>
  <c r="S1405" i="1"/>
  <c r="S1409" i="1"/>
  <c r="S1207" i="1"/>
  <c r="S1257" i="1"/>
  <c r="S1355" i="1"/>
  <c r="S1283" i="1"/>
  <c r="S1297" i="1"/>
  <c r="S1334" i="1"/>
  <c r="S1330" i="1"/>
  <c r="S1338" i="1"/>
  <c r="S1359" i="1"/>
  <c r="S1361" i="1"/>
  <c r="S1371" i="1"/>
  <c r="S1373" i="1"/>
  <c r="S1379" i="1"/>
  <c r="S1380" i="1"/>
  <c r="S1399" i="1"/>
  <c r="S1406" i="1"/>
  <c r="D180" i="1"/>
  <c r="D895" i="1"/>
  <c r="D403" i="1"/>
  <c r="D1094" i="1"/>
  <c r="D589" i="1"/>
  <c r="D1257" i="1"/>
  <c r="D697" i="1"/>
  <c r="D825" i="1"/>
  <c r="D1067" i="1"/>
  <c r="D1131" i="1"/>
  <c r="D932" i="1"/>
  <c r="D1064" i="1"/>
  <c r="D1132" i="1"/>
  <c r="D935" i="1"/>
  <c r="D1076" i="1"/>
  <c r="D1206" i="1"/>
  <c r="D1297" i="1"/>
  <c r="D967" i="1"/>
  <c r="D1123" i="1"/>
  <c r="D1274" i="1"/>
  <c r="D1296" i="1"/>
  <c r="D1334" i="1"/>
  <c r="D37" i="1"/>
  <c r="D229" i="1"/>
  <c r="D419" i="1"/>
  <c r="D591" i="1"/>
  <c r="D953" i="1"/>
  <c r="D1192" i="1"/>
  <c r="D82" i="1"/>
  <c r="D280" i="1"/>
  <c r="D438" i="1"/>
  <c r="D675" i="1"/>
  <c r="D1017" i="1"/>
  <c r="D1268" i="1"/>
  <c r="D159" i="1"/>
  <c r="D344" i="1"/>
  <c r="D454" i="1"/>
  <c r="D784" i="1"/>
  <c r="D1069" i="1"/>
  <c r="D32" i="1"/>
  <c r="D215" i="1"/>
  <c r="D375" i="1"/>
  <c r="D551" i="1"/>
  <c r="D864" i="1"/>
  <c r="D1171" i="1"/>
  <c r="D770" i="1"/>
  <c r="D1075" i="1"/>
  <c r="D778" i="1"/>
  <c r="D1208" i="1"/>
  <c r="D1353" i="1"/>
  <c r="D490" i="1"/>
  <c r="D809" i="1"/>
  <c r="D1270" i="1"/>
  <c r="D1371" i="1"/>
  <c r="D492" i="1"/>
  <c r="D885" i="1"/>
  <c r="D1340" i="1"/>
  <c r="D111" i="1"/>
  <c r="D394" i="1"/>
  <c r="D635" i="1"/>
  <c r="D847" i="1"/>
  <c r="D975" i="1"/>
  <c r="D1285" i="1"/>
  <c r="D208" i="1"/>
  <c r="D563" i="1"/>
  <c r="D663" i="1"/>
  <c r="D857" i="1"/>
  <c r="D981" i="1"/>
  <c r="D236" i="1"/>
  <c r="D557" i="1"/>
  <c r="D689" i="1"/>
  <c r="D880" i="1"/>
  <c r="D1224" i="1"/>
  <c r="D257" i="1"/>
  <c r="D575" i="1"/>
  <c r="D765" i="1"/>
  <c r="D965" i="1"/>
  <c r="D1265" i="1"/>
  <c r="D1347" i="1"/>
  <c r="D309" i="1"/>
  <c r="D713" i="1"/>
  <c r="D1023" i="1"/>
  <c r="D1267" i="1"/>
  <c r="D370" i="1"/>
  <c r="D982" i="1"/>
  <c r="D1116" i="1"/>
  <c r="D415" i="1"/>
  <c r="D983" i="1"/>
  <c r="D1128" i="1"/>
  <c r="D535" i="1"/>
  <c r="D1016" i="1"/>
  <c r="D1134" i="1"/>
  <c r="D1348" i="1"/>
  <c r="D108" i="1"/>
  <c r="D295" i="1"/>
  <c r="D451" i="1"/>
  <c r="D674" i="1"/>
  <c r="D800" i="1"/>
  <c r="D875" i="1"/>
  <c r="D1010" i="1"/>
  <c r="D1145" i="1"/>
  <c r="D1349" i="1"/>
  <c r="D167" i="1"/>
  <c r="D333" i="1"/>
  <c r="D549" i="1"/>
  <c r="D673" i="1"/>
  <c r="D851" i="1"/>
  <c r="D989" i="1"/>
  <c r="D1008" i="1"/>
  <c r="D1194" i="1"/>
  <c r="D24" i="1"/>
  <c r="D194" i="1"/>
  <c r="D402" i="1"/>
  <c r="D633" i="1"/>
  <c r="D699" i="1"/>
  <c r="D850" i="1"/>
  <c r="D990" i="1"/>
  <c r="D1021" i="1"/>
  <c r="D1282" i="1"/>
  <c r="D1350" i="1"/>
  <c r="D69" i="1"/>
  <c r="D250" i="1"/>
  <c r="D426" i="1"/>
  <c r="D651" i="1"/>
  <c r="D788" i="1"/>
  <c r="D856" i="1"/>
  <c r="D988" i="1"/>
  <c r="D1079" i="1"/>
  <c r="D1306" i="1"/>
  <c r="D1308" i="1"/>
  <c r="D99" i="1"/>
  <c r="D293" i="1"/>
  <c r="D763" i="1"/>
  <c r="D863" i="1"/>
  <c r="D1204" i="1"/>
  <c r="D140" i="1"/>
  <c r="D373" i="1"/>
  <c r="D761" i="1"/>
  <c r="D994" i="1"/>
  <c r="D1215" i="1"/>
  <c r="D16" i="1"/>
  <c r="D161" i="1"/>
  <c r="D659" i="1"/>
  <c r="D810" i="1"/>
  <c r="D1080" i="1"/>
  <c r="D1289" i="1"/>
  <c r="D56" i="1"/>
  <c r="D218" i="1"/>
  <c r="D714" i="1"/>
  <c r="D859" i="1"/>
  <c r="D1218" i="1"/>
  <c r="D1356" i="1"/>
  <c r="D484" i="1"/>
  <c r="D801" i="1"/>
  <c r="D1222" i="1"/>
  <c r="D580" i="1"/>
  <c r="D960" i="1"/>
  <c r="D84" i="1"/>
  <c r="D625" i="1"/>
  <c r="D1012" i="1"/>
  <c r="D364" i="1"/>
  <c r="D772" i="1"/>
  <c r="D1193" i="1"/>
  <c r="D1370" i="1"/>
  <c r="D1381" i="1"/>
  <c r="D712" i="1"/>
  <c r="D1086" i="1"/>
  <c r="D54" i="1"/>
  <c r="D1002" i="1"/>
  <c r="D380" i="1"/>
  <c r="D1062" i="1"/>
  <c r="D717" i="1"/>
  <c r="D1277" i="1"/>
  <c r="D922" i="1"/>
  <c r="D1336" i="1"/>
  <c r="D672" i="1"/>
  <c r="D447" i="1"/>
  <c r="D666" i="1"/>
  <c r="D687" i="1"/>
  <c r="D688" i="1"/>
  <c r="D1104" i="1"/>
  <c r="D682" i="1"/>
  <c r="D1114" i="1"/>
  <c r="D1225" i="1"/>
  <c r="D1246" i="1"/>
  <c r="D1205" i="1"/>
  <c r="D554" i="1"/>
  <c r="D769" i="1"/>
  <c r="D1330" i="1"/>
  <c r="D1019" i="1"/>
  <c r="D1328" i="1"/>
  <c r="D59" i="1"/>
  <c r="D153" i="1"/>
  <c r="D212" i="1"/>
  <c r="D301" i="1"/>
  <c r="D430" i="1"/>
  <c r="D637" i="1"/>
  <c r="D730" i="1"/>
  <c r="D811" i="1"/>
  <c r="D1022" i="1"/>
  <c r="D1090" i="1"/>
  <c r="D1323" i="1"/>
  <c r="D1351" i="1"/>
  <c r="D164" i="1"/>
  <c r="D214" i="1"/>
  <c r="D340" i="1"/>
  <c r="D476" i="1"/>
  <c r="D640" i="1"/>
  <c r="D749" i="1"/>
  <c r="D876" i="1"/>
  <c r="D1060" i="1"/>
  <c r="D1182" i="1"/>
  <c r="D1324" i="1"/>
  <c r="D1372" i="1"/>
  <c r="D21" i="1"/>
  <c r="D77" i="1"/>
  <c r="D178" i="1"/>
  <c r="D217" i="1"/>
  <c r="D347" i="1"/>
  <c r="D519" i="1"/>
  <c r="D702" i="1"/>
  <c r="D789" i="1"/>
  <c r="D921" i="1"/>
  <c r="D1059" i="1"/>
  <c r="D1280" i="1"/>
  <c r="D1338" i="1"/>
  <c r="D87" i="1"/>
  <c r="D206" i="1"/>
  <c r="D235" i="1"/>
  <c r="D376" i="1"/>
  <c r="D559" i="1"/>
  <c r="D715" i="1"/>
  <c r="D805" i="1"/>
  <c r="D997" i="1"/>
  <c r="D1057" i="1"/>
  <c r="D1292" i="1"/>
  <c r="D1358" i="1"/>
  <c r="D979" i="1"/>
  <c r="D1178" i="1"/>
  <c r="D1373" i="1"/>
  <c r="D1305" i="1"/>
  <c r="D729" i="1"/>
  <c r="D964" i="1"/>
  <c r="D1258" i="1"/>
  <c r="D971" i="1"/>
  <c r="D1377" i="1"/>
  <c r="D987" i="1"/>
  <c r="D1379" i="1"/>
  <c r="D701" i="1"/>
  <c r="D1087" i="1"/>
  <c r="D7" i="1"/>
  <c r="D102" i="1"/>
  <c r="D305" i="1"/>
  <c r="D553" i="1"/>
  <c r="D758" i="1"/>
  <c r="D1111" i="1"/>
  <c r="D1251" i="1"/>
  <c r="D12" i="1"/>
  <c r="D182" i="1"/>
  <c r="D389" i="1"/>
  <c r="D628" i="1"/>
  <c r="D792" i="1"/>
  <c r="D1125" i="1"/>
  <c r="D34" i="1"/>
  <c r="D207" i="1"/>
  <c r="D463" i="1"/>
  <c r="D629" i="1"/>
  <c r="D813" i="1"/>
  <c r="D1184" i="1"/>
  <c r="D1380" i="1"/>
  <c r="D83" i="1"/>
  <c r="D279" i="1"/>
  <c r="D513" i="1"/>
  <c r="D671" i="1"/>
  <c r="D917" i="1"/>
  <c r="D1185" i="1"/>
  <c r="D481" i="1"/>
  <c r="D832" i="1"/>
  <c r="D1034" i="1"/>
  <c r="D324" i="1"/>
  <c r="D525" i="1"/>
  <c r="D938" i="1"/>
  <c r="D1146" i="1"/>
  <c r="D1399" i="1"/>
  <c r="D360" i="1"/>
  <c r="D611" i="1"/>
  <c r="D936" i="1"/>
  <c r="D1234" i="1"/>
  <c r="D478" i="1"/>
  <c r="D735" i="1"/>
  <c r="D1051" i="1"/>
  <c r="D1310" i="1"/>
  <c r="D31" i="1"/>
  <c r="D172" i="1"/>
  <c r="D445" i="1"/>
  <c r="D704" i="1"/>
  <c r="D100" i="1"/>
  <c r="D377" i="1"/>
  <c r="D466" i="1"/>
  <c r="D802" i="1"/>
  <c r="D119" i="1"/>
  <c r="D385" i="1"/>
  <c r="D571" i="1"/>
  <c r="D846" i="1"/>
  <c r="D22" i="1"/>
  <c r="D168" i="1"/>
  <c r="D395" i="1"/>
  <c r="D638" i="1"/>
  <c r="D1226" i="1"/>
  <c r="D128" i="1"/>
  <c r="D266" i="1"/>
  <c r="D609" i="1"/>
  <c r="D1130" i="1"/>
  <c r="D1397" i="1"/>
  <c r="D192" i="1"/>
  <c r="D317" i="1"/>
  <c r="D733" i="1"/>
  <c r="D1143" i="1"/>
  <c r="D253" i="1"/>
  <c r="D477" i="1"/>
  <c r="D829" i="1"/>
  <c r="D1231" i="1"/>
  <c r="D265" i="1"/>
  <c r="D522" i="1"/>
  <c r="D934" i="1"/>
  <c r="D1309" i="1"/>
  <c r="D1383" i="1"/>
  <c r="D18" i="1"/>
  <c r="D51" i="1"/>
  <c r="D157" i="1"/>
  <c r="D231" i="1"/>
  <c r="D345" i="1"/>
  <c r="D421" i="1"/>
  <c r="D461" i="1"/>
  <c r="D485" i="1"/>
  <c r="D722" i="1"/>
  <c r="D951" i="1"/>
  <c r="D1190" i="1"/>
  <c r="D6" i="1"/>
  <c r="D81" i="1"/>
  <c r="D211" i="1"/>
  <c r="D341" i="1"/>
  <c r="D417" i="1"/>
  <c r="D465" i="1"/>
  <c r="D556" i="1"/>
  <c r="D985" i="1"/>
  <c r="D1209" i="1"/>
  <c r="D20" i="1"/>
  <c r="D139" i="1"/>
  <c r="D222" i="1"/>
  <c r="D353" i="1"/>
  <c r="D428" i="1"/>
  <c r="D464" i="1"/>
  <c r="D771" i="1"/>
  <c r="D1058" i="1"/>
  <c r="D1250" i="1"/>
  <c r="D35" i="1"/>
  <c r="D156" i="1"/>
  <c r="D290" i="1"/>
  <c r="D355" i="1"/>
  <c r="D441" i="1"/>
  <c r="D496" i="1"/>
  <c r="D878" i="1"/>
  <c r="D1088" i="1"/>
  <c r="D1248" i="1"/>
  <c r="D52" i="1"/>
  <c r="D202" i="1"/>
  <c r="D297" i="1"/>
  <c r="D409" i="1"/>
  <c r="D457" i="1"/>
  <c r="D502" i="1"/>
  <c r="D954" i="1"/>
  <c r="D1211" i="1"/>
  <c r="D322" i="1"/>
  <c r="D529" i="1"/>
  <c r="D740" i="1"/>
  <c r="D942" i="1"/>
  <c r="D1151" i="1"/>
  <c r="D1313" i="1"/>
  <c r="D1402" i="1"/>
  <c r="D1401" i="1"/>
  <c r="D412" i="1"/>
  <c r="D615" i="1"/>
  <c r="D835" i="1"/>
  <c r="D1040" i="1"/>
  <c r="D1237" i="1"/>
  <c r="D413" i="1"/>
  <c r="D616" i="1"/>
  <c r="D836" i="1"/>
  <c r="D1041" i="1"/>
  <c r="D1238" i="1"/>
  <c r="D321" i="1"/>
  <c r="D528" i="1"/>
  <c r="D739" i="1"/>
  <c r="D941" i="1"/>
  <c r="D1150" i="1"/>
  <c r="D1314" i="1"/>
  <c r="D199" i="1"/>
  <c r="D264" i="1"/>
  <c r="D411" i="1"/>
  <c r="D614" i="1"/>
  <c r="D834" i="1"/>
  <c r="D1039" i="1"/>
  <c r="D1236" i="1"/>
  <c r="D1320" i="1"/>
  <c r="D1400" i="1"/>
  <c r="D133" i="1"/>
  <c r="D252" i="1"/>
  <c r="D320" i="1"/>
  <c r="D424" i="1"/>
  <c r="D621" i="1"/>
  <c r="D843" i="1"/>
  <c r="D1046" i="1"/>
  <c r="D1243" i="1"/>
  <c r="D1406" i="1"/>
  <c r="D136" i="1"/>
  <c r="D268" i="1"/>
  <c r="D329" i="1"/>
  <c r="D527" i="1"/>
  <c r="D738" i="1"/>
  <c r="D940" i="1"/>
  <c r="D1149" i="1"/>
  <c r="D1294" i="1"/>
  <c r="D195" i="1"/>
  <c r="D273" i="1"/>
  <c r="D316" i="1"/>
  <c r="D538" i="1"/>
  <c r="D747" i="1"/>
  <c r="D947" i="1"/>
  <c r="D1158" i="1"/>
  <c r="D1316" i="1"/>
  <c r="D1412" i="1"/>
  <c r="D893" i="1"/>
  <c r="D912" i="1"/>
  <c r="D1081" i="1"/>
  <c r="D1386" i="1"/>
  <c r="D898" i="1"/>
  <c r="D661" i="1"/>
  <c r="D901" i="1"/>
  <c r="D1181" i="1"/>
  <c r="D656" i="1"/>
  <c r="D808" i="1"/>
  <c r="D1063" i="1"/>
  <c r="D1398" i="1"/>
  <c r="D267" i="1"/>
  <c r="D610" i="1"/>
  <c r="D937" i="1"/>
  <c r="D1273" i="1"/>
  <c r="D318" i="1"/>
  <c r="D734" i="1"/>
  <c r="D1035" i="1"/>
  <c r="D1311" i="1"/>
  <c r="D129" i="1"/>
  <c r="D407" i="1"/>
  <c r="D831" i="1"/>
  <c r="D1147" i="1"/>
  <c r="D193" i="1"/>
  <c r="D524" i="1"/>
  <c r="D824" i="1"/>
  <c r="D1233" i="1"/>
  <c r="D11" i="1"/>
  <c r="D234" i="1"/>
  <c r="D565" i="1"/>
  <c r="D372" i="1"/>
  <c r="D512" i="1"/>
  <c r="D106" i="1"/>
  <c r="D906" i="1"/>
  <c r="D1118" i="1"/>
  <c r="D654" i="1"/>
  <c r="D1031" i="1"/>
  <c r="D1374" i="1"/>
  <c r="D1355" i="1"/>
  <c r="D1298" i="1"/>
  <c r="D249" i="1"/>
  <c r="D877" i="1"/>
  <c r="D28" i="1"/>
  <c r="D1038" i="1"/>
  <c r="D1339" i="1"/>
  <c r="D283" i="1"/>
  <c r="D1054" i="1"/>
  <c r="D564" i="1"/>
  <c r="D1360" i="1"/>
  <c r="D85" i="1"/>
  <c r="D160" i="1"/>
  <c r="D432" i="1"/>
  <c r="D803" i="1"/>
  <c r="D1198" i="1"/>
  <c r="D1359" i="1"/>
  <c r="D90" i="1"/>
  <c r="D209" i="1"/>
  <c r="D727" i="1"/>
  <c r="D823" i="1"/>
  <c r="D1220" i="1"/>
  <c r="D89" i="1"/>
  <c r="D223" i="1"/>
  <c r="D751" i="1"/>
  <c r="D871" i="1"/>
  <c r="D1256" i="1"/>
  <c r="D118" i="1"/>
  <c r="D306" i="1"/>
  <c r="D750" i="1"/>
  <c r="D71" i="1"/>
  <c r="D1120" i="1"/>
  <c r="D115" i="1"/>
  <c r="D292" i="1"/>
  <c r="D646" i="1"/>
  <c r="D920" i="1"/>
  <c r="D1089" i="1"/>
  <c r="D1276" i="1"/>
  <c r="D137" i="1"/>
  <c r="D367" i="1"/>
  <c r="D693" i="1"/>
  <c r="D972" i="1"/>
  <c r="D1148" i="1"/>
  <c r="D1317" i="1"/>
  <c r="D1367" i="1"/>
  <c r="D203" i="1"/>
  <c r="D499" i="1"/>
  <c r="D782" i="1"/>
  <c r="D1013" i="1"/>
  <c r="D1186" i="1"/>
  <c r="D1365" i="1"/>
  <c r="D242" i="1"/>
  <c r="D561" i="1"/>
  <c r="D812" i="1"/>
  <c r="D1083" i="1"/>
  <c r="D1197" i="1"/>
  <c r="D962" i="1"/>
  <c r="D1375" i="1"/>
  <c r="D1290" i="1"/>
  <c r="D599" i="1"/>
  <c r="D8" i="1"/>
  <c r="D62" i="1"/>
  <c r="D460" i="1"/>
  <c r="D692" i="1"/>
  <c r="D756" i="1"/>
  <c r="D914" i="1"/>
  <c r="D1119" i="1"/>
  <c r="D44" i="1"/>
  <c r="D219" i="1"/>
  <c r="D548" i="1"/>
  <c r="D707" i="1"/>
  <c r="D757" i="1"/>
  <c r="D910" i="1"/>
  <c r="D1376" i="1"/>
  <c r="D43" i="1"/>
  <c r="D359" i="1"/>
  <c r="D562" i="1"/>
  <c r="D723" i="1"/>
  <c r="D807" i="1"/>
  <c r="D1095" i="1"/>
  <c r="D60" i="1"/>
  <c r="D378" i="1"/>
  <c r="D657" i="1"/>
  <c r="D755" i="1"/>
  <c r="D806" i="1"/>
  <c r="D1093" i="1"/>
  <c r="D200" i="1"/>
  <c r="D489" i="1"/>
  <c r="D579" i="1"/>
  <c r="D804" i="1"/>
  <c r="D1048" i="1"/>
  <c r="D1322" i="1"/>
  <c r="D274" i="1"/>
  <c r="D511" i="1"/>
  <c r="D622" i="1"/>
  <c r="D845" i="1"/>
  <c r="D1160" i="1"/>
  <c r="D138" i="1"/>
  <c r="D330" i="1"/>
  <c r="D539" i="1"/>
  <c r="D694" i="1"/>
  <c r="D915" i="1"/>
  <c r="D1245" i="1"/>
  <c r="D1394" i="1"/>
  <c r="D1407" i="1"/>
  <c r="D187" i="1"/>
  <c r="D425" i="1"/>
  <c r="D578" i="1"/>
  <c r="D748" i="1"/>
  <c r="D949" i="1"/>
  <c r="D1295" i="1"/>
  <c r="D1382" i="1"/>
  <c r="D196" i="1"/>
  <c r="D418" i="1"/>
  <c r="D840" i="1"/>
  <c r="D1241" i="1"/>
  <c r="D270" i="1"/>
  <c r="D532" i="1"/>
  <c r="D945" i="1"/>
  <c r="D1318" i="1"/>
  <c r="D307" i="1"/>
  <c r="D618" i="1"/>
  <c r="D1043" i="1"/>
  <c r="D1405" i="1"/>
  <c r="D134" i="1"/>
  <c r="D325" i="1"/>
  <c r="D742" i="1"/>
  <c r="D1156" i="1"/>
  <c r="D221" i="1"/>
  <c r="D653" i="1"/>
  <c r="D1228" i="1"/>
  <c r="D354" i="1"/>
  <c r="D852" i="1"/>
  <c r="D1259" i="1"/>
  <c r="D155" i="1"/>
  <c r="D435" i="1"/>
  <c r="D1018" i="1"/>
  <c r="D1260" i="1"/>
  <c r="D1409" i="1"/>
  <c r="D189" i="1"/>
  <c r="D434" i="1"/>
  <c r="D1091" i="1"/>
  <c r="D1337" i="1"/>
  <c r="D230" i="1"/>
  <c r="D1249" i="1"/>
  <c r="D1369" i="1"/>
  <c r="D1385" i="1"/>
  <c r="D40" i="1"/>
  <c r="D240" i="1"/>
  <c r="D429" i="1"/>
  <c r="D710" i="1"/>
  <c r="D1001" i="1"/>
  <c r="D1221" i="1"/>
  <c r="D4" i="1"/>
  <c r="D152" i="1"/>
  <c r="D243" i="1"/>
  <c r="D582" i="1"/>
  <c r="D855" i="1"/>
  <c r="D1028" i="1"/>
  <c r="D1283" i="1"/>
  <c r="D30" i="1"/>
  <c r="D190" i="1"/>
  <c r="D298" i="1"/>
  <c r="D650" i="1"/>
  <c r="D872" i="1"/>
  <c r="D1113" i="1"/>
  <c r="D1288" i="1"/>
  <c r="D680" i="1"/>
  <c r="D33" i="1"/>
  <c r="D894" i="1"/>
  <c r="D213" i="1"/>
  <c r="D1189" i="1"/>
  <c r="D391" i="1"/>
  <c r="D150" i="1"/>
  <c r="D390" i="1"/>
  <c r="D607" i="1"/>
  <c r="D1027" i="1"/>
  <c r="D1344" i="1"/>
  <c r="D186" i="1"/>
  <c r="D431" i="1"/>
  <c r="D658" i="1"/>
  <c r="D1070" i="1"/>
  <c r="D29" i="1"/>
  <c r="D232" i="1"/>
  <c r="D583" i="1"/>
  <c r="D716" i="1"/>
  <c r="D1325" i="1"/>
  <c r="D86" i="1"/>
  <c r="D357" i="1"/>
  <c r="D586" i="1"/>
  <c r="D978" i="1"/>
  <c r="D1272" i="1"/>
  <c r="D648" i="1" l="1"/>
  <c r="D294" i="1"/>
  <c r="D1003" i="1"/>
  <c r="D642" i="1"/>
  <c r="D49" i="1"/>
  <c r="D1061" i="1"/>
  <c r="S6" i="16"/>
  <c r="V6" i="16"/>
  <c r="D48" i="1"/>
  <c r="D1361" i="1"/>
  <c r="D966" i="1"/>
  <c r="D974" i="1"/>
  <c r="D973" i="1"/>
  <c r="D55" i="1"/>
  <c r="W6" i="16"/>
  <c r="B7" i="16"/>
  <c r="E7" i="16"/>
  <c r="R6" i="16"/>
  <c r="P7" i="16"/>
  <c r="C7" i="16"/>
  <c r="O7" i="16"/>
  <c r="AA7" i="16"/>
  <c r="P6" i="16"/>
  <c r="R7" i="16"/>
  <c r="F6" i="16"/>
  <c r="L7" i="16"/>
  <c r="Y6" i="16"/>
  <c r="S7" i="16"/>
  <c r="D870" i="1"/>
  <c r="D349" i="1"/>
  <c r="D1418" i="1"/>
  <c r="D1009" i="1"/>
  <c r="D201" i="1"/>
  <c r="D753" i="1"/>
  <c r="D25" i="1"/>
  <c r="D23" i="1"/>
  <c r="D728" i="1"/>
  <c r="D1201" i="1"/>
  <c r="D420" i="1"/>
  <c r="D992" i="1"/>
  <c r="D1216" i="1"/>
  <c r="D2" i="1"/>
  <c r="D540" i="1"/>
  <c r="D1164" i="1"/>
  <c r="D19" i="1"/>
  <c r="D639" i="1"/>
  <c r="D1172" i="1"/>
  <c r="D188" i="1"/>
  <c r="D491" i="1"/>
  <c r="O6" i="16"/>
  <c r="D1411" i="1"/>
  <c r="D282" i="1"/>
  <c r="D830" i="1"/>
  <c r="D416" i="1"/>
  <c r="D839" i="1"/>
  <c r="D269" i="1"/>
  <c r="D523" i="1"/>
  <c r="D1144" i="1"/>
  <c r="D281" i="1"/>
  <c r="D531" i="1"/>
  <c r="D1155" i="1"/>
  <c r="D500" i="1"/>
  <c r="D779" i="1"/>
  <c r="D882" i="1"/>
  <c r="D1073" i="1"/>
  <c r="D555" i="1"/>
  <c r="D505" i="1"/>
  <c r="D797" i="1"/>
  <c r="D899" i="1"/>
  <c r="D1229" i="1"/>
  <c r="D1413" i="1"/>
  <c r="D533" i="1"/>
  <c r="D815" i="1"/>
  <c r="D958" i="1"/>
  <c r="D814" i="1"/>
  <c r="D1004" i="1"/>
  <c r="D1422" i="1"/>
  <c r="D436" i="1"/>
  <c r="U6" i="16"/>
  <c r="AB6" i="16"/>
  <c r="L6" i="16"/>
  <c r="V7" i="16"/>
  <c r="Y7" i="16"/>
  <c r="Y8" i="16" s="1"/>
  <c r="T7" i="16"/>
  <c r="G7" i="16"/>
  <c r="J6" i="16"/>
  <c r="C6" i="16"/>
  <c r="I7" i="16"/>
  <c r="F7" i="16"/>
  <c r="F8" i="16" s="1"/>
  <c r="N7" i="16"/>
  <c r="N6" i="16"/>
  <c r="Q7" i="16"/>
  <c r="Q6" i="16"/>
  <c r="X6" i="16"/>
  <c r="AC7" i="16"/>
  <c r="Z7" i="16"/>
  <c r="X7" i="16"/>
  <c r="E6" i="16"/>
  <c r="E8" i="16" s="1"/>
  <c r="K7" i="16"/>
  <c r="D7" i="16"/>
  <c r="G6" i="16"/>
  <c r="G8" i="16" s="1"/>
  <c r="D6" i="16"/>
  <c r="J7" i="16"/>
  <c r="AA6" i="16"/>
  <c r="AA8" i="16" s="1"/>
  <c r="Z6" i="16"/>
  <c r="AC6" i="16"/>
  <c r="M6" i="16"/>
  <c r="T6" i="16"/>
  <c r="T8" i="16" s="1"/>
  <c r="U7" i="16"/>
  <c r="W7" i="16"/>
  <c r="M7" i="16"/>
  <c r="AB7" i="16"/>
  <c r="AB8" i="16" s="1"/>
  <c r="I6" i="16"/>
  <c r="B6" i="16"/>
  <c r="H7" i="16"/>
  <c r="K6" i="16"/>
  <c r="H6" i="16"/>
  <c r="D1112" i="1"/>
  <c r="D838" i="1"/>
  <c r="D1223" i="1"/>
  <c r="D862" i="1"/>
  <c r="D1286" i="1"/>
  <c r="D1403" i="1"/>
  <c r="D1078" i="1"/>
  <c r="D597" i="1"/>
  <c r="D1006" i="1"/>
  <c r="D171" i="1"/>
  <c r="D768" i="1"/>
  <c r="D1199" i="1"/>
  <c r="D493" i="1"/>
  <c r="D918" i="1"/>
  <c r="D1341" i="1"/>
  <c r="D1395" i="1"/>
  <c r="D506" i="1"/>
  <c r="D924" i="1"/>
  <c r="L8" i="16"/>
  <c r="O8" i="16"/>
  <c r="D384" i="1"/>
  <c r="D1102" i="1"/>
  <c r="D495" i="1"/>
  <c r="D1126" i="1"/>
  <c r="D1329" i="1"/>
  <c r="D775" i="1"/>
  <c r="D785" i="1"/>
  <c r="D1275" i="1"/>
  <c r="P8" i="16" l="1"/>
  <c r="W8" i="16"/>
  <c r="S8" i="16"/>
  <c r="R8" i="16"/>
  <c r="C8" i="16"/>
  <c r="B8" i="16"/>
  <c r="V8" i="16"/>
  <c r="AC8" i="16"/>
  <c r="I8" i="16"/>
  <c r="U8" i="16"/>
  <c r="K8" i="16"/>
  <c r="Z8" i="16"/>
  <c r="Q8" i="16"/>
  <c r="N8" i="16"/>
  <c r="J8" i="16"/>
  <c r="H8" i="16"/>
  <c r="D8" i="16"/>
  <c r="X8" i="16"/>
  <c r="M8" i="16"/>
  <c r="J879" i="6"/>
  <c r="I879" i="6"/>
  <c r="J878" i="6"/>
  <c r="I878" i="6"/>
  <c r="J877" i="6"/>
  <c r="I877" i="6"/>
  <c r="J876" i="6"/>
  <c r="I876" i="6"/>
  <c r="J875" i="6"/>
  <c r="I875" i="6"/>
  <c r="J874" i="6"/>
  <c r="I874" i="6"/>
  <c r="J873" i="6"/>
  <c r="I873" i="6"/>
  <c r="J872" i="6"/>
  <c r="I872" i="6"/>
  <c r="J871" i="6"/>
  <c r="I871" i="6"/>
  <c r="J869" i="6"/>
  <c r="J868" i="6"/>
  <c r="I868" i="6"/>
  <c r="J867" i="6"/>
  <c r="I867" i="6"/>
  <c r="J866" i="6"/>
  <c r="I866" i="6"/>
  <c r="J865" i="6"/>
  <c r="I865" i="6"/>
  <c r="J864" i="6"/>
  <c r="I864" i="6"/>
  <c r="J863" i="6"/>
  <c r="I863" i="6"/>
  <c r="J862" i="6"/>
  <c r="I862" i="6"/>
  <c r="J861" i="6"/>
  <c r="I861" i="6"/>
  <c r="J860" i="6"/>
  <c r="I860" i="6"/>
  <c r="J859" i="6"/>
  <c r="I859" i="6"/>
  <c r="J858" i="6"/>
  <c r="I858" i="6"/>
  <c r="J857" i="6"/>
  <c r="I857" i="6"/>
  <c r="J856" i="6"/>
  <c r="I856" i="6"/>
  <c r="J855" i="6"/>
  <c r="I855" i="6"/>
  <c r="J854" i="6"/>
  <c r="I854" i="6"/>
  <c r="J853" i="6"/>
  <c r="I853" i="6"/>
  <c r="J852" i="6"/>
  <c r="I852" i="6"/>
  <c r="J851" i="6"/>
  <c r="I851" i="6"/>
  <c r="J850" i="6"/>
  <c r="I850" i="6"/>
  <c r="J849" i="6"/>
  <c r="I849" i="6"/>
  <c r="J848" i="6"/>
  <c r="I848" i="6"/>
  <c r="J847" i="6"/>
  <c r="I847" i="6"/>
  <c r="J846" i="6"/>
  <c r="I846" i="6"/>
  <c r="J845" i="6"/>
  <c r="I845" i="6"/>
  <c r="J844" i="6"/>
  <c r="I844" i="6"/>
  <c r="J843" i="6"/>
  <c r="I843" i="6"/>
  <c r="J842" i="6"/>
  <c r="I842" i="6"/>
  <c r="J841" i="6"/>
  <c r="I841" i="6"/>
  <c r="J840" i="6"/>
  <c r="I840" i="6"/>
  <c r="J839" i="6"/>
  <c r="I839" i="6"/>
  <c r="J837" i="6"/>
  <c r="I837" i="6"/>
  <c r="J834" i="6"/>
  <c r="I834" i="6"/>
  <c r="J830" i="6"/>
  <c r="I830" i="6"/>
  <c r="J829" i="6"/>
  <c r="I829" i="6"/>
  <c r="J828" i="6"/>
  <c r="I828" i="6"/>
  <c r="J825" i="6"/>
  <c r="I825" i="6"/>
  <c r="J824" i="6"/>
  <c r="I824" i="6"/>
  <c r="J823" i="6"/>
  <c r="I823" i="6"/>
  <c r="J822" i="6"/>
  <c r="I822" i="6"/>
  <c r="J821" i="6"/>
  <c r="I821" i="6"/>
  <c r="J820" i="6"/>
  <c r="I820" i="6"/>
  <c r="J819" i="6"/>
  <c r="I819" i="6"/>
  <c r="J818" i="6"/>
  <c r="I818" i="6"/>
  <c r="J817" i="6"/>
  <c r="I817" i="6"/>
  <c r="J816" i="6"/>
  <c r="I816" i="6"/>
  <c r="J815" i="6"/>
  <c r="I815" i="6"/>
  <c r="J814" i="6"/>
  <c r="I814" i="6"/>
  <c r="J813" i="6"/>
  <c r="I813" i="6"/>
  <c r="J812" i="6"/>
  <c r="I812" i="6"/>
  <c r="J811" i="6"/>
  <c r="I811" i="6"/>
  <c r="J810" i="6"/>
  <c r="I810" i="6"/>
  <c r="J809" i="6"/>
  <c r="I809" i="6"/>
  <c r="J808" i="6"/>
  <c r="I808" i="6"/>
  <c r="J807" i="6"/>
  <c r="I807" i="6"/>
  <c r="J806" i="6"/>
  <c r="I806" i="6"/>
  <c r="J805" i="6"/>
  <c r="I805" i="6"/>
  <c r="J804" i="6"/>
  <c r="I804" i="6"/>
  <c r="J803" i="6"/>
  <c r="I803" i="6"/>
  <c r="J802" i="6"/>
  <c r="I802" i="6"/>
  <c r="J801" i="6"/>
  <c r="I801" i="6"/>
  <c r="J800" i="6"/>
  <c r="I800" i="6"/>
  <c r="J799" i="6"/>
  <c r="I799" i="6"/>
  <c r="J798" i="6"/>
  <c r="I798" i="6"/>
  <c r="J797" i="6"/>
  <c r="I797" i="6"/>
  <c r="J796" i="6"/>
  <c r="I796" i="6"/>
  <c r="J795" i="6"/>
  <c r="I795" i="6"/>
  <c r="J794" i="6"/>
  <c r="I794" i="6"/>
  <c r="J793" i="6"/>
  <c r="I793" i="6"/>
  <c r="J792" i="6"/>
  <c r="I792" i="6"/>
  <c r="J791" i="6"/>
  <c r="I791" i="6"/>
  <c r="J790" i="6"/>
  <c r="I790" i="6"/>
  <c r="J789" i="6"/>
  <c r="I789" i="6"/>
  <c r="J788" i="6"/>
  <c r="I788" i="6"/>
  <c r="J787" i="6"/>
  <c r="I787" i="6"/>
  <c r="J786" i="6"/>
  <c r="I786" i="6"/>
  <c r="J785" i="6"/>
  <c r="I785" i="6"/>
  <c r="J784" i="6"/>
  <c r="I784" i="6"/>
  <c r="J783" i="6"/>
  <c r="I783" i="6"/>
  <c r="J782" i="6"/>
  <c r="I782" i="6"/>
  <c r="J781" i="6"/>
  <c r="I781" i="6"/>
  <c r="J780" i="6"/>
  <c r="I780" i="6"/>
  <c r="J779" i="6"/>
  <c r="I779" i="6"/>
  <c r="J778" i="6"/>
  <c r="I778" i="6"/>
  <c r="J777" i="6"/>
  <c r="I777" i="6"/>
  <c r="J776" i="6"/>
  <c r="I776" i="6"/>
  <c r="J775" i="6"/>
  <c r="I775" i="6"/>
  <c r="J774" i="6"/>
  <c r="I774" i="6"/>
  <c r="J773" i="6"/>
  <c r="I773" i="6"/>
  <c r="J772" i="6"/>
  <c r="I772" i="6"/>
  <c r="J771" i="6"/>
  <c r="I771" i="6"/>
  <c r="J770" i="6"/>
  <c r="I770" i="6"/>
  <c r="J769" i="6"/>
  <c r="I769" i="6"/>
  <c r="J768" i="6"/>
  <c r="I768" i="6"/>
  <c r="J767" i="6"/>
  <c r="I767" i="6"/>
  <c r="J766" i="6"/>
  <c r="I766" i="6"/>
  <c r="J765" i="6"/>
  <c r="I765" i="6"/>
  <c r="J764" i="6"/>
  <c r="I764" i="6"/>
  <c r="J763" i="6"/>
  <c r="I763" i="6"/>
  <c r="J762" i="6"/>
  <c r="I762" i="6"/>
  <c r="J761" i="6"/>
  <c r="I761" i="6"/>
  <c r="J760" i="6"/>
  <c r="I760" i="6"/>
  <c r="J759" i="6"/>
  <c r="I759" i="6"/>
  <c r="J758" i="6"/>
  <c r="I758" i="6"/>
  <c r="J757" i="6"/>
  <c r="I757" i="6"/>
  <c r="J756" i="6"/>
  <c r="I756" i="6"/>
  <c r="J755" i="6"/>
  <c r="I755" i="6"/>
  <c r="J754" i="6"/>
  <c r="I754" i="6"/>
  <c r="J753" i="6"/>
  <c r="I753" i="6"/>
  <c r="J752" i="6"/>
  <c r="I752" i="6"/>
  <c r="J751" i="6"/>
  <c r="I751" i="6"/>
  <c r="J750" i="6"/>
  <c r="I750" i="6"/>
  <c r="J749" i="6"/>
  <c r="I749" i="6"/>
  <c r="J748" i="6"/>
  <c r="I748" i="6"/>
  <c r="J747" i="6"/>
  <c r="I747" i="6"/>
  <c r="J746" i="6"/>
  <c r="I746" i="6"/>
  <c r="J745" i="6"/>
  <c r="I745" i="6"/>
  <c r="J744" i="6"/>
  <c r="I744" i="6"/>
  <c r="J743" i="6"/>
  <c r="I743" i="6"/>
  <c r="J742" i="6"/>
  <c r="I742" i="6"/>
  <c r="J741" i="6"/>
  <c r="I741" i="6"/>
  <c r="J740" i="6"/>
  <c r="I740" i="6"/>
  <c r="J739" i="6"/>
  <c r="I739" i="6"/>
  <c r="J738" i="6"/>
  <c r="I738" i="6"/>
  <c r="J737" i="6"/>
  <c r="I737" i="6"/>
  <c r="J736" i="6"/>
  <c r="I736" i="6"/>
  <c r="J735" i="6"/>
  <c r="I735" i="6"/>
  <c r="J734" i="6"/>
  <c r="I734" i="6"/>
  <c r="J733" i="6"/>
  <c r="I733" i="6"/>
  <c r="J732" i="6"/>
  <c r="I732" i="6"/>
  <c r="J731" i="6"/>
  <c r="I731" i="6"/>
  <c r="J730" i="6"/>
  <c r="I730" i="6"/>
  <c r="J729" i="6"/>
  <c r="I729" i="6"/>
  <c r="J728" i="6"/>
  <c r="I728" i="6"/>
  <c r="J727" i="6"/>
  <c r="I727" i="6"/>
  <c r="J726" i="6"/>
  <c r="I726" i="6"/>
  <c r="J725" i="6"/>
  <c r="I725" i="6"/>
  <c r="J724" i="6"/>
  <c r="I724" i="6"/>
  <c r="J723" i="6"/>
  <c r="I723" i="6"/>
  <c r="J722" i="6"/>
  <c r="I722" i="6"/>
  <c r="J721" i="6"/>
  <c r="I721" i="6"/>
  <c r="J720" i="6"/>
  <c r="I720" i="6"/>
  <c r="J719" i="6"/>
  <c r="I719" i="6"/>
  <c r="J718" i="6"/>
  <c r="I718" i="6"/>
  <c r="J717" i="6"/>
  <c r="I717" i="6"/>
  <c r="J716" i="6"/>
  <c r="I716" i="6"/>
  <c r="J715" i="6"/>
  <c r="I715" i="6"/>
  <c r="J714" i="6"/>
  <c r="I714" i="6"/>
  <c r="J713" i="6"/>
  <c r="I713" i="6"/>
  <c r="J712" i="6"/>
  <c r="I712" i="6"/>
  <c r="J711" i="6"/>
  <c r="I711" i="6"/>
  <c r="J710" i="6"/>
  <c r="I710" i="6"/>
  <c r="J709" i="6"/>
  <c r="I709" i="6"/>
  <c r="J708" i="6"/>
  <c r="I708" i="6"/>
  <c r="J707" i="6"/>
  <c r="I707" i="6"/>
  <c r="J706" i="6"/>
  <c r="I706" i="6"/>
  <c r="J705" i="6"/>
  <c r="I705" i="6"/>
  <c r="J704" i="6"/>
  <c r="I704" i="6"/>
  <c r="J703" i="6"/>
  <c r="I703" i="6"/>
  <c r="J702" i="6"/>
  <c r="I702" i="6"/>
  <c r="J701" i="6"/>
  <c r="I701" i="6"/>
  <c r="J700" i="6"/>
  <c r="I700" i="6"/>
  <c r="J699" i="6"/>
  <c r="I699" i="6"/>
  <c r="J698" i="6"/>
  <c r="I698" i="6"/>
  <c r="J697" i="6"/>
  <c r="I697" i="6"/>
  <c r="J696" i="6"/>
  <c r="I696" i="6"/>
  <c r="J695" i="6"/>
  <c r="I695" i="6"/>
  <c r="J694" i="6"/>
  <c r="I694" i="6"/>
  <c r="J693" i="6"/>
  <c r="I693" i="6"/>
  <c r="J692" i="6"/>
  <c r="I692" i="6"/>
  <c r="J691" i="6"/>
  <c r="I691" i="6"/>
  <c r="J690" i="6"/>
  <c r="I690" i="6"/>
  <c r="J689" i="6"/>
  <c r="I689" i="6"/>
  <c r="J688" i="6"/>
  <c r="I688" i="6"/>
  <c r="J687" i="6"/>
  <c r="I687" i="6"/>
  <c r="J686" i="6"/>
  <c r="I686" i="6"/>
  <c r="J685" i="6"/>
  <c r="I685" i="6"/>
  <c r="J684" i="6"/>
  <c r="I684" i="6"/>
  <c r="J683" i="6"/>
  <c r="I683" i="6"/>
  <c r="J682" i="6"/>
  <c r="I682" i="6"/>
  <c r="J681" i="6"/>
  <c r="I681" i="6"/>
  <c r="J680" i="6"/>
  <c r="I680" i="6"/>
  <c r="J679" i="6"/>
  <c r="I679" i="6"/>
  <c r="J678" i="6"/>
  <c r="I678" i="6"/>
  <c r="J677" i="6"/>
  <c r="I677" i="6"/>
  <c r="J676" i="6"/>
  <c r="I676" i="6"/>
  <c r="J675" i="6"/>
  <c r="I675" i="6"/>
  <c r="J674" i="6"/>
  <c r="I674" i="6"/>
  <c r="J673" i="6"/>
  <c r="I673" i="6"/>
  <c r="J672" i="6"/>
  <c r="I672" i="6"/>
  <c r="J671" i="6"/>
  <c r="I671" i="6"/>
  <c r="J670" i="6"/>
  <c r="I670" i="6"/>
  <c r="J669" i="6"/>
  <c r="I669" i="6"/>
  <c r="J668" i="6"/>
  <c r="I668" i="6"/>
  <c r="J667" i="6"/>
  <c r="I667" i="6"/>
  <c r="J666" i="6"/>
  <c r="I666" i="6"/>
  <c r="J665" i="6"/>
  <c r="I665" i="6"/>
  <c r="J664" i="6"/>
  <c r="I664" i="6"/>
  <c r="J663" i="6"/>
  <c r="I663" i="6"/>
  <c r="J662" i="6"/>
  <c r="I662" i="6"/>
  <c r="J661" i="6"/>
  <c r="I661" i="6"/>
  <c r="J660" i="6"/>
  <c r="I660" i="6"/>
  <c r="J659" i="6"/>
  <c r="I659" i="6"/>
  <c r="J658" i="6"/>
  <c r="I658" i="6"/>
  <c r="J657" i="6"/>
  <c r="I657" i="6"/>
  <c r="J656" i="6"/>
  <c r="I656" i="6"/>
  <c r="J655" i="6"/>
  <c r="I655" i="6"/>
  <c r="J654" i="6"/>
  <c r="I654" i="6"/>
  <c r="J653" i="6"/>
  <c r="I653" i="6"/>
  <c r="J652" i="6"/>
  <c r="I652" i="6"/>
  <c r="J651" i="6"/>
  <c r="I651" i="6"/>
  <c r="J650" i="6"/>
  <c r="I650" i="6"/>
  <c r="J649" i="6"/>
  <c r="I649" i="6"/>
  <c r="J648" i="6"/>
  <c r="I648" i="6"/>
  <c r="J647" i="6"/>
  <c r="I647" i="6"/>
  <c r="J646" i="6"/>
  <c r="I646" i="6"/>
  <c r="J645" i="6"/>
  <c r="I645" i="6"/>
  <c r="J644" i="6"/>
  <c r="I644" i="6"/>
  <c r="J643" i="6"/>
  <c r="I643" i="6"/>
  <c r="J642" i="6"/>
  <c r="I642" i="6"/>
  <c r="J641" i="6"/>
  <c r="I641" i="6"/>
  <c r="J640" i="6"/>
  <c r="I640" i="6"/>
  <c r="J639" i="6"/>
  <c r="I639" i="6"/>
  <c r="J638" i="6"/>
  <c r="I638" i="6"/>
  <c r="J637" i="6"/>
  <c r="I637" i="6"/>
  <c r="J636" i="6"/>
  <c r="I636" i="6"/>
  <c r="J635" i="6"/>
  <c r="I635" i="6"/>
  <c r="J634" i="6"/>
  <c r="I634" i="6"/>
  <c r="J633" i="6"/>
  <c r="I633" i="6"/>
  <c r="J632" i="6"/>
  <c r="I632" i="6"/>
  <c r="J631" i="6"/>
  <c r="I631" i="6"/>
  <c r="J630" i="6"/>
  <c r="I630" i="6"/>
  <c r="J629" i="6"/>
  <c r="I629" i="6"/>
  <c r="J628" i="6"/>
  <c r="I628" i="6"/>
  <c r="J627" i="6"/>
  <c r="I627" i="6"/>
  <c r="J626" i="6"/>
  <c r="I626" i="6"/>
  <c r="J625" i="6"/>
  <c r="I625" i="6"/>
  <c r="J624" i="6"/>
  <c r="I624" i="6"/>
  <c r="J623" i="6"/>
  <c r="I623" i="6"/>
  <c r="J622" i="6"/>
  <c r="I622" i="6"/>
  <c r="J621" i="6"/>
  <c r="I621" i="6"/>
  <c r="J620" i="6"/>
  <c r="I620" i="6"/>
  <c r="J619" i="6"/>
  <c r="I619" i="6"/>
  <c r="J618" i="6"/>
  <c r="I618" i="6"/>
  <c r="J617" i="6"/>
  <c r="I617" i="6"/>
  <c r="J616" i="6"/>
  <c r="I616" i="6"/>
  <c r="J615" i="6"/>
  <c r="I615" i="6"/>
  <c r="J614" i="6"/>
  <c r="I614" i="6"/>
  <c r="J613" i="6"/>
  <c r="I613" i="6"/>
  <c r="J612" i="6"/>
  <c r="I612" i="6"/>
  <c r="J611" i="6"/>
  <c r="I611" i="6"/>
  <c r="J610" i="6"/>
  <c r="I610" i="6"/>
  <c r="J609" i="6"/>
  <c r="I609" i="6"/>
  <c r="J608" i="6"/>
  <c r="I608" i="6"/>
  <c r="J607" i="6"/>
  <c r="I607" i="6"/>
  <c r="J606" i="6"/>
  <c r="I606" i="6"/>
  <c r="J605" i="6"/>
  <c r="I605" i="6"/>
  <c r="J604" i="6"/>
  <c r="I604" i="6"/>
  <c r="J603" i="6"/>
  <c r="I603" i="6"/>
  <c r="J602" i="6"/>
  <c r="I602" i="6"/>
  <c r="J601" i="6"/>
  <c r="I601" i="6"/>
  <c r="J600" i="6"/>
  <c r="I600" i="6"/>
  <c r="J599" i="6"/>
  <c r="I599" i="6"/>
  <c r="J598" i="6"/>
  <c r="I598" i="6"/>
  <c r="J597" i="6"/>
  <c r="I597" i="6"/>
  <c r="J596" i="6"/>
  <c r="I596" i="6"/>
  <c r="J595" i="6"/>
  <c r="I595" i="6"/>
  <c r="J594" i="6"/>
  <c r="I594" i="6"/>
  <c r="J593" i="6"/>
  <c r="I593" i="6"/>
  <c r="J592" i="6"/>
  <c r="I592" i="6"/>
  <c r="J591" i="6"/>
  <c r="I591" i="6"/>
  <c r="J590" i="6"/>
  <c r="I590" i="6"/>
  <c r="J589" i="6"/>
  <c r="I589" i="6"/>
  <c r="J588" i="6"/>
  <c r="I588" i="6"/>
  <c r="J587" i="6"/>
  <c r="I587" i="6"/>
  <c r="J586" i="6"/>
  <c r="I586" i="6"/>
  <c r="J585" i="6"/>
  <c r="I585" i="6"/>
  <c r="J584" i="6"/>
  <c r="I584" i="6"/>
  <c r="J583" i="6"/>
  <c r="I583" i="6"/>
  <c r="J582" i="6"/>
  <c r="I582" i="6"/>
  <c r="J581" i="6"/>
  <c r="I581" i="6"/>
  <c r="J580" i="6"/>
  <c r="I580" i="6"/>
  <c r="J579" i="6"/>
  <c r="I579" i="6"/>
  <c r="J578" i="6"/>
  <c r="I578" i="6"/>
  <c r="J577" i="6"/>
  <c r="I577" i="6"/>
  <c r="J576" i="6"/>
  <c r="I576" i="6"/>
  <c r="J575" i="6"/>
  <c r="I575" i="6"/>
  <c r="J574" i="6"/>
  <c r="I574" i="6"/>
  <c r="J573" i="6"/>
  <c r="I573" i="6"/>
  <c r="J572" i="6"/>
  <c r="I572" i="6"/>
  <c r="J571" i="6"/>
  <c r="I571" i="6"/>
  <c r="J570" i="6"/>
  <c r="I570" i="6"/>
  <c r="J569" i="6"/>
  <c r="I569" i="6"/>
  <c r="J568" i="6"/>
  <c r="I568" i="6"/>
  <c r="J567" i="6"/>
  <c r="I567" i="6"/>
  <c r="J566" i="6"/>
  <c r="I566" i="6"/>
  <c r="J565" i="6"/>
  <c r="I565" i="6"/>
  <c r="J564" i="6"/>
  <c r="I564" i="6"/>
  <c r="J563" i="6"/>
  <c r="I563" i="6"/>
  <c r="J562" i="6"/>
  <c r="I562" i="6"/>
  <c r="J561" i="6"/>
  <c r="I561" i="6"/>
  <c r="J560" i="6"/>
  <c r="I560" i="6"/>
  <c r="J559" i="6"/>
  <c r="I559" i="6"/>
  <c r="J558" i="6"/>
  <c r="I558" i="6"/>
  <c r="J557" i="6"/>
  <c r="I557" i="6"/>
  <c r="J556" i="6"/>
  <c r="I556" i="6"/>
  <c r="J555" i="6"/>
  <c r="I555" i="6"/>
  <c r="J554" i="6"/>
  <c r="I554" i="6"/>
  <c r="J553" i="6"/>
  <c r="I553" i="6"/>
  <c r="J552" i="6"/>
  <c r="I552" i="6"/>
  <c r="J551" i="6"/>
  <c r="I551" i="6"/>
  <c r="J550" i="6"/>
  <c r="I550" i="6"/>
  <c r="J549" i="6"/>
  <c r="I549" i="6"/>
  <c r="J548" i="6"/>
  <c r="I548" i="6"/>
  <c r="J547" i="6"/>
  <c r="I547" i="6"/>
  <c r="J546" i="6"/>
  <c r="I546" i="6"/>
  <c r="J545" i="6"/>
  <c r="I545" i="6"/>
  <c r="J544" i="6"/>
  <c r="I544" i="6"/>
  <c r="J543" i="6"/>
  <c r="I543" i="6"/>
  <c r="J542" i="6"/>
  <c r="I542" i="6"/>
  <c r="J541" i="6"/>
  <c r="I541" i="6"/>
  <c r="J540" i="6"/>
  <c r="I540" i="6"/>
  <c r="J539" i="6"/>
  <c r="I539" i="6"/>
  <c r="J538" i="6"/>
  <c r="I538" i="6"/>
  <c r="J537" i="6"/>
  <c r="I537" i="6"/>
  <c r="J536" i="6"/>
  <c r="I536" i="6"/>
  <c r="J535" i="6"/>
  <c r="I535" i="6"/>
  <c r="J534" i="6"/>
  <c r="I534" i="6"/>
  <c r="J533" i="6"/>
  <c r="I533" i="6"/>
  <c r="J532" i="6"/>
  <c r="I532" i="6"/>
  <c r="J531" i="6"/>
  <c r="I531" i="6"/>
  <c r="J530" i="6"/>
  <c r="I530" i="6"/>
  <c r="J529" i="6"/>
  <c r="I529" i="6"/>
  <c r="J528" i="6"/>
  <c r="I528" i="6"/>
  <c r="J527" i="6"/>
  <c r="I527" i="6"/>
  <c r="J526" i="6"/>
  <c r="I526" i="6"/>
  <c r="J525" i="6"/>
  <c r="I525" i="6"/>
  <c r="J524" i="6"/>
  <c r="I524" i="6"/>
  <c r="J523" i="6"/>
  <c r="I523" i="6"/>
  <c r="J522" i="6"/>
  <c r="I522" i="6"/>
  <c r="J521" i="6"/>
  <c r="I521" i="6"/>
  <c r="J520" i="6"/>
  <c r="I520" i="6"/>
  <c r="J519" i="6"/>
  <c r="I519" i="6"/>
  <c r="J518" i="6"/>
  <c r="I518" i="6"/>
  <c r="J517" i="6"/>
  <c r="I517" i="6"/>
  <c r="J516" i="6"/>
  <c r="I516" i="6"/>
  <c r="J515" i="6"/>
  <c r="I515" i="6"/>
  <c r="J514" i="6"/>
  <c r="I514" i="6"/>
  <c r="J513" i="6"/>
  <c r="I513" i="6"/>
  <c r="J512" i="6"/>
  <c r="I512" i="6"/>
  <c r="J511" i="6"/>
  <c r="I511" i="6"/>
  <c r="J510" i="6"/>
  <c r="I510" i="6"/>
  <c r="J509" i="6"/>
  <c r="I509" i="6"/>
  <c r="J508" i="6"/>
  <c r="I508" i="6"/>
  <c r="J507" i="6"/>
  <c r="I507" i="6"/>
  <c r="J506" i="6"/>
  <c r="I506" i="6"/>
  <c r="J505" i="6"/>
  <c r="I505" i="6"/>
  <c r="J504" i="6"/>
  <c r="I504" i="6"/>
  <c r="J503" i="6"/>
  <c r="I503" i="6"/>
  <c r="J502" i="6"/>
  <c r="I502" i="6"/>
  <c r="J501" i="6"/>
  <c r="I501" i="6"/>
  <c r="J500" i="6"/>
  <c r="I500" i="6"/>
  <c r="J499" i="6"/>
  <c r="I499" i="6"/>
  <c r="J498" i="6"/>
  <c r="I498" i="6"/>
  <c r="J497" i="6"/>
  <c r="I497" i="6"/>
  <c r="J496" i="6"/>
  <c r="I496" i="6"/>
  <c r="J495" i="6"/>
  <c r="I495" i="6"/>
  <c r="J494" i="6"/>
  <c r="I494" i="6"/>
  <c r="J493" i="6"/>
  <c r="I493" i="6"/>
  <c r="J492" i="6"/>
  <c r="I492" i="6"/>
  <c r="J491" i="6"/>
  <c r="I491" i="6"/>
  <c r="J490" i="6"/>
  <c r="I490" i="6"/>
  <c r="J489" i="6"/>
  <c r="I489" i="6"/>
  <c r="J488" i="6"/>
  <c r="I488" i="6"/>
  <c r="J487" i="6"/>
  <c r="I487" i="6"/>
  <c r="J486" i="6"/>
  <c r="I486" i="6"/>
  <c r="J485" i="6"/>
  <c r="I485" i="6"/>
  <c r="J484" i="6"/>
  <c r="I484" i="6"/>
  <c r="J483" i="6"/>
  <c r="I483" i="6"/>
  <c r="J482" i="6"/>
  <c r="I482" i="6"/>
  <c r="J481" i="6"/>
  <c r="I481" i="6"/>
  <c r="J480" i="6"/>
  <c r="I480" i="6"/>
  <c r="J479" i="6"/>
  <c r="I479" i="6"/>
  <c r="J478" i="6"/>
  <c r="I478" i="6"/>
  <c r="J477" i="6"/>
  <c r="I477" i="6"/>
  <c r="J476" i="6"/>
  <c r="I476" i="6"/>
  <c r="J475" i="6"/>
  <c r="I475" i="6"/>
  <c r="J474" i="6"/>
  <c r="I474" i="6"/>
  <c r="J473" i="6"/>
  <c r="I473" i="6"/>
  <c r="J472" i="6"/>
  <c r="I472" i="6"/>
  <c r="J471" i="6"/>
  <c r="I471" i="6"/>
  <c r="J470" i="6"/>
  <c r="I470" i="6"/>
  <c r="J469" i="6"/>
  <c r="I469" i="6"/>
  <c r="J468" i="6"/>
  <c r="I468" i="6"/>
  <c r="J467" i="6"/>
  <c r="I467" i="6"/>
  <c r="J466" i="6"/>
  <c r="I466" i="6"/>
  <c r="J465" i="6"/>
  <c r="I465" i="6"/>
  <c r="J464" i="6"/>
  <c r="I464" i="6"/>
  <c r="J463" i="6"/>
  <c r="I463" i="6"/>
  <c r="J462" i="6"/>
  <c r="I462" i="6"/>
  <c r="J461" i="6"/>
  <c r="I461" i="6"/>
  <c r="J460" i="6"/>
  <c r="I460" i="6"/>
  <c r="J459" i="6"/>
  <c r="I459" i="6"/>
  <c r="J458" i="6"/>
  <c r="I458" i="6"/>
  <c r="J457" i="6"/>
  <c r="I457" i="6"/>
  <c r="J456" i="6"/>
  <c r="I456" i="6"/>
  <c r="J455" i="6"/>
  <c r="I455" i="6"/>
  <c r="J454" i="6"/>
  <c r="I454" i="6"/>
  <c r="J453" i="6"/>
  <c r="I453" i="6"/>
  <c r="J452" i="6"/>
  <c r="I452" i="6"/>
  <c r="J451" i="6"/>
  <c r="I451" i="6"/>
  <c r="J450" i="6"/>
  <c r="I450" i="6"/>
  <c r="J449" i="6"/>
  <c r="I449" i="6"/>
  <c r="J448" i="6"/>
  <c r="I448" i="6"/>
  <c r="J447" i="6"/>
  <c r="I447" i="6"/>
  <c r="J446" i="6"/>
  <c r="I446" i="6"/>
  <c r="J445" i="6"/>
  <c r="I445" i="6"/>
  <c r="J444" i="6"/>
  <c r="I444" i="6"/>
  <c r="J443" i="6"/>
  <c r="I443" i="6"/>
  <c r="J442" i="6"/>
  <c r="I442" i="6"/>
  <c r="J441" i="6"/>
  <c r="I441" i="6"/>
  <c r="J440" i="6"/>
  <c r="I440" i="6"/>
  <c r="J439" i="6"/>
  <c r="I439" i="6"/>
  <c r="J438" i="6"/>
  <c r="I438" i="6"/>
  <c r="J437" i="6"/>
  <c r="I437" i="6"/>
  <c r="J436" i="6"/>
  <c r="I436" i="6"/>
  <c r="J435" i="6"/>
  <c r="I435" i="6"/>
  <c r="J434" i="6"/>
  <c r="I434" i="6"/>
  <c r="J433" i="6"/>
  <c r="I433" i="6"/>
  <c r="J432" i="6"/>
  <c r="I432" i="6"/>
  <c r="J431" i="6"/>
  <c r="I431" i="6"/>
  <c r="J430" i="6"/>
  <c r="I430" i="6"/>
  <c r="J429" i="6"/>
  <c r="I429" i="6"/>
  <c r="J428" i="6"/>
  <c r="I428" i="6"/>
  <c r="J427" i="6"/>
  <c r="I427" i="6"/>
  <c r="J426" i="6"/>
  <c r="I426" i="6"/>
  <c r="J425" i="6"/>
  <c r="I425" i="6"/>
  <c r="J424" i="6"/>
  <c r="I424" i="6"/>
  <c r="J423" i="6"/>
  <c r="I423" i="6"/>
  <c r="J422" i="6"/>
  <c r="I422" i="6"/>
  <c r="J421" i="6"/>
  <c r="I421" i="6"/>
  <c r="J420" i="6"/>
  <c r="I420" i="6"/>
  <c r="J419" i="6"/>
  <c r="I419" i="6"/>
  <c r="J418" i="6"/>
  <c r="I418" i="6"/>
  <c r="J417" i="6"/>
  <c r="I417" i="6"/>
  <c r="J416" i="6"/>
  <c r="I416" i="6"/>
  <c r="J415" i="6"/>
  <c r="I415" i="6"/>
  <c r="J414" i="6"/>
  <c r="I414" i="6"/>
  <c r="J413" i="6"/>
  <c r="I413" i="6"/>
  <c r="J412" i="6"/>
  <c r="I412" i="6"/>
  <c r="J411" i="6"/>
  <c r="I411" i="6"/>
  <c r="J410" i="6"/>
  <c r="I410" i="6"/>
  <c r="J409" i="6"/>
  <c r="I409" i="6"/>
  <c r="J408" i="6"/>
  <c r="I408" i="6"/>
  <c r="J407" i="6"/>
  <c r="I407" i="6"/>
  <c r="J406" i="6"/>
  <c r="I406" i="6"/>
  <c r="J405" i="6"/>
  <c r="I405" i="6"/>
  <c r="J404" i="6"/>
  <c r="I404" i="6"/>
  <c r="J403" i="6"/>
  <c r="I403" i="6"/>
  <c r="J402" i="6"/>
  <c r="I402" i="6"/>
  <c r="J401" i="6"/>
  <c r="I401" i="6"/>
  <c r="J400" i="6"/>
  <c r="I400" i="6"/>
  <c r="J399" i="6"/>
  <c r="I399" i="6"/>
  <c r="J398" i="6"/>
  <c r="I398" i="6"/>
  <c r="J397" i="6"/>
  <c r="I397" i="6"/>
  <c r="J396" i="6"/>
  <c r="I396" i="6"/>
  <c r="J395" i="6"/>
  <c r="I395" i="6"/>
  <c r="J394" i="6"/>
  <c r="I394" i="6"/>
  <c r="J393" i="6"/>
  <c r="I393" i="6"/>
  <c r="J392" i="6"/>
  <c r="I392" i="6"/>
  <c r="J391" i="6"/>
  <c r="I391" i="6"/>
  <c r="J390" i="6"/>
  <c r="I390" i="6"/>
  <c r="J389" i="6"/>
  <c r="I389" i="6"/>
  <c r="J388" i="6"/>
  <c r="I388" i="6"/>
  <c r="J387" i="6"/>
  <c r="I387" i="6"/>
  <c r="J386" i="6"/>
  <c r="I386" i="6"/>
  <c r="J385" i="6"/>
  <c r="I385" i="6"/>
  <c r="J384" i="6"/>
  <c r="I384" i="6"/>
  <c r="J383" i="6"/>
  <c r="I383" i="6"/>
  <c r="J382" i="6"/>
  <c r="I382" i="6"/>
  <c r="J381" i="6"/>
  <c r="I381" i="6"/>
  <c r="J380" i="6"/>
  <c r="I380" i="6"/>
  <c r="J379" i="6"/>
  <c r="I379" i="6"/>
  <c r="J378" i="6"/>
  <c r="I378" i="6"/>
  <c r="J377" i="6"/>
  <c r="I377" i="6"/>
  <c r="J376" i="6"/>
  <c r="I376" i="6"/>
  <c r="J375" i="6"/>
  <c r="I375" i="6"/>
  <c r="J374" i="6"/>
  <c r="I374" i="6"/>
  <c r="J373" i="6"/>
  <c r="I373" i="6"/>
  <c r="J372" i="6"/>
  <c r="I372" i="6"/>
  <c r="J371" i="6"/>
  <c r="I371" i="6"/>
  <c r="J370" i="6"/>
  <c r="I370" i="6"/>
  <c r="J369" i="6"/>
  <c r="I369" i="6"/>
  <c r="J368" i="6"/>
  <c r="I368" i="6"/>
  <c r="J367" i="6"/>
  <c r="I367" i="6"/>
  <c r="J366" i="6"/>
  <c r="I366" i="6"/>
  <c r="J365" i="6"/>
  <c r="I365" i="6"/>
  <c r="J364" i="6"/>
  <c r="I364" i="6"/>
  <c r="J363" i="6"/>
  <c r="I363" i="6"/>
  <c r="J362" i="6"/>
  <c r="I362" i="6"/>
  <c r="J361" i="6"/>
  <c r="I361" i="6"/>
  <c r="J360" i="6"/>
  <c r="I360" i="6"/>
  <c r="J359" i="6"/>
  <c r="I359" i="6"/>
  <c r="J358" i="6"/>
  <c r="I358" i="6"/>
  <c r="J357" i="6"/>
  <c r="I357" i="6"/>
  <c r="J356" i="6"/>
  <c r="I356" i="6"/>
  <c r="J355" i="6"/>
  <c r="I355" i="6"/>
  <c r="J354" i="6"/>
  <c r="I354" i="6"/>
  <c r="J353" i="6"/>
  <c r="I353" i="6"/>
  <c r="J352" i="6"/>
  <c r="I352" i="6"/>
  <c r="J351" i="6"/>
  <c r="I351" i="6"/>
  <c r="J350" i="6"/>
  <c r="I350" i="6"/>
  <c r="J349" i="6"/>
  <c r="I349" i="6"/>
  <c r="J348" i="6"/>
  <c r="I348" i="6"/>
  <c r="J347" i="6"/>
  <c r="I347" i="6"/>
  <c r="J346" i="6"/>
  <c r="I346" i="6"/>
  <c r="J345" i="6"/>
  <c r="I345" i="6"/>
  <c r="J344" i="6"/>
  <c r="I344" i="6"/>
  <c r="J343" i="6"/>
  <c r="I343" i="6"/>
  <c r="J342" i="6"/>
  <c r="I342" i="6"/>
  <c r="J341" i="6"/>
  <c r="I341" i="6"/>
  <c r="J340" i="6"/>
  <c r="I340" i="6"/>
  <c r="J339" i="6"/>
  <c r="I339" i="6"/>
  <c r="J338" i="6"/>
  <c r="I338" i="6"/>
  <c r="J337" i="6"/>
  <c r="I337" i="6"/>
  <c r="J336" i="6"/>
  <c r="I336" i="6"/>
  <c r="J335" i="6"/>
  <c r="I335" i="6"/>
  <c r="J334" i="6"/>
  <c r="I334" i="6"/>
  <c r="J333" i="6"/>
  <c r="I333" i="6"/>
  <c r="J332" i="6"/>
  <c r="I332" i="6"/>
  <c r="J331" i="6"/>
  <c r="I331" i="6"/>
  <c r="J330" i="6"/>
  <c r="I330" i="6"/>
  <c r="J329" i="6"/>
  <c r="I329" i="6"/>
  <c r="J328" i="6"/>
  <c r="I328" i="6"/>
  <c r="J327" i="6"/>
  <c r="I327" i="6"/>
  <c r="J326" i="6"/>
  <c r="I326" i="6"/>
  <c r="J325" i="6"/>
  <c r="I325" i="6"/>
  <c r="J324" i="6"/>
  <c r="I324" i="6"/>
  <c r="J323" i="6"/>
  <c r="I323" i="6"/>
  <c r="J322" i="6"/>
  <c r="I322" i="6"/>
  <c r="J321" i="6"/>
  <c r="I321" i="6"/>
  <c r="J320" i="6"/>
  <c r="I320" i="6"/>
  <c r="J319" i="6"/>
  <c r="I319" i="6"/>
  <c r="J318" i="6"/>
  <c r="I318" i="6"/>
  <c r="J317" i="6"/>
  <c r="I317" i="6"/>
  <c r="J316" i="6"/>
  <c r="I316" i="6"/>
  <c r="J315" i="6"/>
  <c r="I315" i="6"/>
  <c r="J314" i="6"/>
  <c r="I314" i="6"/>
  <c r="J313" i="6"/>
  <c r="I313" i="6"/>
  <c r="J312" i="6"/>
  <c r="I312" i="6"/>
  <c r="J311" i="6"/>
  <c r="I311" i="6"/>
  <c r="J310" i="6"/>
  <c r="I310" i="6"/>
  <c r="J309" i="6"/>
  <c r="I309" i="6"/>
  <c r="J308" i="6"/>
  <c r="I308" i="6"/>
  <c r="J307" i="6"/>
  <c r="I307" i="6"/>
  <c r="J306" i="6"/>
  <c r="I306" i="6"/>
  <c r="J305" i="6"/>
  <c r="I305" i="6"/>
  <c r="J304" i="6"/>
  <c r="I304" i="6"/>
  <c r="J303" i="6"/>
  <c r="I303" i="6"/>
  <c r="J302" i="6"/>
  <c r="I302" i="6"/>
  <c r="J301" i="6"/>
  <c r="I301" i="6"/>
  <c r="J300" i="6"/>
  <c r="I300" i="6"/>
  <c r="J299" i="6"/>
  <c r="I299" i="6"/>
  <c r="J298" i="6"/>
  <c r="I298" i="6"/>
  <c r="J297" i="6"/>
  <c r="I297" i="6"/>
  <c r="J296" i="6"/>
  <c r="I296" i="6"/>
  <c r="J295" i="6"/>
  <c r="I295" i="6"/>
  <c r="J294" i="6"/>
  <c r="I294" i="6"/>
  <c r="J293" i="6"/>
  <c r="I293" i="6"/>
  <c r="J292" i="6"/>
  <c r="I292" i="6"/>
  <c r="J291" i="6"/>
  <c r="I291" i="6"/>
  <c r="J290" i="6"/>
  <c r="I290" i="6"/>
  <c r="J289" i="6"/>
  <c r="I289" i="6"/>
  <c r="J288" i="6"/>
  <c r="I288" i="6"/>
  <c r="J287" i="6"/>
  <c r="I287" i="6"/>
  <c r="J286" i="6"/>
  <c r="I286" i="6"/>
  <c r="J285" i="6"/>
  <c r="I285" i="6"/>
  <c r="J284" i="6"/>
  <c r="I284" i="6"/>
  <c r="J283" i="6"/>
  <c r="I283" i="6"/>
  <c r="J282" i="6"/>
  <c r="I282" i="6"/>
  <c r="J281" i="6"/>
  <c r="I281" i="6"/>
  <c r="J280" i="6"/>
  <c r="I280" i="6"/>
  <c r="J278" i="6"/>
  <c r="I278" i="6"/>
  <c r="I277" i="6"/>
  <c r="J276" i="6"/>
  <c r="I276" i="6"/>
  <c r="J275" i="6"/>
  <c r="I275" i="6"/>
  <c r="J273" i="6"/>
  <c r="I273" i="6"/>
  <c r="J272" i="6"/>
  <c r="I272" i="6"/>
  <c r="J271" i="6"/>
  <c r="I271" i="6"/>
  <c r="J270" i="6"/>
  <c r="I270" i="6"/>
  <c r="J269" i="6"/>
  <c r="I269" i="6"/>
  <c r="J268" i="6"/>
  <c r="I268" i="6"/>
  <c r="J267" i="6"/>
  <c r="I267" i="6"/>
  <c r="J266" i="6"/>
  <c r="I266" i="6"/>
  <c r="J265" i="6"/>
  <c r="I265" i="6"/>
  <c r="J264" i="6"/>
  <c r="I264" i="6"/>
  <c r="J263" i="6"/>
  <c r="I263" i="6"/>
  <c r="J262" i="6"/>
  <c r="I262" i="6"/>
  <c r="J261" i="6"/>
  <c r="I261" i="6"/>
  <c r="J260" i="6"/>
  <c r="I260" i="6"/>
  <c r="J259" i="6"/>
  <c r="I259" i="6"/>
  <c r="J258" i="6"/>
  <c r="I258" i="6"/>
  <c r="J257" i="6"/>
  <c r="I257" i="6"/>
  <c r="J256" i="6"/>
  <c r="I256" i="6"/>
  <c r="J255" i="6"/>
  <c r="I255" i="6"/>
  <c r="J254" i="6"/>
  <c r="I254" i="6"/>
  <c r="J253" i="6"/>
  <c r="I253" i="6"/>
  <c r="J252" i="6"/>
  <c r="I252" i="6"/>
  <c r="J251" i="6"/>
  <c r="I251" i="6"/>
  <c r="J250" i="6"/>
  <c r="I250" i="6"/>
  <c r="J249" i="6"/>
  <c r="I249" i="6"/>
  <c r="J248" i="6"/>
  <c r="I248" i="6"/>
  <c r="J247" i="6"/>
  <c r="I247" i="6"/>
  <c r="J246" i="6"/>
  <c r="I246" i="6"/>
  <c r="J245" i="6"/>
  <c r="I245" i="6"/>
  <c r="J244" i="6"/>
  <c r="I244" i="6"/>
  <c r="J243" i="6"/>
  <c r="I243" i="6"/>
  <c r="J242" i="6"/>
  <c r="I242" i="6"/>
  <c r="J240" i="6"/>
  <c r="I240" i="6"/>
  <c r="J239" i="6"/>
  <c r="I239" i="6"/>
  <c r="J238" i="6"/>
  <c r="I238" i="6"/>
  <c r="J237" i="6"/>
  <c r="I237" i="6"/>
  <c r="J236" i="6"/>
  <c r="I236" i="6"/>
  <c r="I235" i="6"/>
  <c r="J234" i="6"/>
  <c r="I234" i="6"/>
  <c r="J233" i="6"/>
  <c r="I233" i="6"/>
  <c r="J232" i="6"/>
  <c r="I232" i="6"/>
  <c r="J231" i="6"/>
  <c r="I231" i="6"/>
  <c r="J230" i="6"/>
  <c r="I230" i="6"/>
  <c r="J229" i="6"/>
  <c r="I229" i="6"/>
  <c r="J228" i="6"/>
  <c r="I228" i="6"/>
  <c r="J227" i="6"/>
  <c r="I227" i="6"/>
  <c r="J226" i="6"/>
  <c r="I226" i="6"/>
  <c r="J225" i="6"/>
  <c r="I225" i="6"/>
  <c r="J224" i="6"/>
  <c r="I224" i="6"/>
  <c r="J223" i="6"/>
  <c r="I223" i="6"/>
  <c r="J222" i="6"/>
  <c r="I222" i="6"/>
  <c r="J221" i="6"/>
  <c r="J220" i="6"/>
  <c r="I220" i="6"/>
  <c r="J219" i="6"/>
  <c r="I219" i="6"/>
  <c r="J218" i="6"/>
  <c r="I218" i="6"/>
  <c r="J217" i="6"/>
  <c r="I217" i="6"/>
  <c r="J216" i="6"/>
  <c r="I216" i="6"/>
  <c r="J215" i="6"/>
  <c r="I215" i="6"/>
  <c r="J214" i="6"/>
  <c r="I214" i="6"/>
  <c r="J213" i="6"/>
  <c r="I213" i="6"/>
  <c r="J212" i="6"/>
  <c r="I212" i="6"/>
  <c r="J211" i="6"/>
  <c r="I211" i="6"/>
  <c r="J210" i="6"/>
  <c r="I210" i="6"/>
  <c r="J209" i="6"/>
  <c r="I209" i="6"/>
  <c r="J208" i="6"/>
  <c r="I208" i="6"/>
  <c r="J207" i="6"/>
  <c r="I207" i="6"/>
  <c r="J206" i="6"/>
  <c r="I206" i="6"/>
  <c r="J205" i="6"/>
  <c r="I205" i="6"/>
  <c r="J204" i="6"/>
  <c r="I204" i="6"/>
  <c r="J203" i="6"/>
  <c r="I203" i="6"/>
  <c r="J202" i="6"/>
  <c r="I202" i="6"/>
  <c r="J201" i="6"/>
  <c r="I201" i="6"/>
  <c r="J200" i="6"/>
  <c r="I200" i="6"/>
  <c r="J199" i="6"/>
  <c r="I199" i="6"/>
  <c r="J198" i="6"/>
  <c r="I198" i="6"/>
  <c r="J197" i="6"/>
  <c r="I197" i="6"/>
  <c r="J196" i="6"/>
  <c r="I196" i="6"/>
  <c r="J195" i="6"/>
  <c r="I195" i="6"/>
  <c r="J194" i="6"/>
  <c r="I194" i="6"/>
  <c r="J193" i="6"/>
  <c r="I193" i="6"/>
  <c r="J192" i="6"/>
  <c r="I192" i="6"/>
  <c r="J191" i="6"/>
  <c r="I191" i="6"/>
  <c r="J190" i="6"/>
  <c r="I190" i="6"/>
  <c r="J189" i="6"/>
  <c r="I189" i="6"/>
  <c r="J188" i="6"/>
  <c r="I188" i="6"/>
  <c r="J187" i="6"/>
  <c r="I187" i="6"/>
  <c r="J186" i="6"/>
  <c r="I186" i="6"/>
  <c r="J185" i="6"/>
  <c r="I185" i="6"/>
  <c r="J184" i="6"/>
  <c r="I184" i="6"/>
  <c r="J183" i="6"/>
  <c r="I183" i="6"/>
  <c r="J182" i="6"/>
  <c r="I182" i="6"/>
  <c r="J181" i="6"/>
  <c r="I181" i="6"/>
  <c r="J180" i="6"/>
  <c r="I180" i="6"/>
  <c r="J179" i="6"/>
  <c r="I179" i="6"/>
  <c r="J178" i="6"/>
  <c r="I178" i="6"/>
  <c r="J177" i="6"/>
  <c r="I177" i="6"/>
  <c r="J176" i="6"/>
  <c r="I176" i="6"/>
  <c r="J175" i="6"/>
  <c r="I175" i="6"/>
  <c r="J174" i="6"/>
  <c r="I174" i="6"/>
  <c r="J173" i="6"/>
  <c r="I173" i="6"/>
  <c r="J172" i="6"/>
  <c r="I172" i="6"/>
  <c r="J171" i="6"/>
  <c r="I171" i="6"/>
  <c r="J170" i="6"/>
  <c r="I170" i="6"/>
  <c r="J169" i="6"/>
  <c r="I169" i="6"/>
  <c r="J168" i="6"/>
  <c r="I168" i="6"/>
  <c r="J167" i="6"/>
  <c r="I167" i="6"/>
  <c r="J166" i="6"/>
  <c r="I166" i="6"/>
  <c r="J165" i="6"/>
  <c r="I165" i="6"/>
  <c r="J164" i="6"/>
  <c r="I164" i="6"/>
  <c r="J163" i="6"/>
  <c r="I163" i="6"/>
  <c r="J162" i="6"/>
  <c r="I162" i="6"/>
  <c r="J161" i="6"/>
  <c r="I161" i="6"/>
  <c r="J160" i="6"/>
  <c r="I160" i="6"/>
  <c r="J159" i="6"/>
  <c r="I159" i="6"/>
  <c r="J158" i="6"/>
  <c r="I158" i="6"/>
  <c r="J157" i="6"/>
  <c r="I157" i="6"/>
  <c r="J156" i="6"/>
  <c r="I156" i="6"/>
  <c r="J155" i="6"/>
  <c r="I155" i="6"/>
  <c r="J154" i="6"/>
  <c r="I154" i="6"/>
  <c r="J153" i="6"/>
  <c r="I153" i="6"/>
  <c r="J152" i="6"/>
  <c r="I152" i="6"/>
  <c r="J151" i="6"/>
  <c r="I151" i="6"/>
  <c r="J150" i="6"/>
  <c r="I150" i="6"/>
  <c r="J149" i="6"/>
  <c r="I149" i="6"/>
  <c r="J148" i="6"/>
  <c r="I148" i="6"/>
  <c r="J147" i="6"/>
  <c r="I147" i="6"/>
  <c r="J146" i="6"/>
  <c r="I146" i="6"/>
  <c r="J145" i="6"/>
  <c r="I145" i="6"/>
  <c r="J144" i="6"/>
  <c r="I144" i="6"/>
  <c r="J143" i="6"/>
  <c r="I143" i="6"/>
  <c r="J142" i="6"/>
  <c r="I142" i="6"/>
  <c r="J141" i="6"/>
  <c r="I141" i="6"/>
  <c r="J140" i="6"/>
  <c r="I140" i="6"/>
  <c r="J139" i="6"/>
  <c r="I139" i="6"/>
  <c r="J138" i="6"/>
  <c r="I138" i="6"/>
  <c r="J137" i="6"/>
  <c r="I137" i="6"/>
  <c r="J136" i="6"/>
  <c r="I136" i="6"/>
  <c r="J135" i="6"/>
  <c r="I135" i="6"/>
  <c r="J134" i="6"/>
  <c r="I134" i="6"/>
  <c r="J133" i="6"/>
  <c r="I133" i="6"/>
  <c r="J132" i="6"/>
  <c r="I132" i="6"/>
  <c r="J131" i="6"/>
  <c r="I131" i="6"/>
  <c r="J129" i="6"/>
  <c r="I129" i="6"/>
  <c r="J128" i="6"/>
  <c r="I128" i="6"/>
  <c r="J127" i="6"/>
  <c r="I127" i="6"/>
  <c r="J126" i="6"/>
  <c r="I126" i="6"/>
  <c r="J125" i="6"/>
  <c r="I125" i="6"/>
  <c r="J124" i="6"/>
  <c r="I124" i="6"/>
  <c r="J121" i="6"/>
  <c r="I121" i="6"/>
  <c r="J120" i="6"/>
  <c r="I120" i="6"/>
  <c r="J119" i="6"/>
  <c r="I119" i="6"/>
  <c r="J118" i="6"/>
  <c r="I118" i="6"/>
  <c r="J117" i="6"/>
  <c r="I117" i="6"/>
  <c r="J116" i="6"/>
  <c r="I116" i="6"/>
  <c r="J115" i="6"/>
  <c r="I115" i="6"/>
  <c r="J114" i="6"/>
  <c r="I114" i="6"/>
  <c r="J113" i="6"/>
  <c r="I113" i="6"/>
  <c r="J112" i="6"/>
  <c r="I112" i="6"/>
  <c r="J111" i="6"/>
  <c r="I111" i="6"/>
  <c r="J110" i="6"/>
  <c r="I110" i="6"/>
  <c r="J109" i="6"/>
  <c r="I109" i="6"/>
  <c r="J108" i="6"/>
  <c r="I108" i="6"/>
  <c r="J107" i="6"/>
  <c r="I107" i="6"/>
  <c r="J106" i="6"/>
  <c r="I106" i="6"/>
  <c r="J105" i="6"/>
  <c r="I105" i="6"/>
  <c r="J104" i="6"/>
  <c r="I104" i="6"/>
  <c r="J103" i="6"/>
  <c r="I103" i="6"/>
  <c r="J102" i="6"/>
  <c r="I102" i="6"/>
  <c r="J101" i="6"/>
  <c r="I101" i="6"/>
  <c r="J100" i="6"/>
  <c r="I100" i="6"/>
  <c r="J99" i="6"/>
  <c r="I99" i="6"/>
  <c r="J98" i="6"/>
  <c r="I98" i="6"/>
  <c r="J97" i="6"/>
  <c r="I97" i="6"/>
  <c r="J96" i="6"/>
  <c r="I96" i="6"/>
  <c r="J95" i="6"/>
  <c r="I95" i="6"/>
  <c r="J94" i="6"/>
  <c r="I94" i="6"/>
  <c r="J93" i="6"/>
  <c r="I93" i="6"/>
  <c r="J92" i="6"/>
  <c r="I92" i="6"/>
  <c r="J91" i="6"/>
  <c r="I91" i="6"/>
  <c r="J90" i="6"/>
  <c r="I90" i="6"/>
  <c r="J89" i="6"/>
  <c r="I89" i="6"/>
  <c r="J88" i="6"/>
  <c r="I88" i="6"/>
  <c r="J87" i="6"/>
  <c r="I87" i="6"/>
  <c r="J86" i="6"/>
  <c r="I86" i="6"/>
  <c r="J83" i="6"/>
  <c r="I83" i="6"/>
  <c r="J82" i="6"/>
  <c r="I82" i="6"/>
  <c r="J81" i="6"/>
  <c r="I81" i="6"/>
  <c r="J80" i="6"/>
  <c r="I80" i="6"/>
  <c r="J79" i="6"/>
  <c r="I79" i="6"/>
  <c r="J78" i="6"/>
  <c r="I78" i="6"/>
  <c r="J77" i="6"/>
  <c r="I77" i="6"/>
  <c r="J76" i="6"/>
  <c r="I76" i="6"/>
  <c r="J75" i="6"/>
  <c r="I75" i="6"/>
  <c r="J74" i="6"/>
  <c r="I74" i="6"/>
  <c r="J73" i="6"/>
  <c r="I73" i="6"/>
  <c r="J72" i="6"/>
  <c r="I72" i="6"/>
  <c r="J71" i="6"/>
  <c r="I71" i="6"/>
  <c r="J70" i="6"/>
  <c r="I70" i="6"/>
  <c r="J69" i="6"/>
  <c r="I69" i="6"/>
  <c r="J68" i="6"/>
  <c r="I68" i="6"/>
  <c r="J67" i="6"/>
  <c r="I67" i="6"/>
  <c r="J66" i="6"/>
  <c r="I66" i="6"/>
  <c r="J65" i="6"/>
  <c r="I65" i="6"/>
  <c r="J64" i="6"/>
  <c r="I64" i="6"/>
  <c r="J63" i="6"/>
  <c r="I63" i="6"/>
  <c r="J62" i="6"/>
  <c r="I62" i="6"/>
  <c r="J61" i="6"/>
  <c r="I61" i="6"/>
  <c r="J60" i="6"/>
  <c r="I60" i="6"/>
  <c r="J59" i="6"/>
  <c r="I59" i="6"/>
  <c r="J58" i="6"/>
  <c r="I58" i="6"/>
  <c r="J57" i="6"/>
  <c r="I57" i="6"/>
  <c r="J56" i="6"/>
  <c r="I56" i="6"/>
  <c r="J55" i="6"/>
  <c r="I55" i="6"/>
  <c r="J54" i="6"/>
  <c r="I54" i="6"/>
  <c r="J53" i="6"/>
  <c r="I53" i="6"/>
  <c r="J52" i="6"/>
  <c r="I52" i="6"/>
  <c r="J51" i="6"/>
  <c r="I51" i="6"/>
  <c r="J50" i="6"/>
  <c r="I50" i="6"/>
  <c r="J49" i="6"/>
  <c r="I49" i="6"/>
  <c r="J48" i="6"/>
  <c r="I48" i="6"/>
  <c r="J47" i="6"/>
  <c r="I47" i="6"/>
  <c r="J46" i="6"/>
  <c r="I46" i="6"/>
  <c r="J45" i="6"/>
  <c r="I45" i="6"/>
  <c r="J44" i="6"/>
  <c r="I44" i="6"/>
  <c r="J42" i="6"/>
  <c r="I42" i="6"/>
  <c r="J41" i="6"/>
  <c r="I41" i="6"/>
  <c r="J40" i="6"/>
  <c r="I40" i="6"/>
  <c r="J39" i="6"/>
  <c r="I39" i="6"/>
  <c r="J38" i="6"/>
  <c r="I38" i="6"/>
  <c r="J37" i="6"/>
  <c r="I37" i="6"/>
  <c r="J36" i="6"/>
  <c r="I36" i="6"/>
  <c r="J35" i="6"/>
  <c r="I35" i="6"/>
  <c r="J34" i="6"/>
  <c r="I34" i="6"/>
  <c r="J33" i="6"/>
  <c r="I33" i="6"/>
  <c r="J32" i="6"/>
  <c r="I32" i="6"/>
  <c r="J31" i="6"/>
  <c r="I31" i="6"/>
  <c r="J30" i="6"/>
  <c r="I30" i="6"/>
  <c r="J29" i="6"/>
  <c r="I29" i="6"/>
  <c r="J28" i="6"/>
  <c r="I28" i="6"/>
  <c r="J27" i="6"/>
  <c r="I27" i="6"/>
  <c r="J26" i="6"/>
  <c r="I26" i="6"/>
  <c r="J25" i="6"/>
  <c r="I25" i="6"/>
  <c r="J24" i="6"/>
  <c r="I24" i="6"/>
  <c r="J23" i="6"/>
  <c r="I23" i="6"/>
  <c r="J22" i="6"/>
  <c r="I22" i="6"/>
  <c r="J21" i="6"/>
  <c r="I21" i="6"/>
  <c r="J20" i="6"/>
  <c r="I20" i="6"/>
  <c r="J19" i="6"/>
  <c r="I19" i="6"/>
  <c r="J18" i="6"/>
  <c r="I18" i="6"/>
  <c r="J17" i="6"/>
  <c r="I17" i="6"/>
  <c r="J16" i="6"/>
  <c r="I16" i="6"/>
  <c r="J15" i="6"/>
  <c r="I15" i="6"/>
  <c r="J13" i="6"/>
  <c r="I13" i="6"/>
  <c r="J12" i="6"/>
  <c r="I12" i="6"/>
  <c r="J11" i="6"/>
  <c r="I11" i="6"/>
  <c r="J10" i="6"/>
  <c r="I10" i="6"/>
  <c r="J9" i="6"/>
  <c r="I9" i="6"/>
  <c r="J8" i="6"/>
  <c r="I8" i="6"/>
  <c r="J7" i="6"/>
  <c r="I7" i="6"/>
  <c r="J6" i="6"/>
  <c r="I6" i="6"/>
  <c r="I5" i="6"/>
  <c r="J4" i="6"/>
  <c r="I4" i="6"/>
  <c r="J3" i="6"/>
  <c r="I3" i="6"/>
  <c r="J2" i="6"/>
  <c r="I2" i="6"/>
  <c r="B1" i="12"/>
  <c r="T1421" i="1" s="1"/>
  <c r="T1411" i="1" l="1"/>
  <c r="T1216" i="1"/>
  <c r="T1422" i="1"/>
  <c r="T1410" i="1"/>
  <c r="T1417" i="1"/>
  <c r="T1418" i="1"/>
  <c r="T1419" i="1"/>
  <c r="T1415" i="1"/>
  <c r="T1387" i="1"/>
  <c r="T1378" i="1"/>
  <c r="T1395" i="1"/>
  <c r="T1403" i="1"/>
  <c r="T1420" i="1"/>
  <c r="T1408" i="1"/>
  <c r="T1396" i="1"/>
  <c r="T1406" i="1"/>
  <c r="T1399" i="1"/>
  <c r="T1380" i="1"/>
  <c r="T1379" i="1"/>
  <c r="T1373" i="1"/>
  <c r="T1371" i="1"/>
  <c r="T1361" i="1"/>
  <c r="T1359" i="1"/>
  <c r="T1338" i="1"/>
  <c r="T1330" i="1"/>
  <c r="T1334" i="1"/>
  <c r="T1297" i="1"/>
  <c r="T1283" i="1"/>
  <c r="T1355" i="1"/>
  <c r="T1257" i="1"/>
  <c r="T1207" i="1"/>
  <c r="T1409" i="1"/>
  <c r="T1405" i="1"/>
  <c r="T1407" i="1"/>
  <c r="T1348" i="1"/>
  <c r="T1274" i="1"/>
  <c r="T1246" i="1"/>
  <c r="T1381" i="1"/>
  <c r="T1370" i="1"/>
  <c r="T1356" i="1"/>
  <c r="T1205" i="1"/>
  <c r="T1398" i="1"/>
  <c r="T1382" i="1"/>
  <c r="T1386" i="1"/>
  <c r="T1369" i="1"/>
  <c r="T1344" i="1"/>
  <c r="T1351" i="1"/>
  <c r="T1358" i="1"/>
  <c r="T1296" i="1"/>
  <c r="T1275" i="1"/>
  <c r="T1272" i="1"/>
  <c r="T1249" i="1"/>
  <c r="T1226" i="1"/>
  <c r="T1412" i="1"/>
  <c r="T1400" i="1"/>
  <c r="T1402" i="1"/>
  <c r="T1401" i="1"/>
  <c r="T1397" i="1"/>
  <c r="T1385" i="1"/>
  <c r="T1383" i="1"/>
  <c r="T1376" i="1"/>
  <c r="T1375" i="1"/>
  <c r="T1367" i="1"/>
  <c r="T1360" i="1"/>
  <c r="T1353" i="1"/>
  <c r="T1349" i="1"/>
  <c r="T1339" i="1"/>
  <c r="T1329" i="1"/>
  <c r="T1372" i="1"/>
  <c r="T1298" i="1"/>
  <c r="T1374" i="1"/>
  <c r="T1225" i="1"/>
  <c r="T1394" i="1"/>
  <c r="T1350" i="1"/>
  <c r="T1347" i="1"/>
  <c r="T1328" i="1"/>
  <c r="T666" i="1"/>
  <c r="J235" i="6"/>
  <c r="I130" i="6"/>
  <c r="I241" i="6"/>
  <c r="J241" i="6"/>
  <c r="I221" i="6"/>
  <c r="I869" i="6"/>
  <c r="AC16" i="16" l="1"/>
  <c r="Y16" i="16"/>
  <c r="U16" i="16"/>
  <c r="X16" i="16"/>
  <c r="W16" i="16"/>
  <c r="V16" i="16"/>
  <c r="J130" i="6"/>
  <c r="J870" i="6" l="1"/>
  <c r="I870" i="6"/>
  <c r="J838" i="6" l="1"/>
  <c r="I838" i="6"/>
  <c r="J836" i="6" l="1"/>
  <c r="I836" i="6"/>
  <c r="J835" i="6" l="1"/>
  <c r="I835" i="6"/>
  <c r="J833" i="6" l="1"/>
  <c r="I833" i="6"/>
  <c r="J832" i="6" l="1"/>
  <c r="I832" i="6"/>
  <c r="J831" i="6" l="1"/>
  <c r="I831" i="6"/>
  <c r="J826" i="6" l="1"/>
  <c r="I826" i="6"/>
  <c r="J279" i="6"/>
  <c r="I279" i="6"/>
  <c r="J827" i="6"/>
  <c r="I827" i="6"/>
  <c r="J14" i="6" l="1"/>
  <c r="I14" i="6"/>
  <c r="J277" i="6" l="1"/>
  <c r="J43" i="6" l="1"/>
  <c r="I43" i="6"/>
  <c r="J84" i="6"/>
  <c r="I84" i="6"/>
  <c r="J85" i="6" l="1"/>
  <c r="I85" i="6"/>
  <c r="J5" i="6" l="1"/>
  <c r="J274" i="6" l="1"/>
  <c r="I274" i="6"/>
  <c r="J122" i="6" l="1"/>
  <c r="I122" i="6"/>
  <c r="J123" i="6" l="1"/>
  <c r="I123" i="6"/>
  <c r="AC17" i="16" l="1"/>
  <c r="V17" i="16" l="1"/>
  <c r="Y17" i="16"/>
  <c r="U17" i="16"/>
  <c r="X17" i="16"/>
  <c r="W17" i="16"/>
</calcChain>
</file>

<file path=xl/sharedStrings.xml><?xml version="1.0" encoding="utf-8"?>
<sst xmlns="http://schemas.openxmlformats.org/spreadsheetml/2006/main" count="4415" uniqueCount="1278">
  <si>
    <t>Fecha de hoy</t>
  </si>
  <si>
    <t>FECHA DE FACTURACIÓN</t>
  </si>
  <si>
    <t># DE FACTURA</t>
  </si>
  <si>
    <t>PROVEEDOR</t>
  </si>
  <si>
    <t>PLAZO Días</t>
  </si>
  <si>
    <t>NOTAS</t>
  </si>
  <si>
    <t>FECHA DE PAGO</t>
  </si>
  <si>
    <t>Estado de la factura</t>
  </si>
  <si>
    <t>Crédito / Contado</t>
  </si>
  <si>
    <t>STATUR</t>
  </si>
  <si>
    <t>TRONEX</t>
  </si>
  <si>
    <t>WIDEX</t>
  </si>
  <si>
    <t>DW</t>
  </si>
  <si>
    <t>YERMIN</t>
  </si>
  <si>
    <t>UNITEC</t>
  </si>
  <si>
    <t>SP PULSOS</t>
  </si>
  <si>
    <t>RAGO</t>
  </si>
  <si>
    <t>MPS</t>
  </si>
  <si>
    <t>HYR</t>
  </si>
  <si>
    <t>NICOMAR</t>
  </si>
  <si>
    <t>AMG</t>
  </si>
  <si>
    <t>APC</t>
  </si>
  <si>
    <t>FLASH INTERNATIONAL</t>
  </si>
  <si>
    <t>TNR</t>
  </si>
  <si>
    <t>DUNCAN</t>
  </si>
  <si>
    <t>OPELSA</t>
  </si>
  <si>
    <t>PYG</t>
  </si>
  <si>
    <t>MONTBLANC</t>
  </si>
  <si>
    <t>TENERGY</t>
  </si>
  <si>
    <t>IVA</t>
  </si>
  <si>
    <t>SISTECREDITO</t>
  </si>
  <si>
    <t>KENEX</t>
  </si>
  <si>
    <t>MAKING BUSINESS</t>
  </si>
  <si>
    <t>KINO COMPANY</t>
  </si>
  <si>
    <t>IMPORTACIONES UNIFER</t>
  </si>
  <si>
    <t>ABONOS</t>
  </si>
  <si>
    <t>$ INTERESES</t>
  </si>
  <si>
    <t>ELECTRONICAS I+D</t>
  </si>
  <si>
    <t>POWERSONIC</t>
  </si>
  <si>
    <t>SOLUENERGIA</t>
  </si>
  <si>
    <t>VALOR EN DOLARES</t>
  </si>
  <si>
    <t>Pagos del mes</t>
  </si>
  <si>
    <t>BTN</t>
  </si>
  <si>
    <t>TUS PILAS.CO</t>
  </si>
  <si>
    <t>OPELSA POWERSONIC</t>
  </si>
  <si>
    <t>OPELSA KENEX</t>
  </si>
  <si>
    <t>TERMOPAK</t>
  </si>
  <si>
    <t>ENERGIZER BRANDS</t>
  </si>
  <si>
    <t>ISMART ELECTRONICS</t>
  </si>
  <si>
    <t>ÉXITO</t>
  </si>
  <si>
    <t>COSOSTENIBLE</t>
  </si>
  <si>
    <t>ESTUCHES DE CELULAR</t>
  </si>
  <si>
    <t>BIGTRONICA</t>
  </si>
  <si>
    <t>FALABELLA</t>
  </si>
  <si>
    <t xml:space="preserve">IMPUESTOS TNR </t>
  </si>
  <si>
    <t>OPELSA TNR</t>
  </si>
  <si>
    <t>IMPUESTOS KENEX</t>
  </si>
  <si>
    <t>AEROSAN KENEX</t>
  </si>
  <si>
    <t>FLASH  - TNR</t>
  </si>
  <si>
    <t>FABRIRROLLOS</t>
  </si>
  <si>
    <t>FLASH - TNR</t>
  </si>
  <si>
    <t>FLASH - TNR - MONTBLANC</t>
  </si>
  <si>
    <t>OPELSA - TNR - MONTBLANC</t>
  </si>
  <si>
    <t>IMPUESTOS - TNR - MONTBLANC</t>
  </si>
  <si>
    <t>ROLDAN Y COMPAÑÍA - TNR - MONTBLANC</t>
  </si>
  <si>
    <t>21 GRADOS</t>
  </si>
  <si>
    <t>INNOVATECH</t>
  </si>
  <si>
    <t>IMPUESTOS  - FLASH - TNR</t>
  </si>
  <si>
    <t>abono</t>
  </si>
  <si>
    <t>FLASH - MONTBLANC</t>
  </si>
  <si>
    <t>IMPUESTOS - TENERGY</t>
  </si>
  <si>
    <t>OPELSA - TENERGY</t>
  </si>
  <si>
    <t>FLASH - TENERGY</t>
  </si>
  <si>
    <t>IMPUESTOS FLASH - MONTBLANC</t>
  </si>
  <si>
    <t>IMPUESTOS FLASH  - AMAZON</t>
  </si>
  <si>
    <t>URIEL GALLEGO</t>
  </si>
  <si>
    <t>molinos</t>
  </si>
  <si>
    <t>EMT</t>
  </si>
  <si>
    <t>LOIX</t>
  </si>
  <si>
    <t>ME475523</t>
  </si>
  <si>
    <t>DISUIZA</t>
  </si>
  <si>
    <t>FVX3989</t>
  </si>
  <si>
    <t>CASIO TIENDAS OFICIALES</t>
  </si>
  <si>
    <t>18 -  SI032764 SI033158 SI033271</t>
  </si>
  <si>
    <t>46 - 52880</t>
  </si>
  <si>
    <t>ME477383</t>
  </si>
  <si>
    <t>ME477413</t>
  </si>
  <si>
    <t>MDIS5.040.544</t>
  </si>
  <si>
    <t>MS1525</t>
  </si>
  <si>
    <t>MS1546</t>
  </si>
  <si>
    <t>ME478870</t>
  </si>
  <si>
    <t>ME478484</t>
  </si>
  <si>
    <t>ME478863</t>
  </si>
  <si>
    <t>SG365</t>
  </si>
  <si>
    <t>SG368</t>
  </si>
  <si>
    <t>SG364</t>
  </si>
  <si>
    <t>FVX4580</t>
  </si>
  <si>
    <t>FVX4581</t>
  </si>
  <si>
    <t>24791 MUÑECOS</t>
  </si>
  <si>
    <t>$ CAPITAL</t>
  </si>
  <si>
    <t>SALDO</t>
  </si>
  <si>
    <t>DETALLE</t>
  </si>
  <si>
    <t>PAGO</t>
  </si>
  <si>
    <t>MS1646</t>
  </si>
  <si>
    <t>FE24969</t>
  </si>
  <si>
    <t xml:space="preserve">2160-127620 </t>
  </si>
  <si>
    <t>ME479977</t>
  </si>
  <si>
    <t>GABRIEL JAIME BOTERO ARANGO</t>
  </si>
  <si>
    <t>SUBTOTAL</t>
  </si>
  <si>
    <t>IVA 19%</t>
  </si>
  <si>
    <t>Total</t>
  </si>
  <si>
    <t>Descuento sobre subtotal %</t>
  </si>
  <si>
    <t>Descuento sobre subtotal $</t>
  </si>
  <si>
    <t>Rete Fuente $</t>
  </si>
  <si>
    <t>Rete Fuente %</t>
  </si>
  <si>
    <t>FLASH IMPUESTOS - MONTBLANC</t>
  </si>
  <si>
    <t>FLASH IMPUESTOS - TNR</t>
  </si>
  <si>
    <t>IMPUESTOS - POWERSONIC</t>
  </si>
  <si>
    <t>IMPUESTOS FLASH - TNR</t>
  </si>
  <si>
    <t>LAURA HOYOS</t>
  </si>
  <si>
    <t>LOGIMEX KENEX</t>
  </si>
  <si>
    <t>MEGA</t>
  </si>
  <si>
    <t>NEW TIME BRIDGE</t>
  </si>
  <si>
    <t>OPELSA - KENEX</t>
  </si>
  <si>
    <t>OPELSA - POWERSONIC</t>
  </si>
  <si>
    <t>SOMOS TECNOLOGIA</t>
  </si>
  <si>
    <t>DIAS DE PLAZO</t>
  </si>
  <si>
    <t>RETENCIÓN FUENTE</t>
  </si>
  <si>
    <t>CORREO</t>
  </si>
  <si>
    <t>FLASH - Abajo</t>
  </si>
  <si>
    <t>descuento antes de IVA</t>
  </si>
  <si>
    <t>RETENCIONES</t>
  </si>
  <si>
    <t>BASE DE RETENCIÓN</t>
  </si>
  <si>
    <t>CUENTA BANCARIA</t>
  </si>
  <si>
    <t>flash - tnr</t>
  </si>
  <si>
    <t>FLASH impuestos - MONTBLANC</t>
  </si>
  <si>
    <t>flash impuestos - tnr</t>
  </si>
  <si>
    <t>new time BRIDGE</t>
  </si>
  <si>
    <t>opelsa - kenex</t>
  </si>
  <si>
    <t>opelsa - powersonic</t>
  </si>
  <si>
    <t>MDIS5.040.592</t>
  </si>
  <si>
    <t>FE25516</t>
  </si>
  <si>
    <t>FE25515</t>
  </si>
  <si>
    <t>INV ARCILA</t>
  </si>
  <si>
    <t>flash - CASILLERO</t>
  </si>
  <si>
    <t>IMPUESTOS FLASH  - CASILLERO</t>
  </si>
  <si>
    <t/>
  </si>
  <si>
    <t>AHORROS BANCOLOMBIA N° 27200000468</t>
  </si>
  <si>
    <t>PSE</t>
  </si>
  <si>
    <t>COMPRAS DE CONTADO</t>
  </si>
  <si>
    <t>FLASH - casillero</t>
  </si>
  <si>
    <t>nc</t>
  </si>
  <si>
    <t>COMPRAS A CRÉDITO</t>
  </si>
  <si>
    <t>COMPRAS</t>
  </si>
  <si>
    <t>DEUDAS PROVEEDORES</t>
  </si>
  <si>
    <t>DEUDAS A BANCOS Y NATURALES</t>
  </si>
  <si>
    <t>SALDO BANCOS</t>
  </si>
  <si>
    <t>SALDO BANCOS Y EFECTIVO</t>
  </si>
  <si>
    <t>CARTERA</t>
  </si>
  <si>
    <t>DESCUENTO</t>
  </si>
  <si>
    <t>PROVEEDORES VENCIDOS</t>
  </si>
  <si>
    <t>PROVEEDORES NO VENCIDAS</t>
  </si>
  <si>
    <t>mes</t>
  </si>
  <si>
    <t>Sinoming china</t>
  </si>
  <si>
    <t>jack@sinomingproducts.com;info@servipilas.com</t>
  </si>
  <si>
    <t>KBH metering</t>
  </si>
  <si>
    <t>fiducuenta</t>
  </si>
  <si>
    <t>fidurenta</t>
  </si>
  <si>
    <t>payu</t>
  </si>
  <si>
    <t>efectivos</t>
  </si>
  <si>
    <r>
      <t xml:space="preserve">PAGOS DEL MES
</t>
    </r>
    <r>
      <rPr>
        <sz val="9"/>
        <rFont val="Calibri"/>
        <family val="2"/>
      </rPr>
      <t>(PROV + CREDT)</t>
    </r>
  </si>
  <si>
    <t>davivienda corriente</t>
  </si>
  <si>
    <t>itau corriente</t>
  </si>
  <si>
    <t>CORRIENTE BANCOLOMBIA No. 227-000104-25</t>
  </si>
  <si>
    <t>FE26183</t>
  </si>
  <si>
    <t>kbh metering</t>
  </si>
  <si>
    <t>bancolombia ah 91215970731</t>
  </si>
  <si>
    <t>2169-279400</t>
  </si>
  <si>
    <t>contabilidad@amgimportadora.com;mcastellanos@amgimportadora.com;girlesa.ruiz@servipilas.com;joriescobar64@gmail.com</t>
  </si>
  <si>
    <t>contabilidad@comercialweb.com.co;info@servipilas.com</t>
  </si>
  <si>
    <r>
      <t xml:space="preserve">DEUDAS
</t>
    </r>
    <r>
      <rPr>
        <sz val="9"/>
        <rFont val="Calibri"/>
        <family val="2"/>
      </rPr>
      <t>PROVEEDORES + BANCOS Y NATURALES</t>
    </r>
  </si>
  <si>
    <t>bancolombia ah 237-068 558-31</t>
  </si>
  <si>
    <t>pn</t>
  </si>
  <si>
    <t>SALDO PROVEEDOR</t>
  </si>
  <si>
    <t>Electronicas canare</t>
  </si>
  <si>
    <t>BANCOLOMBIA AHORROS 10352314124</t>
  </si>
  <si>
    <t>pse</t>
  </si>
  <si>
    <t>nc 493</t>
  </si>
  <si>
    <t>nc 1001691</t>
  </si>
  <si>
    <t>ME481958</t>
  </si>
  <si>
    <t>ME481967</t>
  </si>
  <si>
    <t>MS1819</t>
  </si>
  <si>
    <t>MDIS5.040.654</t>
  </si>
  <si>
    <t>PV</t>
  </si>
  <si>
    <t>BANCO AGRARIO 6030</t>
  </si>
  <si>
    <t>BANCOLOMBIA 2478</t>
  </si>
  <si>
    <t>BANCOLOMBIA 3103</t>
  </si>
  <si>
    <t xml:space="preserve">BANCOLOMBIA USD$ </t>
  </si>
  <si>
    <t>BANCOLOMBIA USD$ 2555152482</t>
  </si>
  <si>
    <t xml:space="preserve">CAJA SOCIAL </t>
  </si>
  <si>
    <t>DAVIVIENDA *************2613</t>
  </si>
  <si>
    <t>DAVIVIENDA *************5400</t>
  </si>
  <si>
    <t xml:space="preserve">ITAU </t>
  </si>
  <si>
    <t xml:space="preserve">TC6015 </t>
  </si>
  <si>
    <t xml:space="preserve">TC7003 </t>
  </si>
  <si>
    <t xml:space="preserve">TC8338 </t>
  </si>
  <si>
    <t>Bancolombia cc 01058821343
Convenio 38847</t>
  </si>
  <si>
    <t xml:space="preserve">INVENTARIOS </t>
  </si>
  <si>
    <t>DINERO EN CAJA</t>
  </si>
  <si>
    <t>GASTOS</t>
  </si>
  <si>
    <t>VENTAS</t>
  </si>
  <si>
    <t>Coste financiero</t>
  </si>
  <si>
    <t>bcs corriente + corresponsal</t>
  </si>
  <si>
    <t>BANCOLOMBIA USD$ 2555073332</t>
  </si>
  <si>
    <t>BANCOLOMBIA USD$ 2555098242</t>
  </si>
  <si>
    <t>BANCOLOMBIA USD$ 2555115992</t>
  </si>
  <si>
    <t>BANCOLOMBIA USD$ 2555143692</t>
  </si>
  <si>
    <t>PRESTAMO</t>
  </si>
  <si>
    <t>ene-21</t>
  </si>
  <si>
    <t>feb-21</t>
  </si>
  <si>
    <t>nc 170108571</t>
  </si>
  <si>
    <t>liq. Jul 2020</t>
  </si>
  <si>
    <t>2179 - 128121</t>
  </si>
  <si>
    <t>9785 - 280191</t>
  </si>
  <si>
    <t>SAYER - YERMIN</t>
  </si>
  <si>
    <t>WILFER GOMEZ - YERMIN</t>
  </si>
  <si>
    <t>JARLY SAS - JORGE ARREDONDO</t>
  </si>
  <si>
    <t xml:space="preserve">2182 - 280191 </t>
  </si>
  <si>
    <t>FE26806</t>
  </si>
  <si>
    <t>nc 2NBV293</t>
  </si>
  <si>
    <t>FE29</t>
  </si>
  <si>
    <t>FESJ159080</t>
  </si>
  <si>
    <t>nc 2021020062</t>
  </si>
  <si>
    <t>AJUSTE FIN DE MES</t>
  </si>
  <si>
    <t>KENEX POWERSONIC oct 2020</t>
  </si>
  <si>
    <t>MDIS5.040.687</t>
  </si>
  <si>
    <t>FESJ160063</t>
  </si>
  <si>
    <t>ME483894</t>
  </si>
  <si>
    <t>FE28416</t>
  </si>
  <si>
    <t>ME483753</t>
  </si>
  <si>
    <t>fe25362</t>
  </si>
  <si>
    <t>mar-21</t>
  </si>
  <si>
    <t>MS1997</t>
  </si>
  <si>
    <t>intereses no pagados en 2020</t>
  </si>
  <si>
    <t>ajuste de cuentas con fernando</t>
  </si>
  <si>
    <t>FEN5119</t>
  </si>
  <si>
    <t>nc 119714</t>
  </si>
  <si>
    <t xml:space="preserve">Bancolombia AH 102-125 283-78 </t>
  </si>
  <si>
    <t>nc 20440</t>
  </si>
  <si>
    <t>FE1033</t>
  </si>
  <si>
    <t>ME484730</t>
  </si>
  <si>
    <t>ME485080</t>
  </si>
  <si>
    <t>MS2062</t>
  </si>
  <si>
    <t>FE28984</t>
  </si>
  <si>
    <t>FVX6131</t>
  </si>
  <si>
    <t>MDIS5.040.739</t>
  </si>
  <si>
    <t>2198 - 280663</t>
  </si>
  <si>
    <t>juan.suarez@cosostenible.com;girlesa.ruiz@servipilas.com;joriescobar64@gmail.com</t>
  </si>
  <si>
    <t>CARLOSARCILAMENSAJERIA@gmail.com;girlesa.ruiz@servipilas.com;joriescobar64@gmail.com</t>
  </si>
  <si>
    <t>yermingg@hotmail.com;girlesa.ruiz@servipilas.com;joriescobar64@gmail.com</t>
  </si>
  <si>
    <t>comercial4@apcmayorista.com;girlesa.ruiz@servipilas.com;joriescobar64@gmail.com</t>
  </si>
  <si>
    <t>inspecciones@bomberossabaneta.com;girlesa.ruiz@servipilas.com;joriescobar64@gmail.com</t>
  </si>
  <si>
    <t>javiergomez_72@hotmail.com ;girlesa.ruiz@servipilas.com;joriescobar64@gmail.com</t>
  </si>
  <si>
    <t>Fernando.Carmona@energizer.com;girlesa.ruiz@servipilas.com;joriescobar64@gmail.com</t>
  </si>
  <si>
    <t>vromero@flashinternational.us;girlesa.ruiz@servipilas.com;joriescobar64@gmail.com</t>
  </si>
  <si>
    <t>bienesymercadeo@hotmail.com;girlesa.ruiz@servipilas.com;joriescobar64@gmail.com</t>
  </si>
  <si>
    <t>angela.navas@hyrdistribuciones.com;girlesa.ruiz@servipilas.com;joriescobar64@gmail.com</t>
  </si>
  <si>
    <t>cartera@jeway.com.co;girlesa.ruiz@servipilas.com;joriescobar64@gmail.com</t>
  </si>
  <si>
    <t>BRIGHTSIDELED2019@gmail.com;girlesa.ruiz@servipilas.com;joriescobar64@gmail.com</t>
  </si>
  <si>
    <t>tesoreria@lacentral.com.co;girlesa.ruiz@servipilas.com;joriescobar64@gmail.com</t>
  </si>
  <si>
    <t>oswaldo.alvarez@logimexsas.com;girlesa.ruiz@servipilas.com;joriescobar64@gmail.com</t>
  </si>
  <si>
    <t>criszapata1234@gmail.com;girlesa.ruiz@servipilas.com;joriescobar64@gmail.com</t>
  </si>
  <si>
    <t>tesoreria@makingbusiness.com.co;girlesa.ruiz@servipilas.com;joriescobar64@gmail.com</t>
  </si>
  <si>
    <t>ventasmegamundo@yahoo.es;girlesa.ruiz@servipilas.com;joriescobar64@gmail.com</t>
  </si>
  <si>
    <t>MVALENCIA@mps.com.co;girlesa.ruiz@servipilas.com;joriescobar64@gmail.com</t>
  </si>
  <si>
    <t>financiera@nalpicentral.com;girlesa.ruiz@servipilas.com;joriescobar64@gmail.com</t>
  </si>
  <si>
    <t>cartera@ienewline.com;andres.arroyave@ienewline.com;girlesa.ruiz@servipilas.com;joriescobar64@gmail.com</t>
  </si>
  <si>
    <t>zully.florez@powest.com;girlesa.ruiz@servipilas.com;joriescobar64@gmail.com</t>
  </si>
  <si>
    <t>Info.patex@gmail.com;girlesa.ruiz@servipilas.com;joriescobar64@gmail.com</t>
  </si>
  <si>
    <t>ragomedellin@gmail.com;girlesa.ruiz@servipilas.com;joriescobar64@gmail.com</t>
  </si>
  <si>
    <t>administracion@sapian.com.co;girlesa.ruiz@servipilas.com;joriescobar64@gmail.com</t>
  </si>
  <si>
    <t>senalizacionyavisos@gmail.com;girlesa.ruiz@servipilas.com;joriescobar64@gmail.com</t>
  </si>
  <si>
    <t>pagos@sistecredito.com;girlesa.ruiz@servipilas.com;joriescobar64@gmail.com</t>
  </si>
  <si>
    <t>soluenergiacentro@une.net.co;girlesa.ruiz@servipilas.com;joriescobar64@gmail.com</t>
  </si>
  <si>
    <t>cartera1@grupostatur.com;girlesa.ruiz@servipilas.com;joriescobar64@gmail.com</t>
  </si>
  <si>
    <t>libardopineda@tronex.com;girlesa.ruiz@servipilas.com;joriescobar64@gmail.com</t>
  </si>
  <si>
    <t>Tuspilas.co@gmail.com;girlesa.ruiz@servipilas.com;joriescobar64@gmail.com</t>
  </si>
  <si>
    <t>cxc11@unitecusa.com.co;jefecartera@unitecusa.com.co;girlesa.ruiz@servipilas.com;joriescobar64@gmail.com</t>
  </si>
  <si>
    <t>CBastidas@vyp.com.co;girlesa.ruiz@servipilas.com;joriescobar64@gmail.com</t>
  </si>
  <si>
    <t>apresupuesto@widexcolombia.com;girlesa.ruiz@servipilas.com;joriescobar64@gmail.com</t>
  </si>
  <si>
    <t>BANCO DE BOGOTÁ cc 071-189-245</t>
  </si>
  <si>
    <t>supervisorventasbridge@gmail.com;newtimewatches1@gmail.com;girlesa.ruiz@servipilas.com;joriescobar64@gmail.com</t>
  </si>
  <si>
    <t>girlesa.ruiz@servipilas.com;joriescobar64@gmail.com</t>
  </si>
  <si>
    <t>ALEKO</t>
  </si>
  <si>
    <t>nc 1343</t>
  </si>
  <si>
    <t>256 - SO032015</t>
  </si>
  <si>
    <t>SO032015</t>
  </si>
  <si>
    <t>BANCOLOMBIA USD$ 2555170162</t>
  </si>
  <si>
    <t xml:space="preserve"> 5.278.113,67</t>
  </si>
  <si>
    <t>2.397.084,22</t>
  </si>
  <si>
    <t>2.743.726,97</t>
  </si>
  <si>
    <t>SIMH</t>
  </si>
  <si>
    <t>electronicascanaresas@gmail.com;girlesa.ruiz@servipilas.com;joriescobar64@gmail.com</t>
  </si>
  <si>
    <t>facturasimh@simh.com.co;girlesa.ruiz@servipilas.com;joriescobar64@gmail.com</t>
  </si>
  <si>
    <t>SP1764</t>
  </si>
  <si>
    <t>ventas@ismartsas.com;girlesa.ruiz@servipilas.com;joriescobar64@gmail.com</t>
  </si>
  <si>
    <t>Pygimportadora@gmail.com;girlesa.ruiz@servipilas.com;joriescobar64@gmail.com</t>
  </si>
  <si>
    <t>FESJ160887</t>
  </si>
  <si>
    <t>MS2124</t>
  </si>
  <si>
    <t>davivienda cc 456369996909</t>
  </si>
  <si>
    <t xml:space="preserve">11234 - 53922 </t>
  </si>
  <si>
    <t>ME487318</t>
  </si>
  <si>
    <t>ME486747</t>
  </si>
  <si>
    <t>SG531</t>
  </si>
  <si>
    <t>FEN10709</t>
  </si>
  <si>
    <t>ZIONE - Andres Dario Ramirez Aristizabal</t>
  </si>
  <si>
    <t>FEV31350</t>
  </si>
  <si>
    <t>92 - 53922</t>
  </si>
  <si>
    <t>MSL - Somonsing China</t>
  </si>
  <si>
    <t>asistente@mslcorporate.com.co;girlesa.ruiz@servipilas.com;joriescobar64@gmail.com</t>
  </si>
  <si>
    <t>IND Y COMERCIO</t>
  </si>
  <si>
    <t>PREDIAL 2293 TRIMESTRAL</t>
  </si>
  <si>
    <t>PREDIAL 1003 TRIMESTRAL</t>
  </si>
  <si>
    <t>ADM 255</t>
  </si>
  <si>
    <t>ARR 041</t>
  </si>
  <si>
    <t>ARR 821</t>
  </si>
  <si>
    <t>ARR 821 NC</t>
  </si>
  <si>
    <t>ARR 3956</t>
  </si>
  <si>
    <t>AMD 781</t>
  </si>
  <si>
    <t>Gasto SURA</t>
  </si>
  <si>
    <t>plan vive girlesa semestre</t>
  </si>
  <si>
    <t>seguro colectivo</t>
  </si>
  <si>
    <t>Gasto COMERCIAL WEB</t>
  </si>
  <si>
    <t>Gasto CONVERTIDORA DE PAPEL</t>
  </si>
  <si>
    <t>Gasto GB BIENES</t>
  </si>
  <si>
    <t>Gasto LA CENTRAL admistración</t>
  </si>
  <si>
    <t>Gasto MOLINOS administración</t>
  </si>
  <si>
    <t>Gasto MUNICIPIO DE MEDELLIN</t>
  </si>
  <si>
    <t>Gasto PATEX</t>
  </si>
  <si>
    <t>Gasto SANTA JUANA (jorge escobar)</t>
  </si>
  <si>
    <t>Gasto SAPIAN</t>
  </si>
  <si>
    <t>Gasto SEÑALIZACIÓN Y AVISOS</t>
  </si>
  <si>
    <t>Gasto syco y acimpro</t>
  </si>
  <si>
    <t>Gasto VYP</t>
  </si>
  <si>
    <t>Gasto comercial web</t>
  </si>
  <si>
    <t>Gasto molinos administración</t>
  </si>
  <si>
    <t>Gasto sapian</t>
  </si>
  <si>
    <t>Gasto vyp</t>
  </si>
  <si>
    <t>Gasto CONSTRUCCIONES Y BIENES</t>
  </si>
  <si>
    <t>bog.fa1@pressex.co;bog.fm1@pressex.co;kbaumgartner@pressex.co;girlesa.ruiz@servipilas.com;joriescobar64@gmail.com</t>
  </si>
  <si>
    <t>68 - 9</t>
  </si>
  <si>
    <t>abr-21</t>
  </si>
  <si>
    <t>769 - nc 29</t>
  </si>
  <si>
    <t>Gasto SANDIEGO</t>
  </si>
  <si>
    <t>L2293</t>
  </si>
  <si>
    <t>O1003</t>
  </si>
  <si>
    <t>MUNDITONNER</t>
  </si>
  <si>
    <t>comercial@munditonner.com.co;girlesa.ruiz@servipilas.com;joriescobar64@gmail.com</t>
  </si>
  <si>
    <t>FE4366</t>
  </si>
  <si>
    <t>20403 NC 247</t>
  </si>
  <si>
    <t>HyR</t>
  </si>
  <si>
    <t>FE 510</t>
  </si>
  <si>
    <t>ME488303</t>
  </si>
  <si>
    <t>ME488470</t>
  </si>
  <si>
    <t>FETU1524</t>
  </si>
  <si>
    <t>MS2273</t>
  </si>
  <si>
    <t>128666 128668</t>
  </si>
  <si>
    <t>Movecargo - Sinoming china</t>
  </si>
  <si>
    <t>judy.torres@movecargo.co;girlesa.ruiz@servipilas.com;joriescobar64@gmail.com</t>
  </si>
  <si>
    <t>FVX4580 - nc 2NV-00001344</t>
  </si>
  <si>
    <t>FVX4580 - nc</t>
  </si>
  <si>
    <t>Gasto DIAN</t>
  </si>
  <si>
    <t>Gasto SIIGO</t>
  </si>
  <si>
    <t>GASTO TIGO MOVIL</t>
  </si>
  <si>
    <t>GASTO TIGO FIJO</t>
  </si>
  <si>
    <t>ME488838</t>
  </si>
  <si>
    <t>MDIS5.040.848</t>
  </si>
  <si>
    <t>Pressex Logistics - tnr</t>
  </si>
  <si>
    <t>Gasto REMARCA</t>
  </si>
  <si>
    <t>ME488303 - NC31889</t>
  </si>
  <si>
    <t xml:space="preserve">asistente@remarcalimitada.com;girlesa.ruiz@servipilas.com;joriescobar64@gmail.com
</t>
  </si>
  <si>
    <t>GASTO Liberty seguros</t>
  </si>
  <si>
    <t>SP2196</t>
  </si>
  <si>
    <t>MS2348</t>
  </si>
  <si>
    <t>FETU1606</t>
  </si>
  <si>
    <t>MDIS5.040.880</t>
  </si>
  <si>
    <t>MS2396</t>
  </si>
  <si>
    <t>ME490111</t>
  </si>
  <si>
    <t>ME490408</t>
  </si>
  <si>
    <t>ME490110</t>
  </si>
  <si>
    <t>ME490109</t>
  </si>
  <si>
    <t>FEV32778</t>
  </si>
  <si>
    <t>MDIS5.040.901</t>
  </si>
  <si>
    <t>LOGIMEX TNR</t>
  </si>
  <si>
    <t>IMPUESTOS - TNR</t>
  </si>
  <si>
    <t>Pressex Logistics - casillero</t>
  </si>
  <si>
    <t>MS2435</t>
  </si>
  <si>
    <t>ME490748</t>
  </si>
  <si>
    <t>FEF4252</t>
  </si>
  <si>
    <t>GASTO CESDE</t>
  </si>
  <si>
    <t>Pressex Logistics - montblanc</t>
  </si>
  <si>
    <t>aguadulce - sinming china</t>
  </si>
  <si>
    <t>ME491228</t>
  </si>
  <si>
    <t>ME491231</t>
  </si>
  <si>
    <t>ME491165</t>
  </si>
  <si>
    <t>ME491257</t>
  </si>
  <si>
    <t>FEN15306</t>
  </si>
  <si>
    <t>ME491565</t>
  </si>
  <si>
    <t>ME491944</t>
  </si>
  <si>
    <t>ME491907</t>
  </si>
  <si>
    <t>FEID5127</t>
  </si>
  <si>
    <t>90437 - 114001</t>
  </si>
  <si>
    <t xml:space="preserve">28795 - NC20668 </t>
  </si>
  <si>
    <t>134 - 281564</t>
  </si>
  <si>
    <t>135 - 282538</t>
  </si>
  <si>
    <t>MAXIPILAS</t>
  </si>
  <si>
    <t>MP1131</t>
  </si>
  <si>
    <t>mcastillo@kenextrading.com;agarcia@kenextrading.com;girlesa.ruiz@servipilas.com;joriescobar64@gmail.com</t>
  </si>
  <si>
    <t>may-21</t>
  </si>
  <si>
    <t>jun-21</t>
  </si>
  <si>
    <t>FE357 - 283198</t>
  </si>
  <si>
    <t>BANCOLOMBIA USD$ 2555187392</t>
  </si>
  <si>
    <t>KENEX 53922 abr 21</t>
  </si>
  <si>
    <t>SP2420</t>
  </si>
  <si>
    <t>IMPUESTOS - 283198</t>
  </si>
  <si>
    <t>3391 - 1768</t>
  </si>
  <si>
    <t>MS2638</t>
  </si>
  <si>
    <t>FVX7905</t>
  </si>
  <si>
    <t>para pagar fossil</t>
  </si>
  <si>
    <t>cartera@aerosan.com;girlesa.ruiz@servipilas.com;joriescobar64@gmail.com</t>
  </si>
  <si>
    <t>11368 - 54504</t>
  </si>
  <si>
    <t>GASTO BOMBEROS SABANETA</t>
  </si>
  <si>
    <t>mdedcnvi@bateriasduncan.com.co;guillermo.bateriasduncan@gmail.com;girlesa.ruiz@servipilas.com;joriescobar64@gmail.com</t>
  </si>
  <si>
    <t xml:space="preserve">bancolombia cc 388-991169-88 </t>
  </si>
  <si>
    <t>ME493265</t>
  </si>
  <si>
    <t>FEN17319</t>
  </si>
  <si>
    <t>FVX8036</t>
  </si>
  <si>
    <t>FE8031 - 545054</t>
  </si>
  <si>
    <t>DMARIO</t>
  </si>
  <si>
    <t>FE892</t>
  </si>
  <si>
    <t>MDIS5.040.992</t>
  </si>
  <si>
    <t>MDIS5.040.987</t>
  </si>
  <si>
    <t>MS2757</t>
  </si>
  <si>
    <t>DIAN IVA</t>
  </si>
  <si>
    <t>MDIS5.040.999</t>
  </si>
  <si>
    <t>FE8439 - 129398</t>
  </si>
  <si>
    <t>jul-21</t>
  </si>
  <si>
    <t>1158 NC</t>
  </si>
  <si>
    <t>Pressex courier - casillero</t>
  </si>
  <si>
    <t>Pressex courier - Kenex</t>
  </si>
  <si>
    <t>Pressex courier - montblanc</t>
  </si>
  <si>
    <t>FE283 - 281564</t>
  </si>
  <si>
    <t>wruiz@tsqsa.com;venta1@disuiza.com;girlesa.ruiz@servipilas.com;joriescobar64@gmail.com</t>
  </si>
  <si>
    <t>SP2638</t>
  </si>
  <si>
    <t>swizzeraux2@gmail.com;girlesa.ruiz@servipilas.com;joriescobar64@gmail.com</t>
  </si>
  <si>
    <t>IMPUESTOS - MONTBLANC</t>
  </si>
  <si>
    <t>LOGIMEX MONTBLANC</t>
  </si>
  <si>
    <t>impuestos - 129398</t>
  </si>
  <si>
    <t>FE2311</t>
  </si>
  <si>
    <t>JORGE ARREDONDO - JARLY SAS</t>
  </si>
  <si>
    <t>PROVECOL</t>
  </si>
  <si>
    <t>SG657</t>
  </si>
  <si>
    <t>SG658</t>
  </si>
  <si>
    <t>MP1281</t>
  </si>
  <si>
    <t>MDIS5.041.013</t>
  </si>
  <si>
    <t>13E215673</t>
  </si>
  <si>
    <t>13E215568</t>
  </si>
  <si>
    <t>149 - 54504</t>
  </si>
  <si>
    <t>142 - 283198</t>
  </si>
  <si>
    <t>22 para pagar a don luciano,
8 para la cuenta corriente bancolombia,
10 para cuenta corriente davivienda</t>
  </si>
  <si>
    <t>Fecha</t>
  </si>
  <si>
    <t>carterabogota@aintercarga.com;girlesa.ruiz@servipilas.com;joriescobar64@gmail.com</t>
  </si>
  <si>
    <t>AINTERCARGA MONTBLANC</t>
  </si>
  <si>
    <t xml:space="preserve">10174 - 129398 </t>
  </si>
  <si>
    <t>TB PLUS</t>
  </si>
  <si>
    <t>??;girlesa.ruiz@servipilas.com;joriescobar64@gmail.com</t>
  </si>
  <si>
    <t>13E216791</t>
  </si>
  <si>
    <t>FVX8556</t>
  </si>
  <si>
    <t>FEF4320</t>
  </si>
  <si>
    <t>18/8/21 AJUSTE FIN DE MES</t>
  </si>
  <si>
    <t>STEREN</t>
  </si>
  <si>
    <t>MS2902</t>
  </si>
  <si>
    <t>MERCEDES PILAS</t>
  </si>
  <si>
    <t>globalpowerc2018@gmail.com;girlesa.ruiz@servipilas.com;joriescobar64@gmail.com</t>
  </si>
  <si>
    <t>admin@kinocompanysas.com.co;girlesa.ruiz@servipilas.com;joriescobar64@gmail.com</t>
  </si>
  <si>
    <t>propertymarketingsas@hotmail.com;girlesa.ruiz@servipilas.com;joriescobar64@gmail.com</t>
  </si>
  <si>
    <t>Gasto PROPERTY MARKETING</t>
  </si>
  <si>
    <t>2174 NC</t>
  </si>
  <si>
    <t>FVX8709</t>
  </si>
  <si>
    <t>FVX8751</t>
  </si>
  <si>
    <t>FEN20269</t>
  </si>
  <si>
    <t>13E210254</t>
  </si>
  <si>
    <t>13E208377</t>
  </si>
  <si>
    <t>13E211147</t>
  </si>
  <si>
    <t>13E211287</t>
  </si>
  <si>
    <t>163 - 129398</t>
  </si>
  <si>
    <t>FE332 - 128666 128668</t>
  </si>
  <si>
    <t>FE328 - 282538</t>
  </si>
  <si>
    <t>COMSISTEL</t>
  </si>
  <si>
    <t>FE3716</t>
  </si>
  <si>
    <t>BANCOLOMBIA corriente + ahorros</t>
  </si>
  <si>
    <t>ago-21</t>
  </si>
  <si>
    <t>ME496997</t>
  </si>
  <si>
    <t>FE8957 - 128666 128668</t>
  </si>
  <si>
    <t>1416 NC 82</t>
  </si>
  <si>
    <t>FEF4320 NC7110</t>
  </si>
  <si>
    <t>FEV37229</t>
  </si>
  <si>
    <t>MDIS5.041.043</t>
  </si>
  <si>
    <t>FVX8860</t>
  </si>
  <si>
    <t>SP2878</t>
  </si>
  <si>
    <t>GRUPOINTER TERCERO</t>
  </si>
  <si>
    <t>FEI100040642</t>
  </si>
  <si>
    <t>FEI100040501</t>
  </si>
  <si>
    <t>FEI100040643</t>
  </si>
  <si>
    <t>COEXITO TERCERO</t>
  </si>
  <si>
    <t>MARIA MARTHA RAMIREZ ZULUAGA - JORGE ARREDONDO</t>
  </si>
  <si>
    <t>Pressex courier - tnr</t>
  </si>
  <si>
    <t>FEV37505</t>
  </si>
  <si>
    <t>FEV37517</t>
  </si>
  <si>
    <t>FE12509</t>
  </si>
  <si>
    <t>13E217999</t>
  </si>
  <si>
    <t>ALKOMPRAR</t>
  </si>
  <si>
    <t>sep-21</t>
  </si>
  <si>
    <t>ME497815</t>
  </si>
  <si>
    <t>129428 retención</t>
  </si>
  <si>
    <t>FE429 - 284593 284796</t>
  </si>
  <si>
    <t>consignado en la cuenta de daniel escobar</t>
  </si>
  <si>
    <t>FE1632</t>
  </si>
  <si>
    <t>Gasto DUCON</t>
  </si>
  <si>
    <t>juanzuluaga@ducon.com.co;girlesa.ruiz@servipilas.com;joriescobar64@gmail.com</t>
  </si>
  <si>
    <t>MS3064</t>
  </si>
  <si>
    <t>FE447 - 284978</t>
  </si>
  <si>
    <t>jarlysas@gmail.com;o.clockinternational@gmail.com;girlesa.ruiz@servipilas.com;joriescobar64@gmail.com</t>
  </si>
  <si>
    <t>FEV38500</t>
  </si>
  <si>
    <t xml:space="preserve">Número Documento Aduanero
902020000147352 $698.85
</t>
  </si>
  <si>
    <t>FVX9289</t>
  </si>
  <si>
    <t>FVX9290</t>
  </si>
  <si>
    <t>193 - 284593 284796</t>
  </si>
  <si>
    <t>194 - 284978</t>
  </si>
  <si>
    <t>FEV39104</t>
  </si>
  <si>
    <t>1759 NC 96</t>
  </si>
  <si>
    <t>Gasto Allianz Seguros</t>
  </si>
  <si>
    <t>FE001427</t>
  </si>
  <si>
    <t>BANCOLOMBIA USD$ 2555212532</t>
  </si>
  <si>
    <t>Gasto Liberty seguros</t>
  </si>
  <si>
    <t>MS3223</t>
  </si>
  <si>
    <t>13E221646</t>
  </si>
  <si>
    <t>13E221255</t>
  </si>
  <si>
    <t>No. E-4345</t>
  </si>
  <si>
    <t>Gasto Movistar movil</t>
  </si>
  <si>
    <t>gerencia@som-tec.com</t>
  </si>
  <si>
    <t>FEV39650</t>
  </si>
  <si>
    <t>FVX7555</t>
  </si>
  <si>
    <t>FVX7905 nc 599</t>
  </si>
  <si>
    <t>FVX8036 nc 599</t>
  </si>
  <si>
    <t>FVX8556 nc 599</t>
  </si>
  <si>
    <t>ME500431</t>
  </si>
  <si>
    <t>ALEX MARINO ENRIQUEZ</t>
  </si>
  <si>
    <t>alexenriquez73.ae@gmail.com;girlesa.ruiz@servipilas.com;joriescobar64@gmail.com;info@servipilas.com</t>
  </si>
  <si>
    <t>CB 102021 - ESE QUIBDO</t>
  </si>
  <si>
    <t>FETU2282</t>
  </si>
  <si>
    <t>FETU2276</t>
  </si>
  <si>
    <t>Gasto MARIANA PELAEZ</t>
  </si>
  <si>
    <t xml:space="preserve">1234 - 285759 </t>
  </si>
  <si>
    <t>financiero@dmariocolombia.com;cartera@dmariocolombia.com.co;girlesa.ruiz@servipilas.com;joriescobar64@gmail.com</t>
  </si>
  <si>
    <t>SP3120</t>
  </si>
  <si>
    <t>aleja-1305agudelo@hotmail.com;provecol@une.net.co;girlesa.ruiz@servipilas.com;joriescobar64@gmail.com</t>
  </si>
  <si>
    <t xml:space="preserve">1236 - 285851 </t>
  </si>
  <si>
    <t>11540 - 55161</t>
  </si>
  <si>
    <t>Gasto DISANTIOQUIA</t>
  </si>
  <si>
    <t>JYN TECHNOLOGY</t>
  </si>
  <si>
    <t>ventasonline@disantioquia.com.co;girlesa.ruiz@servipilas.com;joriescobar64@gmail.com</t>
  </si>
  <si>
    <t>COEXITO servipilas</t>
  </si>
  <si>
    <t>13E223704</t>
  </si>
  <si>
    <t>COMERCIALIZADORA DEL ESTE</t>
  </si>
  <si>
    <t>13E223209</t>
  </si>
  <si>
    <t>FVX9821</t>
  </si>
  <si>
    <t>1240 -CASILLERO</t>
  </si>
  <si>
    <t>1214 - CASILLERO</t>
  </si>
  <si>
    <t>ARR 041 - nc306</t>
  </si>
  <si>
    <t>ADM 754</t>
  </si>
  <si>
    <t>ARR 999</t>
  </si>
  <si>
    <t>ADM - 180</t>
  </si>
  <si>
    <t>ARR - 481</t>
  </si>
  <si>
    <t>ADM 645</t>
  </si>
  <si>
    <t>ARR 915</t>
  </si>
  <si>
    <t>ADM 617</t>
  </si>
  <si>
    <t>ARR 880</t>
  </si>
  <si>
    <t>ADM 395</t>
  </si>
  <si>
    <t>ARR 662</t>
  </si>
  <si>
    <t>ARR 481</t>
  </si>
  <si>
    <t>ADM 211</t>
  </si>
  <si>
    <t>SP3354</t>
  </si>
  <si>
    <t>jessica.barrios@carpainternacional;girlesa.ruiz@servipilas.com;joriescobar64@gmail.com</t>
  </si>
  <si>
    <t>MS3364</t>
  </si>
  <si>
    <t>oct-21</t>
  </si>
  <si>
    <t>130239 130242</t>
  </si>
  <si>
    <t>216 - 285851</t>
  </si>
  <si>
    <t>858 859 860 861 866 867 869</t>
  </si>
  <si>
    <t>ANTICIPO - 285851</t>
  </si>
  <si>
    <t>SG657 - ABONO</t>
  </si>
  <si>
    <t>ARR 1313</t>
  </si>
  <si>
    <t>ME501626</t>
  </si>
  <si>
    <t>ME501626 - NC33887</t>
  </si>
  <si>
    <t>1249 - A2013</t>
  </si>
  <si>
    <t>MDIS5.041.165</t>
  </si>
  <si>
    <t>A2013</t>
  </si>
  <si>
    <t>CARPA - CASILLERO</t>
  </si>
  <si>
    <t>CARPA - MONTBLANC</t>
  </si>
  <si>
    <t>CARPA - TNR</t>
  </si>
  <si>
    <t>CIC304 - 130239 130242</t>
  </si>
  <si>
    <t>FE015570</t>
  </si>
  <si>
    <t>1043661 NC 122099</t>
  </si>
  <si>
    <t>94500992 ASTROSELLING</t>
  </si>
  <si>
    <t>FEN30568</t>
  </si>
  <si>
    <t>ME502310</t>
  </si>
  <si>
    <t>ALPHA</t>
  </si>
  <si>
    <t>2355 - A2020</t>
  </si>
  <si>
    <t>RELOJES BIYCLOCK</t>
  </si>
  <si>
    <t>SG831</t>
  </si>
  <si>
    <t>FE14570</t>
  </si>
  <si>
    <t>13E226510</t>
  </si>
  <si>
    <t>13E225854</t>
  </si>
  <si>
    <t>6426 - A2021</t>
  </si>
  <si>
    <t>3562 - A2019</t>
  </si>
  <si>
    <t>4366 - A2023</t>
  </si>
  <si>
    <t>SANTA BARBARA DISTRONIK</t>
  </si>
  <si>
    <t>6426 - A2021 nc258</t>
  </si>
  <si>
    <t>para pagar andres kairos</t>
  </si>
  <si>
    <t>Gasto ARCOSISTEMAS</t>
  </si>
  <si>
    <t>228 - 285759</t>
  </si>
  <si>
    <t>nov-21</t>
  </si>
  <si>
    <t>DESEMBOLSO POR 75,700,687.87  Y COBRARON SEGURO POR 1,478,400</t>
  </si>
  <si>
    <t xml:space="preserve"> bateriasindustrialesbogota2@coexito.com.co;girlesa.ruiz@servipilas.com;joriescobar64@gmail.com</t>
  </si>
  <si>
    <t>MS3505</t>
  </si>
  <si>
    <t>A2024</t>
  </si>
  <si>
    <t>625 - A2039</t>
  </si>
  <si>
    <t>ADM 004</t>
  </si>
  <si>
    <t>ARR 276</t>
  </si>
  <si>
    <t>13E227420</t>
  </si>
  <si>
    <t>MDIS5.041.192</t>
  </si>
  <si>
    <t>SP3612</t>
  </si>
  <si>
    <t>ME503622</t>
  </si>
  <si>
    <t>dic-21</t>
  </si>
  <si>
    <t>lpena@tbplusenergy.com;girlesa.ruiz@servipilas.com;joriescobar64@gmail.com</t>
  </si>
  <si>
    <t>Gasto BOMBEROS BELLOS</t>
  </si>
  <si>
    <t>FE3231</t>
  </si>
  <si>
    <t>MS3560</t>
  </si>
  <si>
    <t>FETU2562</t>
  </si>
  <si>
    <t>ARR 1577</t>
  </si>
  <si>
    <t>MDIS5.041.202</t>
  </si>
  <si>
    <t>804 - nc 071</t>
  </si>
  <si>
    <t>11640 - 55546</t>
  </si>
  <si>
    <t>643360 - A2062</t>
  </si>
  <si>
    <t>ME504135</t>
  </si>
  <si>
    <t>FE4129</t>
  </si>
  <si>
    <t>FVX10571</t>
  </si>
  <si>
    <t>FVX10572</t>
  </si>
  <si>
    <t>1272 - 286942</t>
  </si>
  <si>
    <t>245 - 55546</t>
  </si>
  <si>
    <t>9417 - A2070</t>
  </si>
  <si>
    <t>9602 - A2077</t>
  </si>
  <si>
    <t>4911 - A2067</t>
  </si>
  <si>
    <t>6952 - A2074</t>
  </si>
  <si>
    <t>A2085</t>
  </si>
  <si>
    <t>ADELANTO</t>
  </si>
  <si>
    <t>lA centrAl</t>
  </si>
  <si>
    <t>mAyorcA</t>
  </si>
  <si>
    <t>sAndiego</t>
  </si>
  <si>
    <t>A1256</t>
  </si>
  <si>
    <t>A1271 320278</t>
  </si>
  <si>
    <t>A1271 532207</t>
  </si>
  <si>
    <t>4209 - A1739 nc</t>
  </si>
  <si>
    <t>AdelAnto</t>
  </si>
  <si>
    <t>MONTBLANC 127718</t>
  </si>
  <si>
    <t>A1400</t>
  </si>
  <si>
    <t>A1450</t>
  </si>
  <si>
    <t>A1437 532664</t>
  </si>
  <si>
    <t>oficinA Arr - 330</t>
  </si>
  <si>
    <t>A1444</t>
  </si>
  <si>
    <t>35957 - A1566</t>
  </si>
  <si>
    <t>A-1455</t>
  </si>
  <si>
    <t>9800 - A1479</t>
  </si>
  <si>
    <t>A-1479</t>
  </si>
  <si>
    <t>A1491</t>
  </si>
  <si>
    <t>A1517</t>
  </si>
  <si>
    <t>A1536</t>
  </si>
  <si>
    <t>Anticipo - SO032015</t>
  </si>
  <si>
    <t>A1560</t>
  </si>
  <si>
    <t>FE6300 - cAsillero</t>
  </si>
  <si>
    <t>A1578 - 1115</t>
  </si>
  <si>
    <t>A1593</t>
  </si>
  <si>
    <t>A1590</t>
  </si>
  <si>
    <t>A1595</t>
  </si>
  <si>
    <t>A1597</t>
  </si>
  <si>
    <t>A1596</t>
  </si>
  <si>
    <t>7921 sAldo pendiente</t>
  </si>
  <si>
    <t>FE1166 IVA</t>
  </si>
  <si>
    <t>oficinA Arr - 4413</t>
  </si>
  <si>
    <t>398219 renovAción</t>
  </si>
  <si>
    <t>A1697-2704</t>
  </si>
  <si>
    <t>A1611</t>
  </si>
  <si>
    <t>A1612 - 321317</t>
  </si>
  <si>
    <t>1042 - A1616</t>
  </si>
  <si>
    <t>Anticipo - 114001</t>
  </si>
  <si>
    <t>A1632 - 3320</t>
  </si>
  <si>
    <t>A1635</t>
  </si>
  <si>
    <t>FE7050 - cAsillero</t>
  </si>
  <si>
    <t>A1634</t>
  </si>
  <si>
    <t>A1671 - 2049</t>
  </si>
  <si>
    <t>540243 - A1639</t>
  </si>
  <si>
    <t>A1641</t>
  </si>
  <si>
    <t>A1643 - 2777</t>
  </si>
  <si>
    <t>A1640</t>
  </si>
  <si>
    <t>89 registro importAdores</t>
  </si>
  <si>
    <t>FVX4580 - Abono</t>
  </si>
  <si>
    <t>A1670 - 1378</t>
  </si>
  <si>
    <t>A1660 - 7697</t>
  </si>
  <si>
    <t>A1662</t>
  </si>
  <si>
    <t>A1659 - 1190</t>
  </si>
  <si>
    <t>A1672</t>
  </si>
  <si>
    <t>A1675</t>
  </si>
  <si>
    <t>A1677 - 2881</t>
  </si>
  <si>
    <t>A1678 - 3347</t>
  </si>
  <si>
    <t>oficinA Arr - 4670</t>
  </si>
  <si>
    <t>A1679 - 2252</t>
  </si>
  <si>
    <t>2812 - A1722</t>
  </si>
  <si>
    <t>hijo AsdruAl</t>
  </si>
  <si>
    <t>A1718</t>
  </si>
  <si>
    <t>A1723</t>
  </si>
  <si>
    <t>321659 - A1725</t>
  </si>
  <si>
    <t>540494 - A1724</t>
  </si>
  <si>
    <t>A1720</t>
  </si>
  <si>
    <t>A1727</t>
  </si>
  <si>
    <t>FE357 - A fAvor por pAgo extrA en 332</t>
  </si>
  <si>
    <t>pilAs</t>
  </si>
  <si>
    <t>bodegAje - 114001</t>
  </si>
  <si>
    <t>4209 - A1739</t>
  </si>
  <si>
    <t>FE7643 - cAsillero</t>
  </si>
  <si>
    <t>A1741 - 628478</t>
  </si>
  <si>
    <t>seguir cArro nissAn</t>
  </si>
  <si>
    <t>seguro vidA jorge girlesA</t>
  </si>
  <si>
    <t>2272 - A1773</t>
  </si>
  <si>
    <t>A1738 - 2095</t>
  </si>
  <si>
    <t>38472 - A1744</t>
  </si>
  <si>
    <t>7766 - A1737</t>
  </si>
  <si>
    <t>ARR 3956 Abono</t>
  </si>
  <si>
    <t>A1743</t>
  </si>
  <si>
    <t>A1745</t>
  </si>
  <si>
    <t>38568 - A1746</t>
  </si>
  <si>
    <t>A1755</t>
  </si>
  <si>
    <t>A1757</t>
  </si>
  <si>
    <t>ARR 118</t>
  </si>
  <si>
    <t>ANTICIPO - 283198</t>
  </si>
  <si>
    <t>26770 - A1774</t>
  </si>
  <si>
    <t xml:space="preserve">1081 - A1769 </t>
  </si>
  <si>
    <t>26767 - A1770</t>
  </si>
  <si>
    <t>A1780 - 1623</t>
  </si>
  <si>
    <t>A1781</t>
  </si>
  <si>
    <t>A1793</t>
  </si>
  <si>
    <t>A1789</t>
  </si>
  <si>
    <t>540758 - A1791</t>
  </si>
  <si>
    <t>ANTICIPO  - 54504</t>
  </si>
  <si>
    <t>A1772</t>
  </si>
  <si>
    <t>A1800</t>
  </si>
  <si>
    <t>A1801</t>
  </si>
  <si>
    <t>A1788</t>
  </si>
  <si>
    <t>2897 - A1812</t>
  </si>
  <si>
    <t>39617 - A1825</t>
  </si>
  <si>
    <t>363 - A1815</t>
  </si>
  <si>
    <t>5035 - A1817</t>
  </si>
  <si>
    <t>A1818</t>
  </si>
  <si>
    <t>1158 - A1816</t>
  </si>
  <si>
    <t>2284 - A1829</t>
  </si>
  <si>
    <t>ARR 330</t>
  </si>
  <si>
    <t>A1827</t>
  </si>
  <si>
    <t>2159 - A1836</t>
  </si>
  <si>
    <t>ANTICIPO - 129398</t>
  </si>
  <si>
    <t>FE8440 - cAsillero</t>
  </si>
  <si>
    <t>4365 - A1831</t>
  </si>
  <si>
    <t>915 - A1835</t>
  </si>
  <si>
    <t>10821 - A1832</t>
  </si>
  <si>
    <t>3438 - A1843</t>
  </si>
  <si>
    <t>A1834</t>
  </si>
  <si>
    <t>motor tool DAniel mercAdo libre</t>
  </si>
  <si>
    <t>916 - A1863</t>
  </si>
  <si>
    <t>1802 - A1856</t>
  </si>
  <si>
    <t>540758 - A1791 - NC</t>
  </si>
  <si>
    <t>unificAdA</t>
  </si>
  <si>
    <t>A1859</t>
  </si>
  <si>
    <t>pilAs centro</t>
  </si>
  <si>
    <t>4414 - A1860</t>
  </si>
  <si>
    <t>1213 - A1880</t>
  </si>
  <si>
    <t>FE8766 - cAsillero A1869</t>
  </si>
  <si>
    <t>FE8767 - cAsillero A1869</t>
  </si>
  <si>
    <t>FE8770 - cAsillero A1869</t>
  </si>
  <si>
    <t>A1862</t>
  </si>
  <si>
    <t>915 - A1835 ND</t>
  </si>
  <si>
    <t>A1869</t>
  </si>
  <si>
    <t>OSSA 171</t>
  </si>
  <si>
    <t>Abono</t>
  </si>
  <si>
    <t>5336 - A1871</t>
  </si>
  <si>
    <t>2948 - A1874</t>
  </si>
  <si>
    <t>13023 - A1870</t>
  </si>
  <si>
    <t>comprA mAyorcA</t>
  </si>
  <si>
    <t>1566 IVA</t>
  </si>
  <si>
    <t>institucionAles</t>
  </si>
  <si>
    <t>3668 - A1882</t>
  </si>
  <si>
    <t>pilAs centro A1881</t>
  </si>
  <si>
    <t>ARREGLO CAMARAS MAYORCA</t>
  </si>
  <si>
    <t>FernAndo Jimenez  medio ivA pisos y pisos 379</t>
  </si>
  <si>
    <t>ARR 626</t>
  </si>
  <si>
    <t>A1890</t>
  </si>
  <si>
    <t>541242 - A1892</t>
  </si>
  <si>
    <t>322319 - A1893</t>
  </si>
  <si>
    <t>40933 - A1894</t>
  </si>
  <si>
    <t>2310 - A1896</t>
  </si>
  <si>
    <t>4408 - A1891</t>
  </si>
  <si>
    <t>dAniel ultrAsonido</t>
  </si>
  <si>
    <t>1253 - A1895</t>
  </si>
  <si>
    <t>2269 - A1911</t>
  </si>
  <si>
    <t>8546 - A1909</t>
  </si>
  <si>
    <t>dAniel linio office</t>
  </si>
  <si>
    <t xml:space="preserve">ANTICIPO - 284593 284796 </t>
  </si>
  <si>
    <t>A1907</t>
  </si>
  <si>
    <t>8546 - A1910</t>
  </si>
  <si>
    <t>A1912</t>
  </si>
  <si>
    <t>2295 - A1919</t>
  </si>
  <si>
    <t>MANILLAS</t>
  </si>
  <si>
    <t>4783 - A1925</t>
  </si>
  <si>
    <t>1272 - A1920</t>
  </si>
  <si>
    <t>ANTICIPO - 284978</t>
  </si>
  <si>
    <t>pilAs AlmAcen sotis</t>
  </si>
  <si>
    <t>2299 - A1928</t>
  </si>
  <si>
    <t>J Andres dhl impuestos reloj</t>
  </si>
  <si>
    <t>A1937</t>
  </si>
  <si>
    <t>A1936</t>
  </si>
  <si>
    <t>puertA del norte</t>
  </si>
  <si>
    <t>A1942</t>
  </si>
  <si>
    <t>217 - A1953</t>
  </si>
  <si>
    <t>AguinAldo metro</t>
  </si>
  <si>
    <t>21666 fibrA opticA</t>
  </si>
  <si>
    <t>clAusulA de permAnenciA</t>
  </si>
  <si>
    <t>ARR 889</t>
  </si>
  <si>
    <t>Arreglos mAyorcA</t>
  </si>
  <si>
    <t>cArro gloriA restrepo</t>
  </si>
  <si>
    <t>1823523 - dAyAnA pc pAgAdo por ellA</t>
  </si>
  <si>
    <t>sAldo A fAvor</t>
  </si>
  <si>
    <t>218 - A1960</t>
  </si>
  <si>
    <t>2336 - A1962</t>
  </si>
  <si>
    <t>A1959</t>
  </si>
  <si>
    <t>1316 - A1968</t>
  </si>
  <si>
    <t>1827072 PC BODEGA</t>
  </si>
  <si>
    <t xml:space="preserve">ANTICIPO -  285759 </t>
  </si>
  <si>
    <t>PC THINKPAD</t>
  </si>
  <si>
    <t>3052 - A1980</t>
  </si>
  <si>
    <t>3053 - A1979</t>
  </si>
  <si>
    <t>638783 - A1998</t>
  </si>
  <si>
    <t>3099 - A1985</t>
  </si>
  <si>
    <t>3101 - A1983</t>
  </si>
  <si>
    <t>3105 - A1984</t>
  </si>
  <si>
    <t>28234 - A1978</t>
  </si>
  <si>
    <t>2075 - A1986</t>
  </si>
  <si>
    <t>A1982</t>
  </si>
  <si>
    <t>A1997</t>
  </si>
  <si>
    <t>42762 - A1987</t>
  </si>
  <si>
    <t>A1981</t>
  </si>
  <si>
    <t>42761 - A1995</t>
  </si>
  <si>
    <t>28302 - A1994</t>
  </si>
  <si>
    <t>A1996</t>
  </si>
  <si>
    <t>71593 Abono</t>
  </si>
  <si>
    <t>1263 - A2044</t>
  </si>
  <si>
    <t>Anticipo - 55161</t>
  </si>
  <si>
    <t>2136 - A2006</t>
  </si>
  <si>
    <t>1342 - A2004</t>
  </si>
  <si>
    <t>A2005 pilAs centro</t>
  </si>
  <si>
    <t>6373 - A2010</t>
  </si>
  <si>
    <t>542117 - A2012</t>
  </si>
  <si>
    <t>4947 - A2026</t>
  </si>
  <si>
    <t>43579 - A2030</t>
  </si>
  <si>
    <t>pilAs centro - A2031</t>
  </si>
  <si>
    <t>As4424</t>
  </si>
  <si>
    <t>A2044</t>
  </si>
  <si>
    <t>3587 - A2040</t>
  </si>
  <si>
    <t>2183 - A2049</t>
  </si>
  <si>
    <t>A2046</t>
  </si>
  <si>
    <t>323017 - A2047</t>
  </si>
  <si>
    <t>institucinAles</t>
  </si>
  <si>
    <t>A2057 A2058</t>
  </si>
  <si>
    <t>pilAs centro - A2052</t>
  </si>
  <si>
    <t>A2056</t>
  </si>
  <si>
    <t>1277 - A2063</t>
  </si>
  <si>
    <t>1276 - A2063</t>
  </si>
  <si>
    <t>Anticipo - 286942</t>
  </si>
  <si>
    <t>dAniel linio office x2</t>
  </si>
  <si>
    <t>1278 - A2063</t>
  </si>
  <si>
    <t>A2063</t>
  </si>
  <si>
    <t>235 - A2065</t>
  </si>
  <si>
    <t>Anticipo - 55546</t>
  </si>
  <si>
    <t>A2029</t>
  </si>
  <si>
    <t>4729 - A2027</t>
  </si>
  <si>
    <t>pilAs centro - A2079</t>
  </si>
  <si>
    <t>239 - A2087</t>
  </si>
  <si>
    <t>A2084</t>
  </si>
  <si>
    <t>A2066</t>
  </si>
  <si>
    <t>A2086</t>
  </si>
  <si>
    <t>A2078</t>
  </si>
  <si>
    <t>4955 - A2076</t>
  </si>
  <si>
    <t>A2068</t>
  </si>
  <si>
    <t>3562 - A2019 abono</t>
  </si>
  <si>
    <t>3165 - a2089</t>
  </si>
  <si>
    <t>3164 - a2088</t>
  </si>
  <si>
    <t>A2095</t>
  </si>
  <si>
    <t>FEV43134</t>
  </si>
  <si>
    <t>FVX10882</t>
  </si>
  <si>
    <t>FEID12854</t>
  </si>
  <si>
    <t>1282 - A2095</t>
  </si>
  <si>
    <t>FVX9821 NC734</t>
  </si>
  <si>
    <t>2364 - A2105</t>
  </si>
  <si>
    <t>873+875+878</t>
  </si>
  <si>
    <t>SP3862</t>
  </si>
  <si>
    <t>SI056191</t>
  </si>
  <si>
    <t>SI054623</t>
  </si>
  <si>
    <t>seguro vida jorge girlesa</t>
  </si>
  <si>
    <t>salud prepagada jorge girlesa</t>
  </si>
  <si>
    <t>FESJ171529</t>
  </si>
  <si>
    <t>FESJ161946</t>
  </si>
  <si>
    <t>NC10354</t>
  </si>
  <si>
    <t>FESJ163560</t>
  </si>
  <si>
    <t>NC10724</t>
  </si>
  <si>
    <t>FESJ164747</t>
  </si>
  <si>
    <t>FESJ166091</t>
  </si>
  <si>
    <t>FESJ166648</t>
  </si>
  <si>
    <t>FESJ168686</t>
  </si>
  <si>
    <t>FESJ168687 Ajuste retroActivo</t>
  </si>
  <si>
    <t>FESJ169123</t>
  </si>
  <si>
    <t>FESJ170348</t>
  </si>
  <si>
    <t>38743 - Abono</t>
  </si>
  <si>
    <t>NC2021060073</t>
  </si>
  <si>
    <t>NC2021060073 reteF</t>
  </si>
  <si>
    <t>ARR FV05121</t>
  </si>
  <si>
    <t>ADM FV04843</t>
  </si>
  <si>
    <t>4366 - A2023 NC</t>
  </si>
  <si>
    <t>sd</t>
  </si>
  <si>
    <t>lc</t>
  </si>
  <si>
    <t>ml</t>
  </si>
  <si>
    <t>my</t>
  </si>
  <si>
    <t>CARPA - POWERSONIC</t>
  </si>
  <si>
    <t>1295 - SI054623 SI056191</t>
  </si>
  <si>
    <t>NC</t>
  </si>
  <si>
    <t>A2115</t>
  </si>
  <si>
    <t>ARR 1835</t>
  </si>
  <si>
    <t>192 NC</t>
  </si>
  <si>
    <t>ene-22</t>
  </si>
  <si>
    <t>bacolombia ah 01012530214</t>
  </si>
  <si>
    <t>alejovelas0426@gmail.com;girlesa.ruiz@servipilas.com;joriescobar64@gmail.com</t>
  </si>
  <si>
    <t>vcortes@power-sonic.com;alexander.baur@power-sonic.com;jirias@power-sonic.com;girlesa.ruiz@servipilas.com;joriescobar64@gmail.com;info@servipilas.com</t>
  </si>
  <si>
    <t>IMPOCARGO - POWERSONIC</t>
  </si>
  <si>
    <t>howardlondono@impocarga.com;oswaldo.alvarez@logimexsas.com;girlesa.ruiz@servipilas.com;joriescobar64@gmail.com</t>
  </si>
  <si>
    <t>282 - SI054623 SI056191</t>
  </si>
  <si>
    <t>carloseuristika@hotmail.com;girlesa.ruiz@servipilas.com;joriescobar64@gmail.com</t>
  </si>
  <si>
    <t>1424 - A2147</t>
  </si>
  <si>
    <t>BANCOLOMBIA USD$ 2555235952</t>
  </si>
  <si>
    <t>dotaciones.ohana.eu@gmail.com;girlesa.ruiz@servipilas.com;joriescobar64@gmail.com</t>
  </si>
  <si>
    <t>uniformes</t>
  </si>
  <si>
    <t>SI054623 SI056191</t>
  </si>
  <si>
    <t>LOGIMEX POWERSONIC</t>
  </si>
  <si>
    <t>ANTICIPO - SI054623 SI056191</t>
  </si>
  <si>
    <t>5051 - a2140</t>
  </si>
  <si>
    <t>5053 - a2146</t>
  </si>
  <si>
    <t>2245 - a2112</t>
  </si>
  <si>
    <t>4901 - A2143</t>
  </si>
  <si>
    <t>A2114</t>
  </si>
  <si>
    <t>A2156</t>
  </si>
  <si>
    <t>3532 - A2145</t>
  </si>
  <si>
    <t>2531 - A2145</t>
  </si>
  <si>
    <t>03MS3779</t>
  </si>
  <si>
    <t>03MS3718</t>
  </si>
  <si>
    <t>FE16558</t>
  </si>
  <si>
    <t>FE016093</t>
  </si>
  <si>
    <t>FESJ172676</t>
  </si>
  <si>
    <t>EFREN</t>
  </si>
  <si>
    <t>MEGARED</t>
  </si>
  <si>
    <t>gloria bello</t>
  </si>
  <si>
    <t>Total2</t>
  </si>
  <si>
    <t>D:\pdfs</t>
  </si>
  <si>
    <t>Abajo A TU MANO</t>
  </si>
  <si>
    <t>variedades.sfg@gmail.com;girlesa.ruiz@servipilas.com;joriescobar64@gmail.com</t>
  </si>
  <si>
    <t>Abajo ADRIANA ARISTIZABAL</t>
  </si>
  <si>
    <t>Abajo ALEKO</t>
  </si>
  <si>
    <t>45531 - A2160</t>
  </si>
  <si>
    <t>47476 - A2258</t>
  </si>
  <si>
    <t>Abajo ALEX DAVAL</t>
  </si>
  <si>
    <t>Abajo ALIEXPRESS</t>
  </si>
  <si>
    <t>Abajo ANDREA RAMIREZ</t>
  </si>
  <si>
    <t>Abajo audifonos</t>
  </si>
  <si>
    <t>Abajo AURELIO PILAS</t>
  </si>
  <si>
    <t>a2184</t>
  </si>
  <si>
    <t>jessica.barios.com@carpainternacional;girlesa.ruiz@servipilas.com;joriescobar64@gmail.com</t>
  </si>
  <si>
    <t>1373 - 289692</t>
  </si>
  <si>
    <t>Abajo AVELINA</t>
  </si>
  <si>
    <t>29746 - A2168</t>
  </si>
  <si>
    <t>Abajo billen</t>
  </si>
  <si>
    <t>Abajo CAJONES DE RELOJ</t>
  </si>
  <si>
    <t>A2161</t>
  </si>
  <si>
    <t>Abajo cajones girlesa</t>
  </si>
  <si>
    <t>Abajo CARLOS MARIO BETANCUR</t>
  </si>
  <si>
    <t>Abajo CASILLERO</t>
  </si>
  <si>
    <t>A2158</t>
  </si>
  <si>
    <t>A2159</t>
  </si>
  <si>
    <t>a2220</t>
  </si>
  <si>
    <t>a2243</t>
  </si>
  <si>
    <t>a2282</t>
  </si>
  <si>
    <t>nb 288822</t>
  </si>
  <si>
    <t>Abajo COMERCIALIZADORA BYJ</t>
  </si>
  <si>
    <t>8404 - a2271</t>
  </si>
  <si>
    <t>Abajo CONTADO</t>
  </si>
  <si>
    <t>of</t>
  </si>
  <si>
    <t>Abajo DAVID HOYOS</t>
  </si>
  <si>
    <t>Abajo DIEGO RAMIREZ</t>
  </si>
  <si>
    <t>ABAJO DIY CLOCK</t>
  </si>
  <si>
    <t>Abajo DUBAN LOPEZ</t>
  </si>
  <si>
    <t>cartera@conbienes.com;girlesa.ruiz@servipilas.com;joriescobar64@gmail.com</t>
  </si>
  <si>
    <t>FV07335</t>
  </si>
  <si>
    <t>Abajo EFREN</t>
  </si>
  <si>
    <t>4986 - A2170</t>
  </si>
  <si>
    <t>5108 - A2164</t>
  </si>
  <si>
    <t>Abajo EL PALACIO NAVIDEÑO</t>
  </si>
  <si>
    <t>3393 - A2166</t>
  </si>
  <si>
    <t>3392 - consignacion</t>
  </si>
  <si>
    <t>Abajo elite</t>
  </si>
  <si>
    <t>Abajo Gasto Dotaciones Ohana</t>
  </si>
  <si>
    <t>Abajo GERMAN PALACIOS</t>
  </si>
  <si>
    <t>Abajo gloria bello</t>
  </si>
  <si>
    <t>Abajo Gloria Estrada</t>
  </si>
  <si>
    <t>gloritasz@gmail.com;girlesa.ruiz@servipilas.com;joriescobar64@gmail.com</t>
  </si>
  <si>
    <t>Abajo GLORIA SOTO</t>
  </si>
  <si>
    <t>Abajo GUSTAVO PULSOS</t>
  </si>
  <si>
    <t>A2196</t>
  </si>
  <si>
    <t>a2257</t>
  </si>
  <si>
    <t>a2266</t>
  </si>
  <si>
    <t>a2284</t>
  </si>
  <si>
    <t>Abajo HERMANO DE KAIROS</t>
  </si>
  <si>
    <t>Abajo HUMBERTO ALVAREZ</t>
  </si>
  <si>
    <t>abajo innovatech</t>
  </si>
  <si>
    <t>Abajo INSTITUCIONALES</t>
  </si>
  <si>
    <t>Abajo INV ARCILA</t>
  </si>
  <si>
    <t>Abajo IVA</t>
  </si>
  <si>
    <t>Abajo JORGE ARREDONDO - JARLY SAS</t>
  </si>
  <si>
    <t>Abajo KAIROS</t>
  </si>
  <si>
    <t>FV07614</t>
  </si>
  <si>
    <t>Abajo LA ESQUINA DEL MACHETE</t>
  </si>
  <si>
    <t>Abajo MEGARED</t>
  </si>
  <si>
    <t>Abajo MERCADOLIBRE</t>
  </si>
  <si>
    <t>daniel linio officex3 windowsx2</t>
  </si>
  <si>
    <t>a2256</t>
  </si>
  <si>
    <t>facturacion@losmolinos.com.co</t>
  </si>
  <si>
    <t>Abajo MERCEDES PILAS</t>
  </si>
  <si>
    <t>1454 - A2163</t>
  </si>
  <si>
    <t>Abajo MODULOS</t>
  </si>
  <si>
    <t>Abajo NALPI</t>
  </si>
  <si>
    <t>04736 - a2210</t>
  </si>
  <si>
    <t>04741 - a2210</t>
  </si>
  <si>
    <t>Abajo OLGA CARDONA</t>
  </si>
  <si>
    <t>Abajo pilas</t>
  </si>
  <si>
    <t>abajo pilas</t>
  </si>
  <si>
    <t>Abajo PILAS</t>
  </si>
  <si>
    <t>Abajo pulsos</t>
  </si>
  <si>
    <t>Abajo PYG</t>
  </si>
  <si>
    <t>3713 - a2187</t>
  </si>
  <si>
    <t>Abajo REPUESTOS CALI</t>
  </si>
  <si>
    <t>stabarbaradistronik@gmail.com;girlesa.ruiz@servipilas.com;joriescobar64@gmail.com</t>
  </si>
  <si>
    <t>Abajo SANTA BARBARA DISTRONIK</t>
  </si>
  <si>
    <t>7694 - a2195</t>
  </si>
  <si>
    <t>7694 - a2195 - Abono</t>
  </si>
  <si>
    <t>Abajo STARTIME</t>
  </si>
  <si>
    <t>a2219</t>
  </si>
  <si>
    <t>Abajo SWIZZER REPUESTOS</t>
  </si>
  <si>
    <t>Abajo Tapabocas Juan Diego</t>
  </si>
  <si>
    <t>Abajo tecno manhatan</t>
  </si>
  <si>
    <t>Abajo Termopack</t>
  </si>
  <si>
    <t>Abajo UNIVERSAL TIME</t>
  </si>
  <si>
    <t>882+883+885+887+888+889+890+893+894</t>
  </si>
  <si>
    <t>abajo uriel gomez</t>
  </si>
  <si>
    <t>Abajo W CUERO</t>
  </si>
  <si>
    <t>Abajo YERMIN</t>
  </si>
  <si>
    <t>Abajo YOLANDA</t>
  </si>
  <si>
    <t>254 - A2180</t>
  </si>
  <si>
    <t>260 - A2233</t>
  </si>
  <si>
    <t>Abajo ZUMA</t>
  </si>
  <si>
    <t>11790 - 56143</t>
  </si>
  <si>
    <t>6124 - NC55</t>
  </si>
  <si>
    <t>42651 nc</t>
  </si>
  <si>
    <t>1320 - A2158</t>
  </si>
  <si>
    <t>10117 NC</t>
  </si>
  <si>
    <t>PANASONIC</t>
  </si>
  <si>
    <t>1322 - 130713</t>
  </si>
  <si>
    <t>FI181033</t>
  </si>
  <si>
    <t>ME510858</t>
  </si>
  <si>
    <t>13E231864</t>
  </si>
  <si>
    <t>635 - nc45</t>
  </si>
  <si>
    <t>a2296</t>
  </si>
  <si>
    <t>8498 - a2297</t>
  </si>
  <si>
    <t>FVX11935</t>
  </si>
  <si>
    <t>Gasto Abajo contado</t>
  </si>
  <si>
    <t>dua@cedesistemas.edu.co;girlesa.ruiz@servipilas.com;joriescobar64@gmail.com</t>
  </si>
  <si>
    <t>Gasto CEDESISTEMAS</t>
  </si>
  <si>
    <t>556 abono</t>
  </si>
  <si>
    <t>FV05662</t>
  </si>
  <si>
    <t>FV05947</t>
  </si>
  <si>
    <t>FV06798 - nc</t>
  </si>
  <si>
    <t>FV06518</t>
  </si>
  <si>
    <t>FV06798</t>
  </si>
  <si>
    <t>sfonnegra@nanicastation.com.co;facturas@nanicastation.com.co;girlesa.ruiz@servipilas.com;joriescobar64@gmail.com</t>
  </si>
  <si>
    <t>FE18323</t>
  </si>
  <si>
    <t>daniel guantes</t>
  </si>
  <si>
    <t>mobiliariomasproyectos@gmail.com;girlesa.ruiz@servipilas.com;joriescobar64@gmail.com</t>
  </si>
  <si>
    <t xml:space="preserve">Gasto M+P </t>
  </si>
  <si>
    <t>vitrina lc</t>
  </si>
  <si>
    <t>66158 - descuento no aplicado</t>
  </si>
  <si>
    <t>FESJ173142</t>
  </si>
  <si>
    <t>FESJ174559</t>
  </si>
  <si>
    <t>a2289</t>
  </si>
  <si>
    <t>adelanto</t>
  </si>
  <si>
    <t>1363 - a2282</t>
  </si>
  <si>
    <t>SG1127</t>
  </si>
  <si>
    <t>FEI100050484</t>
  </si>
  <si>
    <t>FEI100050811</t>
  </si>
  <si>
    <t>FEV47234</t>
  </si>
  <si>
    <t>FEV47269</t>
  </si>
  <si>
    <t>daniel cintas termicas</t>
  </si>
  <si>
    <t>IND ELEC NEWLINE</t>
  </si>
  <si>
    <t>IFE34930</t>
  </si>
  <si>
    <t>IFE34930 - NC21144</t>
  </si>
  <si>
    <t>IFE34930 - NC21144 retencion por diferencia</t>
  </si>
  <si>
    <t>IFE35882</t>
  </si>
  <si>
    <t>FE17773</t>
  </si>
  <si>
    <t>a2268</t>
  </si>
  <si>
    <t>MDIS5.041.345</t>
  </si>
  <si>
    <t>anticipo - 56143</t>
  </si>
  <si>
    <t>Anticipo - 130713</t>
  </si>
  <si>
    <t>272 - 130713</t>
  </si>
  <si>
    <t>270 - SI054623 SI056191</t>
  </si>
  <si>
    <t>287 - SI054623 SI056191</t>
  </si>
  <si>
    <t>271 - 286942</t>
  </si>
  <si>
    <t>5128 - a2185</t>
  </si>
  <si>
    <t>MEGAMUNDO</t>
  </si>
  <si>
    <t>03MS4136</t>
  </si>
  <si>
    <t>1878591 - NC162178</t>
  </si>
  <si>
    <t>a2252</t>
  </si>
  <si>
    <t>MDIS5.041.328</t>
  </si>
  <si>
    <t>FEV44348</t>
  </si>
  <si>
    <t>FEV44716</t>
  </si>
  <si>
    <t>FEV45061</t>
  </si>
  <si>
    <t>24466 - nc53415</t>
  </si>
  <si>
    <t>1342 - a2243</t>
  </si>
  <si>
    <t>7889 - a2242</t>
  </si>
  <si>
    <t>FE9151</t>
  </si>
  <si>
    <t>162642 NC</t>
  </si>
  <si>
    <t>RODRIGUEZ Y URBINA</t>
  </si>
  <si>
    <t>S02943 RU1280</t>
  </si>
  <si>
    <t>a2215</t>
  </si>
  <si>
    <t>1337 - a2220</t>
  </si>
  <si>
    <t>73279 abono</t>
  </si>
  <si>
    <t>ME506093</t>
  </si>
  <si>
    <t>ME506622</t>
  </si>
  <si>
    <t>ME506623</t>
  </si>
  <si>
    <t>ME507102</t>
  </si>
  <si>
    <t>ME507295</t>
  </si>
  <si>
    <t>13E233959</t>
  </si>
  <si>
    <t>FETU3052</t>
  </si>
  <si>
    <t>FEN-37015</t>
  </si>
  <si>
    <t>03MS3968</t>
  </si>
  <si>
    <t>13E233987</t>
  </si>
  <si>
    <t>A2186</t>
  </si>
  <si>
    <t>FEI100054006</t>
  </si>
  <si>
    <t>NC119</t>
  </si>
  <si>
    <t>FEI100053907</t>
  </si>
  <si>
    <t>24007 - NC</t>
  </si>
  <si>
    <t>FEI100053411</t>
  </si>
  <si>
    <t>anticipo - 289692</t>
  </si>
  <si>
    <t>días de vencimiento</t>
  </si>
  <si>
    <t>Abajo 11 TECHNOLOGIES</t>
  </si>
  <si>
    <t>Abajo ACCESORIOS PARA CELULAR</t>
  </si>
  <si>
    <t>ABAJO ALEKO</t>
  </si>
  <si>
    <t>Abajo BILLEN</t>
  </si>
  <si>
    <t>Abajo CAJONES GIRLESA</t>
  </si>
  <si>
    <t>Abajo CARETAS</t>
  </si>
  <si>
    <t>Abajo COSOSTENIBLE</t>
  </si>
  <si>
    <t>Abajo ELITE</t>
  </si>
  <si>
    <t>Abajo ELIZABETH LOAIZA</t>
  </si>
  <si>
    <t>Abajo EN EFECTIVO</t>
  </si>
  <si>
    <t>Abajo ESTANTERIA BELLO</t>
  </si>
  <si>
    <t>Abajo ESTUCHES DE RELOJ</t>
  </si>
  <si>
    <t>Abajo GLORIA BELLO</t>
  </si>
  <si>
    <t>Abajo HAROLD BRIGHTSIDE</t>
  </si>
  <si>
    <t>Abajo INNOVATECH</t>
  </si>
  <si>
    <t>Abajo JORGE DIAMANTE</t>
  </si>
  <si>
    <t>Abajo LA CENTRAL</t>
  </si>
  <si>
    <t>Abajo LAS GORDAS</t>
  </si>
  <si>
    <t>Abajo MAKING BUSINESS</t>
  </si>
  <si>
    <t>Abajo MARTA PUNTAZO - PYG</t>
  </si>
  <si>
    <t>Abajo MAYORCA</t>
  </si>
  <si>
    <t>Abajo MOLINOS</t>
  </si>
  <si>
    <t>Abajo OFICINA</t>
  </si>
  <si>
    <t>Abajo PATRICIA SUCERQUIA</t>
  </si>
  <si>
    <t>Abajo PUERTA DEL NORTE</t>
  </si>
  <si>
    <t>Abajo PULSOS ESPECIALES</t>
  </si>
  <si>
    <t>Abajo PULSOS G SHOCK</t>
  </si>
  <si>
    <t>Abajo RACKLO</t>
  </si>
  <si>
    <t>Abajo SAN DIEGO</t>
  </si>
  <si>
    <t>Abajo SANDIEGO</t>
  </si>
  <si>
    <t>Abajo SOUND TECHNOLOGY</t>
  </si>
  <si>
    <t>Abajo SP PULSOS</t>
  </si>
  <si>
    <t>Abajo TARJETAS DE REGALO</t>
  </si>
  <si>
    <t>Abajo TECNO MANHATAN</t>
  </si>
  <si>
    <t>Abajo URIEL GALLEGO</t>
  </si>
  <si>
    <t>Abajo URIEL GOMEZ</t>
  </si>
  <si>
    <t>Abajo WILFER GOMEZ - YERMN</t>
  </si>
  <si>
    <t>Total USD</t>
  </si>
  <si>
    <t>1278 saldo pendiente</t>
  </si>
  <si>
    <t>1295 saldo pendiente</t>
  </si>
  <si>
    <t xml:space="preserve">Abajo DANIEL ESCOBAR </t>
  </si>
  <si>
    <t xml:space="preserve">Abajo FONDO </t>
  </si>
  <si>
    <t>DAVIVIENDA ************6881</t>
  </si>
  <si>
    <t>DAVIVIENDA ************7029</t>
  </si>
  <si>
    <t xml:space="preserve">Abajo FERNANDO JIMENEZ </t>
  </si>
  <si>
    <t xml:space="preserve">Abajo CATALINA SANCHEZ </t>
  </si>
  <si>
    <t>DAVIVIENDA ************6699</t>
  </si>
  <si>
    <t>DAVIVIENDA ************6723</t>
  </si>
  <si>
    <t>DAVIVIENDA ************3174</t>
  </si>
  <si>
    <t xml:space="preserve">Abajo MARIANA </t>
  </si>
  <si>
    <t>DAVIVIENDA ************5872</t>
  </si>
  <si>
    <t xml:space="preserve">Abajo ALBA  </t>
  </si>
  <si>
    <t>kenex 53263 dic 2020</t>
  </si>
  <si>
    <t>Abajo PIEDAD ESCOBAR</t>
  </si>
  <si>
    <t>DAVIVIENDA ************0957</t>
  </si>
  <si>
    <t>Abajo CLAUDIA RUIZ</t>
  </si>
  <si>
    <t>DAVIVIENDA ************5098</t>
  </si>
  <si>
    <t xml:space="preserve">Abajo DON LUCIANO </t>
  </si>
  <si>
    <t>Abajo JORGE IVAN ESCOBAR</t>
  </si>
  <si>
    <t>jorge arredondo</t>
  </si>
  <si>
    <t>BANCOLOMBIA CESANTIAS</t>
  </si>
  <si>
    <t>palacio navideño</t>
  </si>
  <si>
    <t>mueble la central</t>
  </si>
  <si>
    <t>avelina</t>
  </si>
  <si>
    <t>amdres ramirez</t>
  </si>
  <si>
    <t>120k del 4x1000</t>
  </si>
  <si>
    <t>DAVIVIENDA************2127</t>
  </si>
  <si>
    <t>Abajo AGRARIO JORGE</t>
  </si>
  <si>
    <t xml:space="preserve">Abajo ANIBAL  </t>
  </si>
  <si>
    <t xml:space="preserve">Abajo FAMILIA SANCHEZ </t>
  </si>
  <si>
    <t xml:space="preserve">Abajo GILBERTO </t>
  </si>
  <si>
    <t>Abajo GIRLESA</t>
  </si>
  <si>
    <t xml:space="preserve">Abajo HERNAN MARIN </t>
  </si>
  <si>
    <t> 35,241,600.00</t>
  </si>
  <si>
    <t> 1,842,984.00</t>
  </si>
  <si>
    <t> 19,194,548.00</t>
  </si>
  <si>
    <t> 5,927.03</t>
  </si>
  <si>
    <t> 13,687.69</t>
  </si>
  <si>
    <t> 14,434.36</t>
  </si>
  <si>
    <t>ene-23</t>
  </si>
  <si>
    <t>ene-24</t>
  </si>
  <si>
    <t>COP</t>
  </si>
  <si>
    <t>cuota extra</t>
  </si>
  <si>
    <t>a2316</t>
  </si>
  <si>
    <t>a2309</t>
  </si>
  <si>
    <t>48214 - a2298</t>
  </si>
  <si>
    <t>270 - A2300</t>
  </si>
  <si>
    <t>SG1127 - NC00013</t>
  </si>
  <si>
    <t>75600 - NC</t>
  </si>
  <si>
    <t>FEV48225</t>
  </si>
  <si>
    <t>ME511329</t>
  </si>
  <si>
    <t>03MS4371</t>
  </si>
  <si>
    <t>334 - 289692</t>
  </si>
  <si>
    <t>COMERCIALIZADORA AVELINA</t>
  </si>
  <si>
    <t>avelinacomer@gmail.com;girlesa.ruiz@servipilas.com;joriescobar64@gmail.com</t>
  </si>
  <si>
    <t>FE11073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</si>
</sst>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&quot;$&quot;#,##0_);[Red]\(&quot;$&quot;#,##0\)"/>
    <numFmt numFmtId="165" formatCode="&quot;$&quot;#,##0.00_);[Red]\(&quot;$&quot;#,##0.00\)"/>
    <numFmt numFmtId="166" formatCode="&quot;$&quot;\ #,##0_);[Red]\(&quot;$&quot;\ #,##0\)"/>
    <numFmt numFmtId="167" formatCode="&quot;$&quot;#,##0;[Red]\-&quot;$&quot;#,##0"/>
    <numFmt numFmtId="168" formatCode="m/d/yyyy"/>
    <numFmt numFmtId="169" formatCode="0.0%"/>
    <numFmt numFmtId="170" formatCode="dd\ &quot;de&quot;\ mmmm\ &quot;de&quot;\ yyyy"/>
    <numFmt numFmtId="171" formatCode="mm/dd/yyyy"/>
    <numFmt numFmtId="172" formatCode="&quot;$&quot;#,##0.0;[Red]\-&quot;$&quot;#,##0.0"/>
  </numFmts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name val="Bell MT"/>
      <family val="1"/>
    </font>
    <font>
      <sz val="12"/>
      <name val="Bell MT"/>
      <family val="1"/>
    </font>
    <font>
      <b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name val="Calibri"/>
      <family val="2"/>
    </font>
    <font>
      <sz val="9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 tint="0.499984740745262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Bell MT"/>
      <family val="1"/>
    </font>
  </fonts>
  <fills count="1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rgb="FFE2EFD9"/>
        <bgColor rgb="FFE2EFD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/>
      </patternFill>
    </fill>
    <fill>
      <patternFill patternType="solid">
        <fgColor rgb="FFD8D8D8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21" fillId="0" borderId="0" applyNumberFormat="0" applyFill="0" applyBorder="0" applyAlignment="0" applyProtection="0"/>
    <xf numFmtId="0" fontId="22" fillId="0" borderId="0"/>
    <xf numFmtId="44" fontId="24" fillId="0" borderId="0" applyFont="0" applyFill="0" applyBorder="0" applyAlignment="0" applyProtection="0"/>
  </cellStyleXfs>
  <cellXfs count="150">
    <xf numFmtId="0" fontId="0" fillId="0" borderId="0" xfId="0"/>
    <xf numFmtId="169" fontId="0" fillId="0" borderId="0" xfId="0" applyNumberFormat="1" applyFont="1"/>
    <xf numFmtId="164" fontId="0" fillId="0" borderId="0" xfId="0" applyNumberFormat="1" applyFont="1"/>
    <xf numFmtId="14" fontId="4" fillId="0" borderId="1" xfId="0" applyNumberFormat="1" applyFont="1" applyFill="1" applyBorder="1" applyAlignment="1" applyProtection="1">
      <alignment horizontal="center" vertical="center"/>
    </xf>
    <xf numFmtId="15" fontId="4" fillId="0" borderId="3" xfId="0" applyNumberFormat="1" applyFont="1" applyFill="1" applyBorder="1" applyAlignment="1" applyProtection="1">
      <alignment horizontal="center" vertical="center"/>
    </xf>
    <xf numFmtId="164" fontId="11" fillId="3" borderId="2" xfId="0" applyNumberFormat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166" fontId="12" fillId="0" borderId="0" xfId="0" applyNumberFormat="1" applyFont="1" applyFill="1" applyAlignment="1">
      <alignment vertical="center"/>
    </xf>
    <xf numFmtId="0" fontId="12" fillId="4" borderId="0" xfId="0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vertical="center"/>
    </xf>
    <xf numFmtId="164" fontId="12" fillId="4" borderId="0" xfId="0" applyNumberFormat="1" applyFont="1" applyFill="1" applyAlignment="1">
      <alignment vertical="center"/>
    </xf>
    <xf numFmtId="165" fontId="12" fillId="4" borderId="0" xfId="0" applyNumberFormat="1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 wrapText="1"/>
    </xf>
    <xf numFmtId="0" fontId="0" fillId="4" borderId="0" xfId="0" applyFont="1" applyFill="1" applyAlignment="1">
      <alignment vertical="center"/>
    </xf>
    <xf numFmtId="1" fontId="5" fillId="2" borderId="0" xfId="0" applyNumberFormat="1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6" fillId="2" borderId="0" xfId="0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8" fillId="2" borderId="0" xfId="0" applyFont="1" applyFill="1" applyBorder="1" applyAlignment="1" applyProtection="1">
      <alignment horizontal="center" vertical="center" wrapText="1"/>
    </xf>
    <xf numFmtId="169" fontId="1" fillId="2" borderId="0" xfId="0" applyNumberFormat="1" applyFont="1" applyFill="1" applyBorder="1" applyAlignment="1" applyProtection="1">
      <alignment horizontal="center" vertical="center" wrapText="1"/>
    </xf>
    <xf numFmtId="0" fontId="9" fillId="2" borderId="0" xfId="0" applyFont="1" applyFill="1" applyBorder="1" applyAlignment="1" applyProtection="1">
      <alignment horizontal="center" vertical="center" wrapText="1"/>
    </xf>
    <xf numFmtId="0" fontId="1" fillId="4" borderId="0" xfId="0" applyFont="1" applyFill="1" applyBorder="1" applyAlignment="1" applyProtection="1">
      <alignment horizontal="center" vertical="center" wrapText="1"/>
    </xf>
    <xf numFmtId="1" fontId="5" fillId="0" borderId="0" xfId="0" applyNumberFormat="1" applyFont="1" applyFill="1" applyBorder="1" applyAlignment="1" applyProtection="1">
      <alignment horizontal="center" vertical="center"/>
    </xf>
    <xf numFmtId="167" fontId="7" fillId="0" borderId="0" xfId="0" applyNumberFormat="1" applyFont="1" applyFill="1" applyBorder="1" applyAlignment="1" applyProtection="1">
      <alignment vertical="center"/>
    </xf>
    <xf numFmtId="167" fontId="1" fillId="0" borderId="0" xfId="0" applyNumberFormat="1" applyFont="1" applyFill="1" applyBorder="1" applyAlignment="1" applyProtection="1">
      <alignment vertical="center"/>
    </xf>
    <xf numFmtId="169" fontId="1" fillId="0" borderId="0" xfId="0" applyNumberFormat="1" applyFont="1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165" fontId="5" fillId="0" borderId="0" xfId="0" applyNumberFormat="1" applyFont="1" applyFill="1" applyBorder="1" applyAlignment="1" applyProtection="1">
      <alignment vertical="center"/>
    </xf>
    <xf numFmtId="168" fontId="7" fillId="0" borderId="0" xfId="0" applyNumberFormat="1" applyFont="1" applyFill="1" applyBorder="1" applyAlignment="1" applyProtection="1">
      <alignment horizontal="left" vertical="center"/>
    </xf>
    <xf numFmtId="0" fontId="1" fillId="4" borderId="0" xfId="0" applyFont="1" applyFill="1" applyBorder="1"/>
    <xf numFmtId="165" fontId="1" fillId="4" borderId="0" xfId="0" applyNumberFormat="1" applyFont="1" applyFill="1" applyBorder="1" applyAlignment="1" applyProtection="1">
      <alignment vertical="center"/>
    </xf>
    <xf numFmtId="164" fontId="10" fillId="4" borderId="0" xfId="0" applyNumberFormat="1" applyFont="1" applyFill="1" applyBorder="1" applyAlignment="1" applyProtection="1">
      <alignment vertical="center"/>
    </xf>
    <xf numFmtId="0" fontId="5" fillId="4" borderId="0" xfId="0" applyFont="1" applyFill="1" applyBorder="1" applyAlignment="1">
      <alignment vertical="center"/>
    </xf>
    <xf numFmtId="165" fontId="5" fillId="4" borderId="0" xfId="0" applyNumberFormat="1" applyFont="1" applyFill="1" applyBorder="1" applyAlignment="1" applyProtection="1">
      <alignment vertical="center"/>
    </xf>
    <xf numFmtId="165" fontId="6" fillId="4" borderId="0" xfId="0" applyNumberFormat="1" applyFont="1" applyFill="1" applyBorder="1" applyAlignment="1" applyProtection="1">
      <alignment vertical="center"/>
    </xf>
    <xf numFmtId="0" fontId="7" fillId="4" borderId="0" xfId="0" applyFont="1" applyFill="1" applyBorder="1" applyAlignment="1" applyProtection="1">
      <alignment vertical="center"/>
    </xf>
    <xf numFmtId="165" fontId="7" fillId="4" borderId="0" xfId="0" applyNumberFormat="1" applyFont="1" applyFill="1" applyBorder="1" applyAlignment="1" applyProtection="1">
      <alignment vertical="center"/>
    </xf>
    <xf numFmtId="169" fontId="1" fillId="4" borderId="0" xfId="0" applyNumberFormat="1" applyFont="1" applyFill="1" applyBorder="1" applyAlignment="1" applyProtection="1">
      <alignment vertical="center"/>
    </xf>
    <xf numFmtId="164" fontId="12" fillId="4" borderId="0" xfId="0" applyNumberFormat="1" applyFont="1" applyFill="1" applyAlignment="1">
      <alignment horizontal="center" vertical="center"/>
    </xf>
    <xf numFmtId="0" fontId="11" fillId="4" borderId="0" xfId="0" applyFont="1" applyFill="1" applyBorder="1" applyAlignment="1">
      <alignment horizontal="center" vertical="center" wrapText="1"/>
    </xf>
    <xf numFmtId="0" fontId="13" fillId="0" borderId="0" xfId="0" applyFont="1" applyFill="1" applyAlignment="1">
      <alignment vertical="center" wrapText="1"/>
    </xf>
    <xf numFmtId="0" fontId="14" fillId="0" borderId="0" xfId="0" applyFont="1" applyFill="1" applyAlignment="1">
      <alignment vertical="center" wrapText="1"/>
    </xf>
    <xf numFmtId="0" fontId="13" fillId="0" borderId="0" xfId="0" applyFont="1" applyFill="1" applyAlignment="1">
      <alignment vertical="center"/>
    </xf>
    <xf numFmtId="0" fontId="13" fillId="0" borderId="0" xfId="0" applyFont="1" applyFill="1" applyAlignment="1">
      <alignment horizontal="center" vertical="center"/>
    </xf>
    <xf numFmtId="169" fontId="13" fillId="0" borderId="0" xfId="0" applyNumberFormat="1" applyFont="1" applyFill="1" applyAlignment="1">
      <alignment vertical="center"/>
    </xf>
    <xf numFmtId="1" fontId="7" fillId="0" borderId="0" xfId="0" applyNumberFormat="1" applyFont="1" applyFill="1" applyBorder="1" applyAlignment="1" applyProtection="1">
      <alignment horizontal="left" vertical="center"/>
    </xf>
    <xf numFmtId="1" fontId="7" fillId="2" borderId="0" xfId="0" applyNumberFormat="1" applyFont="1" applyFill="1" applyBorder="1" applyAlignment="1" applyProtection="1">
      <alignment horizontal="left" vertical="center" wrapText="1"/>
    </xf>
    <xf numFmtId="1" fontId="7" fillId="4" borderId="0" xfId="0" applyNumberFormat="1" applyFont="1" applyFill="1" applyBorder="1" applyAlignment="1" applyProtection="1">
      <alignment horizontal="right" vertical="center"/>
    </xf>
    <xf numFmtId="1" fontId="8" fillId="0" borderId="0" xfId="0" applyNumberFormat="1" applyFont="1" applyFill="1" applyBorder="1" applyAlignment="1" applyProtection="1">
      <alignment vertical="center"/>
    </xf>
    <xf numFmtId="0" fontId="15" fillId="5" borderId="4" xfId="0" applyFont="1" applyFill="1" applyBorder="1" applyAlignment="1">
      <alignment vertical="center" wrapText="1"/>
    </xf>
    <xf numFmtId="0" fontId="15" fillId="6" borderId="4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0" fontId="17" fillId="6" borderId="0" xfId="0" applyFont="1" applyFill="1"/>
    <xf numFmtId="0" fontId="18" fillId="6" borderId="0" xfId="0" applyFont="1" applyFill="1"/>
    <xf numFmtId="0" fontId="18" fillId="5" borderId="0" xfId="0" applyFont="1" applyFill="1"/>
    <xf numFmtId="164" fontId="18" fillId="6" borderId="0" xfId="0" applyNumberFormat="1" applyFont="1" applyFill="1"/>
    <xf numFmtId="164" fontId="18" fillId="5" borderId="0" xfId="0" applyNumberFormat="1" applyFont="1" applyFill="1"/>
    <xf numFmtId="164" fontId="17" fillId="5" borderId="0" xfId="0" applyNumberFormat="1" applyFont="1" applyFill="1"/>
    <xf numFmtId="164" fontId="17" fillId="6" borderId="0" xfId="0" applyNumberFormat="1" applyFont="1" applyFill="1"/>
    <xf numFmtId="0" fontId="12" fillId="0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164" fontId="0" fillId="0" borderId="0" xfId="0" applyNumberFormat="1" applyAlignment="1">
      <alignment vertical="center"/>
    </xf>
    <xf numFmtId="165" fontId="12" fillId="0" borderId="0" xfId="0" applyNumberFormat="1" applyFont="1" applyFill="1" applyAlignment="1">
      <alignment vertical="center"/>
    </xf>
    <xf numFmtId="165" fontId="11" fillId="0" borderId="2" xfId="0" applyNumberFormat="1" applyFont="1" applyFill="1" applyBorder="1" applyAlignment="1">
      <alignment horizontal="center" vertical="center" wrapText="1"/>
    </xf>
    <xf numFmtId="165" fontId="12" fillId="4" borderId="0" xfId="0" applyNumberFormat="1" applyFont="1" applyFill="1" applyAlignment="1">
      <alignment vertical="center"/>
    </xf>
    <xf numFmtId="17" fontId="0" fillId="0" borderId="0" xfId="0" applyNumberFormat="1" applyAlignment="1">
      <alignment vertical="center"/>
    </xf>
    <xf numFmtId="165" fontId="1" fillId="4" borderId="0" xfId="0" applyNumberFormat="1" applyFont="1" applyFill="1" applyBorder="1" applyAlignment="1" applyProtection="1">
      <alignment horizontal="center" vertical="center" wrapText="1"/>
    </xf>
    <xf numFmtId="0" fontId="3" fillId="8" borderId="4" xfId="0" applyFont="1" applyFill="1" applyBorder="1" applyAlignment="1">
      <alignment horizontal="left" vertical="center" wrapText="1"/>
    </xf>
    <xf numFmtId="165" fontId="0" fillId="0" borderId="0" xfId="0" applyNumberFormat="1" applyAlignment="1">
      <alignment horizontal="right" vertical="center"/>
    </xf>
    <xf numFmtId="0" fontId="5" fillId="0" borderId="0" xfId="0" applyNumberFormat="1" applyFont="1" applyFill="1" applyBorder="1" applyAlignment="1" applyProtection="1">
      <alignment vertical="center"/>
    </xf>
    <xf numFmtId="164" fontId="0" fillId="0" borderId="0" xfId="0" applyNumberFormat="1" applyAlignment="1">
      <alignment horizontal="right" vertical="center"/>
    </xf>
    <xf numFmtId="165" fontId="12" fillId="0" borderId="0" xfId="0" applyNumberFormat="1" applyFont="1" applyFill="1" applyAlignment="1">
      <alignment vertical="center" wrapText="1"/>
    </xf>
    <xf numFmtId="4" fontId="12" fillId="0" borderId="0" xfId="0" applyNumberFormat="1" applyFont="1" applyFill="1" applyAlignment="1">
      <alignment vertical="center"/>
    </xf>
    <xf numFmtId="14" fontId="0" fillId="0" borderId="0" xfId="0" applyNumberFormat="1" applyAlignment="1">
      <alignment vertical="center"/>
    </xf>
    <xf numFmtId="0" fontId="19" fillId="4" borderId="0" xfId="0" applyFont="1" applyFill="1" applyAlignment="1">
      <alignment vertical="center"/>
    </xf>
    <xf numFmtId="168" fontId="11" fillId="0" borderId="0" xfId="0" applyNumberFormat="1" applyFont="1" applyFill="1" applyAlignment="1" applyProtection="1">
      <alignment horizontal="left" vertical="center"/>
    </xf>
    <xf numFmtId="164" fontId="20" fillId="6" borderId="0" xfId="0" applyNumberFormat="1" applyFont="1" applyFill="1"/>
    <xf numFmtId="164" fontId="0" fillId="6" borderId="0" xfId="0" applyNumberFormat="1" applyFill="1"/>
    <xf numFmtId="0" fontId="0" fillId="0" borderId="0" xfId="0" applyFill="1"/>
    <xf numFmtId="0" fontId="21" fillId="0" borderId="0" xfId="1" applyFill="1" applyAlignment="1">
      <alignment vertical="center"/>
    </xf>
    <xf numFmtId="168" fontId="12" fillId="0" borderId="0" xfId="0" applyNumberFormat="1" applyFont="1" applyFill="1" applyBorder="1" applyAlignment="1">
      <alignment vertical="center"/>
    </xf>
    <xf numFmtId="166" fontId="12" fillId="0" borderId="0" xfId="0" applyNumberFormat="1" applyFont="1" applyFill="1" applyBorder="1" applyAlignment="1">
      <alignment vertical="center"/>
    </xf>
    <xf numFmtId="165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164" fontId="12" fillId="4" borderId="0" xfId="0" applyNumberFormat="1" applyFont="1" applyFill="1" applyBorder="1" applyAlignment="1">
      <alignment horizontal="center" vertical="center"/>
    </xf>
    <xf numFmtId="166" fontId="12" fillId="0" borderId="0" xfId="0" applyNumberFormat="1" applyFont="1" applyAlignment="1">
      <alignment vertical="center"/>
    </xf>
    <xf numFmtId="16" fontId="0" fillId="0" borderId="0" xfId="0" applyNumberFormat="1"/>
    <xf numFmtId="170" fontId="0" fillId="0" borderId="0" xfId="0" applyNumberFormat="1"/>
    <xf numFmtId="0" fontId="0" fillId="9" borderId="0" xfId="0" applyFill="1"/>
    <xf numFmtId="0" fontId="5" fillId="9" borderId="0" xfId="0" applyNumberFormat="1" applyFont="1" applyFill="1" applyBorder="1" applyAlignment="1">
      <alignment vertical="center"/>
    </xf>
    <xf numFmtId="168" fontId="7" fillId="9" borderId="0" xfId="0" applyNumberFormat="1" applyFont="1" applyFill="1" applyBorder="1" applyAlignment="1">
      <alignment horizontal="left" vertical="center"/>
    </xf>
    <xf numFmtId="1" fontId="7" fillId="9" borderId="0" xfId="0" applyNumberFormat="1" applyFont="1" applyFill="1" applyBorder="1" applyAlignment="1">
      <alignment horizontal="left" vertical="center"/>
    </xf>
    <xf numFmtId="167" fontId="7" fillId="9" borderId="0" xfId="0" applyNumberFormat="1" applyFont="1" applyFill="1" applyBorder="1" applyAlignment="1">
      <alignment vertical="center"/>
    </xf>
    <xf numFmtId="167" fontId="1" fillId="9" borderId="0" xfId="0" applyNumberFormat="1" applyFont="1" applyFill="1" applyBorder="1" applyAlignment="1">
      <alignment vertical="center"/>
    </xf>
    <xf numFmtId="169" fontId="1" fillId="9" borderId="0" xfId="0" applyNumberFormat="1" applyFont="1" applyFill="1" applyBorder="1" applyAlignment="1">
      <alignment vertical="center"/>
    </xf>
    <xf numFmtId="0" fontId="6" fillId="10" borderId="6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1" fontId="7" fillId="10" borderId="6" xfId="0" applyNumberFormat="1" applyFont="1" applyFill="1" applyBorder="1" applyAlignment="1">
      <alignment horizontal="center" vertical="center" wrapText="1"/>
    </xf>
    <xf numFmtId="0" fontId="3" fillId="10" borderId="6" xfId="0" applyFont="1" applyFill="1" applyBorder="1" applyAlignment="1">
      <alignment horizontal="center" vertical="center" wrapText="1"/>
    </xf>
    <xf numFmtId="169" fontId="3" fillId="10" borderId="6" xfId="0" applyNumberFormat="1" applyFont="1" applyFill="1" applyBorder="1" applyAlignment="1">
      <alignment horizontal="center" vertical="center" wrapText="1"/>
    </xf>
    <xf numFmtId="0" fontId="23" fillId="10" borderId="0" xfId="0" applyFont="1" applyFill="1" applyAlignment="1">
      <alignment horizontal="center" vertical="center"/>
    </xf>
    <xf numFmtId="167" fontId="3" fillId="9" borderId="0" xfId="0" applyNumberFormat="1" applyFont="1" applyFill="1" applyBorder="1" applyAlignment="1">
      <alignment vertical="center"/>
    </xf>
    <xf numFmtId="167" fontId="7" fillId="9" borderId="6" xfId="0" applyNumberFormat="1" applyFont="1" applyFill="1" applyBorder="1" applyAlignment="1">
      <alignment vertical="center"/>
    </xf>
    <xf numFmtId="0" fontId="23" fillId="9" borderId="0" xfId="0" applyFont="1" applyFill="1"/>
    <xf numFmtId="0" fontId="7" fillId="11" borderId="0" xfId="0" applyFont="1" applyFill="1" applyBorder="1" applyAlignment="1" applyProtection="1">
      <alignment horizontal="center" vertical="center" wrapText="1"/>
    </xf>
    <xf numFmtId="0" fontId="0" fillId="10" borderId="0" xfId="0" applyFill="1"/>
    <xf numFmtId="167" fontId="7" fillId="10" borderId="6" xfId="0" applyNumberFormat="1" applyFont="1" applyFill="1" applyBorder="1" applyAlignment="1">
      <alignment vertical="center"/>
    </xf>
    <xf numFmtId="171" fontId="6" fillId="4" borderId="0" xfId="0" applyNumberFormat="1" applyFont="1" applyFill="1" applyBorder="1" applyAlignment="1" applyProtection="1">
      <alignment vertical="center"/>
    </xf>
    <xf numFmtId="171" fontId="6" fillId="9" borderId="0" xfId="0" applyNumberFormat="1" applyFont="1" applyFill="1" applyBorder="1" applyAlignment="1">
      <alignment vertical="center"/>
    </xf>
    <xf numFmtId="0" fontId="25" fillId="0" borderId="0" xfId="0" applyNumberFormat="1" applyFont="1" applyFill="1" applyBorder="1" applyAlignment="1" applyProtection="1">
      <alignment vertical="center"/>
    </xf>
    <xf numFmtId="1" fontId="5" fillId="2" borderId="0" xfId="3" applyNumberFormat="1" applyFont="1" applyFill="1" applyBorder="1" applyAlignment="1" applyProtection="1">
      <alignment horizontal="center" vertical="center" wrapText="1"/>
    </xf>
    <xf numFmtId="1" fontId="7" fillId="0" borderId="0" xfId="0" applyNumberFormat="1" applyFont="1" applyFill="1" applyBorder="1" applyAlignment="1" applyProtection="1">
      <alignment horizontal="center" vertical="center"/>
    </xf>
    <xf numFmtId="1" fontId="1" fillId="4" borderId="0" xfId="0" applyNumberFormat="1" applyFont="1" applyFill="1" applyBorder="1" applyAlignment="1" applyProtection="1">
      <alignment horizontal="center" vertical="center"/>
    </xf>
    <xf numFmtId="1" fontId="5" fillId="2" borderId="0" xfId="0" applyNumberFormat="1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1" fontId="7" fillId="2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8" fontId="1" fillId="4" borderId="0" xfId="0" applyNumberFormat="1" applyFont="1" applyFill="1" applyAlignment="1">
      <alignment horizontal="center" vertical="center" wrapText="1"/>
    </xf>
    <xf numFmtId="0" fontId="9" fillId="0" borderId="0" xfId="0" applyFont="1" applyAlignment="1">
      <alignment vertical="center"/>
    </xf>
    <xf numFmtId="1" fontId="8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68" fontId="6" fillId="4" borderId="0" xfId="0" applyNumberFormat="1" applyFont="1" applyFill="1" applyAlignment="1">
      <alignment vertical="center"/>
    </xf>
    <xf numFmtId="168" fontId="7" fillId="0" borderId="0" xfId="0" applyNumberFormat="1" applyFont="1" applyAlignment="1">
      <alignment horizontal="left" vertical="center"/>
    </xf>
    <xf numFmtId="168" fontId="6" fillId="0" borderId="0" xfId="0" applyNumberFormat="1" applyFont="1" applyAlignment="1">
      <alignment vertical="center"/>
    </xf>
    <xf numFmtId="1" fontId="7" fillId="0" borderId="0" xfId="0" applyNumberFormat="1" applyFont="1" applyAlignment="1">
      <alignment horizontal="left" vertical="center"/>
    </xf>
    <xf numFmtId="172" fontId="7" fillId="0" borderId="0" xfId="0" applyNumberFormat="1" applyFont="1" applyAlignment="1">
      <alignment vertical="center"/>
    </xf>
    <xf numFmtId="167" fontId="7" fillId="0" borderId="0" xfId="0" applyNumberFormat="1" applyFont="1" applyAlignment="1">
      <alignment vertical="center"/>
    </xf>
    <xf numFmtId="0" fontId="1" fillId="4" borderId="0" xfId="0" applyFont="1" applyFill="1"/>
    <xf numFmtId="0" fontId="1" fillId="4" borderId="0" xfId="0" applyFont="1" applyFill="1" applyAlignment="1">
      <alignment vertical="center"/>
    </xf>
    <xf numFmtId="8" fontId="1" fillId="4" borderId="0" xfId="0" applyNumberFormat="1" applyFont="1" applyFill="1" applyAlignment="1">
      <alignment vertical="center"/>
    </xf>
    <xf numFmtId="164" fontId="10" fillId="4" borderId="0" xfId="0" applyNumberFormat="1" applyFont="1" applyFill="1" applyAlignment="1">
      <alignment vertical="center"/>
    </xf>
    <xf numFmtId="168" fontId="11" fillId="0" borderId="0" xfId="0" applyNumberFormat="1" applyFont="1" applyAlignment="1">
      <alignment horizontal="left" vertical="center"/>
    </xf>
    <xf numFmtId="169" fontId="1" fillId="4" borderId="0" xfId="0" applyNumberFormat="1" applyFont="1" applyFill="1" applyAlignment="1">
      <alignment vertical="center"/>
    </xf>
    <xf numFmtId="8" fontId="5" fillId="4" borderId="0" xfId="0" applyNumberFormat="1" applyFont="1" applyFill="1" applyAlignment="1">
      <alignment vertical="center"/>
    </xf>
    <xf numFmtId="8" fontId="6" fillId="4" borderId="0" xfId="0" applyNumberFormat="1" applyFont="1" applyFill="1" applyAlignment="1">
      <alignment vertical="center"/>
    </xf>
    <xf numFmtId="1" fontId="7" fillId="4" borderId="0" xfId="0" applyNumberFormat="1" applyFont="1" applyFill="1" applyAlignment="1">
      <alignment horizontal="right" vertical="center"/>
    </xf>
    <xf numFmtId="17" fontId="0" fillId="0" borderId="5" xfId="0" applyNumberFormat="1" applyBorder="1" applyAlignment="1">
      <alignment vertical="center"/>
    </xf>
    <xf numFmtId="165" fontId="0" fillId="7" borderId="4" xfId="0" applyNumberFormat="1" applyFill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4" xfId="0" applyNumberFormat="1" applyBorder="1" applyAlignment="1">
      <alignment horizontal="right" vertical="center"/>
    </xf>
    <xf numFmtId="8" fontId="0" fillId="0" borderId="0" xfId="0" applyNumberFormat="1" applyAlignment="1">
      <alignment vertical="center"/>
    </xf>
    <xf numFmtId="168" fontId="7" fillId="0" borderId="0" xfId="0" applyNumberFormat="1" applyFont="1" applyFill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vertical="center"/>
    </xf>
  </cellXfs>
  <cellStyles count="4">
    <cellStyle name="Hipervínculo" xfId="1" builtinId="8"/>
    <cellStyle name="Moneda" xfId="3" builtinId="4"/>
    <cellStyle name="Normal" xfId="0" builtinId="0"/>
    <cellStyle name="Normal 2" xfId="2" xr:uid="{B02E93D6-0E93-4B55-B3EA-813C71BAF781}"/>
  </cellStyles>
  <dxfs count="159"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_);[Red]\(&quot;$&quot;#,##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_);[Red]\(&quot;$&quot;#,##0\)"/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m/d/yyyy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fgColor theme="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&quot;$&quot;#,##0.0;[Red]\-&quot;$&quot;#,##0.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m/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1" formatCode="mm/d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1" formatCode="mm/d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_);[Red]\(&quot;$&quot;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theme="1" tint="0.34998626667073579"/>
      </font>
      <fill>
        <patternFill>
          <bgColor theme="0" tint="-0.14996795556505021"/>
        </patternFill>
      </fill>
    </dxf>
  </dxfs>
  <tableStyles count="1" defaultTableStyle="TableStyleMedium2" defaultPivotStyle="PivotStyleLight16">
    <tableStyle name="Estilo de tabla 1" pivot="0" count="1" xr9:uid="{50409F57-F246-4994-A2D7-E93D33FC964C}">
      <tableStyleElement type="wholeTable" dxfId="158"/>
    </tableStyle>
  </tableStyles>
  <colors>
    <mruColors>
      <color rgb="FFE5E3E3"/>
      <color rgb="FFD8CFE3"/>
      <color rgb="FFAB6D6D"/>
      <color rgb="FF6F3505"/>
      <color rgb="FF500000"/>
      <color rgb="FF757171"/>
      <color rgb="FF860000"/>
      <color rgb="FF4D3A64"/>
      <color rgb="FF94D61E"/>
      <color rgb="FFD6CD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4</xdr:row>
      <xdr:rowOff>95250</xdr:rowOff>
    </xdr:from>
    <xdr:to>
      <xdr:col>11</xdr:col>
      <xdr:colOff>714376</xdr:colOff>
      <xdr:row>20</xdr:row>
      <xdr:rowOff>180975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7CFC031-21B1-46E6-ACD9-C3E27780F7E9}"/>
            </a:ext>
          </a:extLst>
        </xdr:cNvPr>
        <xdr:cNvGrpSpPr/>
      </xdr:nvGrpSpPr>
      <xdr:grpSpPr>
        <a:xfrm>
          <a:off x="4305300" y="762000"/>
          <a:ext cx="5000626" cy="2981325"/>
          <a:chOff x="4210050" y="771525"/>
          <a:chExt cx="4886326" cy="3133725"/>
        </a:xfrm>
      </xdr:grpSpPr>
      <xdr:sp macro="" textlink="">
        <xdr:nvSpPr>
          <xdr:cNvPr id="2" name="1 Rectángulo">
            <a:extLst>
              <a:ext uri="{FF2B5EF4-FFF2-40B4-BE49-F238E27FC236}">
                <a16:creationId xmlns:a16="http://schemas.microsoft.com/office/drawing/2014/main" id="{8AB6CF04-BE27-4755-9F12-EE6CFF60E90E}"/>
              </a:ext>
            </a:extLst>
          </xdr:cNvPr>
          <xdr:cNvSpPr/>
        </xdr:nvSpPr>
        <xdr:spPr>
          <a:xfrm>
            <a:off x="4210050" y="771525"/>
            <a:ext cx="4886326" cy="3133725"/>
          </a:xfrm>
          <a:prstGeom prst="rect">
            <a:avLst/>
          </a:prstGeom>
          <a:solidFill>
            <a:srgbClr val="E5E3E3"/>
          </a:solidFill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[0]!FORMULARIO" textlink="">
        <xdr:nvSpPr>
          <xdr:cNvPr id="3" name="2 CuadroTexto">
            <a:extLst>
              <a:ext uri="{FF2B5EF4-FFF2-40B4-BE49-F238E27FC236}">
                <a16:creationId xmlns:a16="http://schemas.microsoft.com/office/drawing/2014/main" id="{A5D548A5-0B0B-4C6E-96DF-204E06A43C0F}"/>
              </a:ext>
            </a:extLst>
          </xdr:cNvPr>
          <xdr:cNvSpPr txBox="1"/>
        </xdr:nvSpPr>
        <xdr:spPr>
          <a:xfrm>
            <a:off x="5266135" y="1800226"/>
            <a:ext cx="2801540" cy="1009650"/>
          </a:xfrm>
          <a:prstGeom prst="bevel">
            <a:avLst>
              <a:gd name="adj" fmla="val 5896"/>
            </a:avLst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600" b="1">
                <a:solidFill>
                  <a:sysClr val="windowText" lastClr="000000"/>
                </a:solidFill>
              </a:rPr>
              <a:t>MENÚ</a:t>
            </a:r>
            <a:r>
              <a:rPr lang="es-ES" sz="1600" b="1" baseline="0">
                <a:solidFill>
                  <a:sysClr val="windowText" lastClr="000000"/>
                </a:solidFill>
              </a:rPr>
              <a:t> DE TAREAS</a:t>
            </a:r>
            <a:endParaRPr lang="es-ES" sz="16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stella\trabajo_estella\trabajo%20bancolombia\progr_ext_v7_210313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ursos_ext"/>
      <sheetName val="logistica"/>
      <sheetName val="becarios"/>
      <sheetName val="vicep"/>
      <sheetName val="vicep ppto"/>
      <sheetName val="info ejec"/>
      <sheetName val="informes"/>
      <sheetName val="info_f"/>
      <sheetName val="infoxvicep"/>
      <sheetName val="tablas"/>
      <sheetName val="info ejec Det"/>
      <sheetName val="PLANTA 2 Q FEBRERO 2013"/>
      <sheetName val="ppt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ADMINISTRACION DE ACTIVOS</v>
          </cell>
        </row>
        <row r="3">
          <cell r="B3" t="str">
            <v>APRENDIZ  BOGOTA</v>
          </cell>
        </row>
        <row r="4">
          <cell r="B4" t="str">
            <v>APRENDIZ  SUR</v>
          </cell>
        </row>
        <row r="5">
          <cell r="B5" t="str">
            <v>APRENDIZ ANTIOQUIA</v>
          </cell>
        </row>
        <row r="6">
          <cell r="B6" t="str">
            <v>APRENDIZ CARIBE</v>
          </cell>
        </row>
        <row r="7">
          <cell r="B7" t="str">
            <v>APRENDIZ CENTRO</v>
          </cell>
        </row>
        <row r="8">
          <cell r="B8" t="str">
            <v>APRENDIZ DIRECCION GENERAL</v>
          </cell>
        </row>
        <row r="9">
          <cell r="B9" t="str">
            <v>AREA  REQUERIMIENTOS CAPTACIONES  Y COL</v>
          </cell>
        </row>
        <row r="10">
          <cell r="B10" t="str">
            <v>AREA  REQUERIMIENTOS DE TARJETAS</v>
          </cell>
        </row>
        <row r="11">
          <cell r="B11" t="str">
            <v>AREA APOYO GESTION DE RO Y CONTINUIDAD</v>
          </cell>
        </row>
        <row r="12">
          <cell r="B12" t="str">
            <v>AREA JURIDICA DISTRIBUCION Y VENTAS</v>
          </cell>
        </row>
        <row r="13">
          <cell r="B13" t="str">
            <v>AREA MERCADO CAMBIARIO</v>
          </cell>
        </row>
        <row r="14">
          <cell r="B14" t="str">
            <v>AREA NOVEDADES GESTION HUMANA</v>
          </cell>
        </row>
        <row r="15">
          <cell r="B15" t="str">
            <v>AREA PROCESAMIENTO PGC</v>
          </cell>
        </row>
        <row r="16">
          <cell r="B16" t="str">
            <v>AREA REQ LINES DE NEG Y PROC DE APOYO</v>
          </cell>
        </row>
        <row r="17">
          <cell r="B17" t="str">
            <v>AREA REQUERIMIENTOS ENTES DE CONTROL</v>
          </cell>
        </row>
        <row r="18">
          <cell r="B18" t="str">
            <v>AREA REVISION S</v>
          </cell>
        </row>
        <row r="19">
          <cell r="B19" t="str">
            <v>AREA SERV INFORMACION APOYO AL NEGOCIO</v>
          </cell>
        </row>
        <row r="20">
          <cell r="B20" t="str">
            <v>AREA SERV TARJETAHABIENTES DEBITO CRED</v>
          </cell>
        </row>
        <row r="21">
          <cell r="B21" t="str">
            <v>AREA SERV TARJETAHABIENTES PERSONAL</v>
          </cell>
        </row>
        <row r="22">
          <cell r="B22" t="str">
            <v>AREA SERVICIOS CHEQUES Y AFC</v>
          </cell>
        </row>
        <row r="23">
          <cell r="B23" t="str">
            <v>AREA SERVICIOS DE PAGOS</v>
          </cell>
        </row>
        <row r="24">
          <cell r="B24" t="str">
            <v>ARQUITECTURA APLICATIVA Y TECNICA</v>
          </cell>
        </row>
        <row r="25">
          <cell r="B25" t="str">
            <v>ASESORIA MONEDA EXTRANJERA BE ANTIOQUIA</v>
          </cell>
        </row>
        <row r="26">
          <cell r="B26" t="str">
            <v>ASESORIA MONEDA EXTRANJERA BE BOGOTA</v>
          </cell>
        </row>
        <row r="27">
          <cell r="B27" t="str">
            <v>ASESORIA MONEDA EXTRANJERA BE CARIBE</v>
          </cell>
        </row>
        <row r="28">
          <cell r="B28" t="str">
            <v>ASESORIA MONEDA EXTRANJERA BE SUR</v>
          </cell>
        </row>
        <row r="29">
          <cell r="B29" t="str">
            <v>BANCA DE INVERSION</v>
          </cell>
        </row>
        <row r="30">
          <cell r="B30" t="str">
            <v>BANCA ESPECIALIZADA BUCARAMANGA DS</v>
          </cell>
        </row>
        <row r="31">
          <cell r="B31" t="str">
            <v>BANCOLOMBIA PANAMA BOGOTA</v>
          </cell>
        </row>
        <row r="32">
          <cell r="B32" t="str">
            <v>BECARIOS</v>
          </cell>
        </row>
        <row r="33">
          <cell r="B33" t="str">
            <v>CALIDAD DE VIDA BOGOTA</v>
          </cell>
        </row>
        <row r="34">
          <cell r="B34" t="str">
            <v>CALIDAD DE VIDA CARIBE</v>
          </cell>
        </row>
        <row r="35">
          <cell r="B35" t="str">
            <v>CALIDAD DE VIDA CENTRO</v>
          </cell>
        </row>
        <row r="36">
          <cell r="B36" t="str">
            <v>CELUAL CANAL SURA BOG YCENTRO</v>
          </cell>
        </row>
        <row r="37">
          <cell r="B37" t="str">
            <v>CELULA  2</v>
          </cell>
        </row>
        <row r="38">
          <cell r="B38" t="str">
            <v>CELULA  3</v>
          </cell>
        </row>
        <row r="39">
          <cell r="B39" t="str">
            <v>CELULA  4</v>
          </cell>
        </row>
        <row r="40">
          <cell r="B40" t="str">
            <v>CELULA  6</v>
          </cell>
        </row>
        <row r="41">
          <cell r="B41" t="str">
            <v>CELULA  ANTIOQUIA</v>
          </cell>
        </row>
        <row r="42">
          <cell r="B42" t="str">
            <v>CELULA  BOGOTA Y CARIBE</v>
          </cell>
        </row>
        <row r="43">
          <cell r="B43" t="str">
            <v>CELULA  BPO</v>
          </cell>
        </row>
        <row r="44">
          <cell r="B44" t="str">
            <v>CELULA  BPO 7</v>
          </cell>
        </row>
        <row r="45">
          <cell r="B45" t="str">
            <v>CELULA  CENTRO Y SUR</v>
          </cell>
        </row>
        <row r="46">
          <cell r="B46" t="str">
            <v>CELULA  EMPRENDEDOR BOGOTA</v>
          </cell>
        </row>
        <row r="47">
          <cell r="B47" t="str">
            <v>CELULA  LEGALIZACION ZONA SUR</v>
          </cell>
        </row>
        <row r="48">
          <cell r="B48" t="str">
            <v>CELULA  MASIVOS</v>
          </cell>
        </row>
        <row r="49">
          <cell r="B49" t="str">
            <v>CELULA  PROCESOS MASIVOS</v>
          </cell>
        </row>
        <row r="50">
          <cell r="B50" t="str">
            <v>CELULA  SUCURSAL 6</v>
          </cell>
        </row>
        <row r="51">
          <cell r="B51" t="str">
            <v>CELULA  SUCURSAL 7</v>
          </cell>
        </row>
        <row r="52">
          <cell r="B52" t="str">
            <v>CELULA  SUCURSAL 8</v>
          </cell>
        </row>
        <row r="53">
          <cell r="B53" t="str">
            <v>CELULA  SUCURSAL 9</v>
          </cell>
        </row>
        <row r="54">
          <cell r="B54" t="str">
            <v>CELULA  VN  3</v>
          </cell>
        </row>
        <row r="55">
          <cell r="B55" t="str">
            <v>CELULA  VN 2</v>
          </cell>
        </row>
        <row r="56">
          <cell r="B56" t="str">
            <v>CELULA  VN 4</v>
          </cell>
        </row>
        <row r="57">
          <cell r="B57" t="str">
            <v>CELULA 1</v>
          </cell>
        </row>
        <row r="58">
          <cell r="B58" t="str">
            <v>CELULA 5</v>
          </cell>
        </row>
        <row r="59">
          <cell r="B59" t="str">
            <v>CELULA BOGOTA</v>
          </cell>
        </row>
        <row r="60">
          <cell r="B60" t="str">
            <v>CELULA CALI CENTRO</v>
          </cell>
        </row>
        <row r="61">
          <cell r="B61" t="str">
            <v>CELULA CALI Y CENTRO</v>
          </cell>
        </row>
        <row r="62">
          <cell r="B62" t="str">
            <v>CELULA CANAL SURA BOG Y CENTRO</v>
          </cell>
        </row>
        <row r="63">
          <cell r="B63" t="str">
            <v>CELULA CANAL SURA BOG YCENTRO</v>
          </cell>
        </row>
        <row r="64">
          <cell r="B64" t="str">
            <v>CELULA CARIBE</v>
          </cell>
        </row>
        <row r="65">
          <cell r="B65" t="str">
            <v>CELULA COMERCIAL</v>
          </cell>
        </row>
        <row r="66">
          <cell r="B66" t="str">
            <v>CELULA CRI  BOG Y CENTRO</v>
          </cell>
        </row>
        <row r="67">
          <cell r="B67" t="str">
            <v>CELULA CRI  BOG YCENTRO</v>
          </cell>
        </row>
        <row r="68">
          <cell r="B68" t="str">
            <v>CELULA CRI CENTRO BOG YCENTRO</v>
          </cell>
        </row>
        <row r="69">
          <cell r="B69" t="str">
            <v>CELULA EJE CAFETERO SUR</v>
          </cell>
        </row>
        <row r="70">
          <cell r="B70" t="str">
            <v>CELULA EMPLEADOS 10</v>
          </cell>
        </row>
        <row r="71">
          <cell r="B71" t="str">
            <v>CELULA EMPRENDEDOR ANTIOQUIA</v>
          </cell>
        </row>
        <row r="72">
          <cell r="B72" t="str">
            <v>CELULA EMPRENDEDOR CARIBE</v>
          </cell>
        </row>
        <row r="73">
          <cell r="B73" t="str">
            <v>CELULA EMPRENDEDOR CENTRO 1</v>
          </cell>
        </row>
        <row r="74">
          <cell r="B74" t="str">
            <v>CELULA EMPRENDEDOR CENTRO 2</v>
          </cell>
        </row>
        <row r="75">
          <cell r="B75" t="str">
            <v>CELULA EMPRENDEDOR SUR</v>
          </cell>
        </row>
        <row r="76">
          <cell r="B76" t="str">
            <v>CELULA ESPECIALISTAS   9</v>
          </cell>
        </row>
        <row r="77">
          <cell r="B77" t="str">
            <v>CELULA ESPECIALISTAS  8</v>
          </cell>
        </row>
        <row r="78">
          <cell r="B78" t="str">
            <v>CELULA FOPEP</v>
          </cell>
        </row>
        <row r="79">
          <cell r="B79" t="str">
            <v>CELULA MOVILES</v>
          </cell>
        </row>
        <row r="80">
          <cell r="B80" t="str">
            <v>CELULA MOVILES  CENTRO BOG YCENTRO</v>
          </cell>
        </row>
        <row r="81">
          <cell r="B81" t="str">
            <v>CELULA MOVILES 1 BOG Y CENTRO</v>
          </cell>
        </row>
        <row r="82">
          <cell r="B82" t="str">
            <v>CELULA MOVILES 1 BOG YCENTRO</v>
          </cell>
        </row>
        <row r="83">
          <cell r="B83" t="str">
            <v>CELULA MOVILES 2 BOG Y CENTRO</v>
          </cell>
        </row>
        <row r="84">
          <cell r="B84" t="str">
            <v>CELULA MOVILES BOG Y CENTRO</v>
          </cell>
        </row>
        <row r="85">
          <cell r="B85" t="str">
            <v>CELULA MOVILES BOG YCENTRO</v>
          </cell>
        </row>
        <row r="86">
          <cell r="B86" t="str">
            <v>CELULA MOVILES SUR</v>
          </cell>
        </row>
        <row r="87">
          <cell r="B87" t="str">
            <v>CELULA PREFERENCIAL</v>
          </cell>
        </row>
        <row r="88">
          <cell r="B88" t="str">
            <v>CELULA PRESTANOMINA</v>
          </cell>
        </row>
        <row r="89">
          <cell r="B89" t="str">
            <v>CELULA RCI CENTRO  Y BOGOTA</v>
          </cell>
        </row>
        <row r="90">
          <cell r="B90" t="str">
            <v>CELULA RCI CENTRO CENTRO Y BOGOTA</v>
          </cell>
        </row>
        <row r="91">
          <cell r="B91" t="str">
            <v>CELULA RED BANCO</v>
          </cell>
        </row>
        <row r="92">
          <cell r="B92" t="str">
            <v>CELULA RED BANCO BOG Y CENTRO</v>
          </cell>
        </row>
        <row r="93">
          <cell r="B93" t="str">
            <v>CELULA RED BANCO BOG YCENTRO</v>
          </cell>
        </row>
        <row r="94">
          <cell r="B94" t="str">
            <v>CELULA RED BANCO Y SURA SUR</v>
          </cell>
        </row>
        <row r="95">
          <cell r="B95" t="str">
            <v>CELULA SUCURSAL 5</v>
          </cell>
        </row>
        <row r="96">
          <cell r="B96" t="str">
            <v>CELULA SURA CAR</v>
          </cell>
        </row>
        <row r="97">
          <cell r="B97" t="str">
            <v>CELULA VN  1</v>
          </cell>
        </row>
        <row r="98">
          <cell r="B98" t="str">
            <v>CENTRO ACTIVOS FIJOS CARIBE</v>
          </cell>
        </row>
        <row r="99">
          <cell r="B99" t="str">
            <v>CENTRO ACTIVOS FIJOS SUR</v>
          </cell>
        </row>
        <row r="100">
          <cell r="B100" t="str">
            <v>CENTRO ADMON INFORMES TESORERIA</v>
          </cell>
        </row>
        <row r="101">
          <cell r="B101" t="str">
            <v>CENTRO ASESORIA NORMATIVA ME</v>
          </cell>
        </row>
        <row r="102">
          <cell r="B102" t="str">
            <v>CENTRO CARTERA</v>
          </cell>
        </row>
        <row r="103">
          <cell r="B103" t="str">
            <v>CENTRO CCIAL SUFI CENTRO</v>
          </cell>
        </row>
        <row r="104">
          <cell r="B104" t="str">
            <v>CENTRO CONTABILIDAD PORTAFOLIO INVERSION</v>
          </cell>
        </row>
        <row r="105">
          <cell r="B105" t="str">
            <v>CENTRO CONTABLE CARTERAS COLECTIVAS</v>
          </cell>
        </row>
        <row r="106">
          <cell r="B106" t="str">
            <v>CENTRO CONTABLE PORTAFOLIOS INDIVIDUALES</v>
          </cell>
        </row>
        <row r="107">
          <cell r="B107" t="str">
            <v>CENTRO CREDITO HIPOTECARIO</v>
          </cell>
        </row>
        <row r="108">
          <cell r="B108" t="str">
            <v>CENTRO DE CONTACTO Y ATENCION DE SEGURID</v>
          </cell>
        </row>
        <row r="109">
          <cell r="B109" t="str">
            <v>CENTRO DE CONVENIOS BOGOTA</v>
          </cell>
        </row>
        <row r="110">
          <cell r="B110" t="str">
            <v>CENTRO DE CREDITOS DOCUMENTARIOS</v>
          </cell>
        </row>
        <row r="111">
          <cell r="B111" t="str">
            <v>CENTRO DE FACTURACION Y PAGOS</v>
          </cell>
        </row>
        <row r="112">
          <cell r="B112" t="str">
            <v>CENTRO DE IMPUESTOS FIDUCIARIA 1</v>
          </cell>
        </row>
        <row r="113">
          <cell r="B113" t="str">
            <v>CENTRO DE IMPUESTOS FIDUCIARIA 2</v>
          </cell>
        </row>
        <row r="114">
          <cell r="B114" t="str">
            <v>CENTRO DE LOGISTICA</v>
          </cell>
        </row>
        <row r="115">
          <cell r="B115" t="str">
            <v>CENTRO DE MANTENIMIENTO Y ABONOS DE CART</v>
          </cell>
        </row>
        <row r="116">
          <cell r="B116" t="str">
            <v>CENTRO DE PAGOS</v>
          </cell>
        </row>
        <row r="117">
          <cell r="B117" t="str">
            <v>CENTRO DE PAGOS Y RECAUDOS 1</v>
          </cell>
        </row>
        <row r="118">
          <cell r="B118" t="str">
            <v>CENTRO DE PAGOS Y RECAUDOS 2</v>
          </cell>
        </row>
        <row r="119">
          <cell r="B119" t="str">
            <v>CENTRO DE PAGOS Y RECAUDOS 3</v>
          </cell>
        </row>
        <row r="120">
          <cell r="B120" t="str">
            <v>CENTRO DE PRESELECCION Y MOVIMIENTOS</v>
          </cell>
        </row>
        <row r="121">
          <cell r="B121" t="str">
            <v>CENTRO DESEMBOLSO COMERCIAL Y CONSUMO</v>
          </cell>
        </row>
        <row r="122">
          <cell r="B122" t="str">
            <v>CENTRO GARANTIAS HIPOTECARIAS</v>
          </cell>
        </row>
        <row r="123">
          <cell r="B123" t="str">
            <v>CENTRO GARANTIAS VEHICULOS Y PRENDAS</v>
          </cell>
        </row>
        <row r="124">
          <cell r="B124" t="str">
            <v>CENTRO GESTION DOCUMENTAL ANTIOQUIA</v>
          </cell>
        </row>
        <row r="125">
          <cell r="B125" t="str">
            <v>CENTRO GESTION DOCUMENTAL BOGOTA</v>
          </cell>
        </row>
        <row r="126">
          <cell r="B126" t="str">
            <v>CENTRO IMPUESTOS CLIENTES</v>
          </cell>
        </row>
        <row r="127">
          <cell r="B127" t="str">
            <v>CENTRO OPERACIONES CONTABLES 1</v>
          </cell>
        </row>
        <row r="128">
          <cell r="B128" t="str">
            <v>CENTRO OPERACIONES CONTABLES 2</v>
          </cell>
        </row>
        <row r="129">
          <cell r="B129" t="str">
            <v>CENTRO OPERACIONES CONTABLES 3</v>
          </cell>
        </row>
        <row r="130">
          <cell r="B130" t="str">
            <v>CENTRO OPERACIONES CONTABLES 4</v>
          </cell>
        </row>
        <row r="131">
          <cell r="B131" t="str">
            <v>CENTRO OPERACIONES CONTABLES 5</v>
          </cell>
        </row>
        <row r="132">
          <cell r="B132" t="str">
            <v>CENTRO OPERACIONES SUFI ANTIOQUIA</v>
          </cell>
        </row>
        <row r="133">
          <cell r="B133" t="str">
            <v>CENTRO OPERACIONES SUFI BOGOTA</v>
          </cell>
        </row>
        <row r="134">
          <cell r="B134" t="str">
            <v>CENTRO OPERACIONES SUFI SUR</v>
          </cell>
        </row>
        <row r="135">
          <cell r="B135" t="str">
            <v>CENTRO OPERATIVO DE CAPTACIONES</v>
          </cell>
        </row>
        <row r="136">
          <cell r="B136" t="str">
            <v>CENTRO PARAMETRIZACION - RAZONB CONTABLE</v>
          </cell>
        </row>
        <row r="137">
          <cell r="B137" t="str">
            <v>CENTRO PROCESAMIENTO MEDIOS DE PAGO</v>
          </cell>
        </row>
        <row r="138">
          <cell r="B138" t="str">
            <v>CENTRO PROCESOS MIT</v>
          </cell>
        </row>
        <row r="139">
          <cell r="B139" t="str">
            <v>CENTRO RAZONABILIDAD CLIENTES</v>
          </cell>
        </row>
        <row r="140">
          <cell r="B140" t="str">
            <v>CENTRO RECEPCION GARANTIAS MEDELLIN 2</v>
          </cell>
        </row>
        <row r="141">
          <cell r="B141" t="str">
            <v>CENTRO RECUPERACION ACTIVOS SUFI ANT</v>
          </cell>
        </row>
        <row r="142">
          <cell r="B142" t="str">
            <v>CENTRO RECUPERACION ACTIVOS SUFI BOG</v>
          </cell>
        </row>
        <row r="143">
          <cell r="B143" t="str">
            <v>CENTRO REGIONAL OPERATIVO CARIBE</v>
          </cell>
        </row>
        <row r="144">
          <cell r="B144" t="str">
            <v>CENTRO REQ CSC Y PROCESOS DE APOYO</v>
          </cell>
        </row>
        <row r="145">
          <cell r="B145" t="str">
            <v>CENTRO REQUERIMIENTOS CAPTACIONES  Y COL</v>
          </cell>
        </row>
        <row r="146">
          <cell r="B146" t="str">
            <v>CENTRO REQUERIMIENTOS DE TARJETAS</v>
          </cell>
        </row>
        <row r="147">
          <cell r="B147" t="str">
            <v>CENTRO REQUERIMIENTOS ENTES DE CONTROL</v>
          </cell>
        </row>
        <row r="148">
          <cell r="B148" t="str">
            <v>CENTRO SEGUROS Y CONTABLE</v>
          </cell>
        </row>
        <row r="149">
          <cell r="B149" t="str">
            <v>CENTRO SERVICIO NEGOCIO FIDUCIARIO</v>
          </cell>
        </row>
        <row r="150">
          <cell r="B150" t="str">
            <v>CENTRO SERVICIO REDES</v>
          </cell>
        </row>
        <row r="151">
          <cell r="B151" t="str">
            <v>CENTRO SERVICIOS CHEQUES Y AFC</v>
          </cell>
        </row>
        <row r="152">
          <cell r="B152" t="str">
            <v>CENTRO SERVICIOS VINCULACION VALORES</v>
          </cell>
        </row>
        <row r="153">
          <cell r="B153" t="str">
            <v>CERTIFICACION</v>
          </cell>
        </row>
        <row r="154">
          <cell r="B154" t="str">
            <v>CERTIFICACION 2</v>
          </cell>
        </row>
        <row r="155">
          <cell r="B155" t="str">
            <v>COMERCIO EXTERIOR</v>
          </cell>
        </row>
        <row r="156">
          <cell r="B156" t="str">
            <v>COMERCIO INTERNACIONAL BARRANQUILLA</v>
          </cell>
        </row>
        <row r="157">
          <cell r="B157" t="str">
            <v>COMERCIO INTERNACIONAL BOGOTA</v>
          </cell>
        </row>
        <row r="158">
          <cell r="B158" t="str">
            <v>COMERCIO INTERNACIONAL CALI</v>
          </cell>
        </row>
        <row r="159">
          <cell r="B159" t="str">
            <v>COMERCIO INTERNACIONAL MEDELLIN</v>
          </cell>
        </row>
        <row r="160">
          <cell r="B160" t="str">
            <v>COORDINACION ADMON DE FIDEICOMISOS</v>
          </cell>
        </row>
        <row r="161">
          <cell r="B161" t="str">
            <v>COORDINACION FIDUCIA PRIVADA</v>
          </cell>
        </row>
        <row r="162">
          <cell r="B162" t="str">
            <v>COORDINACION FIDUCIA PRIVADA 1</v>
          </cell>
        </row>
        <row r="163">
          <cell r="B163" t="str">
            <v>COORDINACION FIDUCIA PRIVADA 10</v>
          </cell>
        </row>
        <row r="164">
          <cell r="B164" t="str">
            <v>COORDINACION FIDUCIA PRIVADA 12</v>
          </cell>
        </row>
        <row r="165">
          <cell r="B165" t="str">
            <v>COORDINACION FIDUCIA PRIVADA 13</v>
          </cell>
        </row>
        <row r="166">
          <cell r="B166" t="str">
            <v>COORDINACION FIDUCIA PRIVADA 2</v>
          </cell>
        </row>
        <row r="167">
          <cell r="B167" t="str">
            <v>COORDINACION FIDUCIA PRIVADA 3</v>
          </cell>
        </row>
        <row r="168">
          <cell r="B168" t="str">
            <v>COORDINACION FIDUCIA PRIVADA 4</v>
          </cell>
        </row>
        <row r="169">
          <cell r="B169" t="str">
            <v>COORDINACION FIDUCIA PRIVADA 5</v>
          </cell>
        </row>
        <row r="170">
          <cell r="B170" t="str">
            <v>COORDINACION FIDUCIA PRIVADA 6</v>
          </cell>
        </row>
        <row r="171">
          <cell r="B171" t="str">
            <v>COORDINACION FIDUCIA PRIVADA 7</v>
          </cell>
        </row>
        <row r="172">
          <cell r="B172" t="str">
            <v>COORDINACION FIDUCIA PRIVADA 8</v>
          </cell>
        </row>
        <row r="173">
          <cell r="B173" t="str">
            <v>COORDINACION FIDUCIA PRIVADA 9</v>
          </cell>
        </row>
        <row r="174">
          <cell r="B174" t="str">
            <v>COORDINACION FIDUCIA PUBLICA 1</v>
          </cell>
        </row>
        <row r="175">
          <cell r="B175" t="str">
            <v>COORDINACION FIDUCIA PUBLICA 11</v>
          </cell>
        </row>
        <row r="176">
          <cell r="B176" t="str">
            <v>COORDINACION FIDUCIA PUBLICA 2</v>
          </cell>
        </row>
        <row r="177">
          <cell r="B177" t="str">
            <v>COORDINACION FIDUCIA PUBLICA 3</v>
          </cell>
        </row>
        <row r="178">
          <cell r="B178" t="str">
            <v>COORDINACION FIDUCIA PUBLICA 4</v>
          </cell>
        </row>
        <row r="179">
          <cell r="B179" t="str">
            <v>COORDINACION FIDUCIA PUBLICA 5</v>
          </cell>
        </row>
        <row r="180">
          <cell r="B180" t="str">
            <v>COORDINACION FIDUCIA PUBLICA 6</v>
          </cell>
        </row>
        <row r="181">
          <cell r="B181" t="str">
            <v>COORDINACION FIDUCIA PUBLICA 7</v>
          </cell>
        </row>
        <row r="182">
          <cell r="B182" t="str">
            <v>COORDINACION FIDUCIA PUBLICA 8</v>
          </cell>
        </row>
        <row r="183">
          <cell r="B183" t="str">
            <v>COORDINACION FIDUCIA PUBLICA 9</v>
          </cell>
        </row>
        <row r="184">
          <cell r="B184" t="str">
            <v>COORDINACION INMOBILIARIO BTA</v>
          </cell>
        </row>
        <row r="185">
          <cell r="B185" t="str">
            <v>COORDINACION INMOBILIARIO BTA 1</v>
          </cell>
        </row>
        <row r="186">
          <cell r="B186" t="str">
            <v>COORDINACION INMOBILIARIO BTA 2</v>
          </cell>
        </row>
        <row r="187">
          <cell r="B187" t="str">
            <v>COORDINACION INMOBILIARIO BTA 3</v>
          </cell>
        </row>
        <row r="188">
          <cell r="B188" t="str">
            <v>COORDINACION INMOBILIARIO BTA 4</v>
          </cell>
        </row>
        <row r="189">
          <cell r="B189" t="str">
            <v>COORDINACION INMOBILIARIO MLLIN 1</v>
          </cell>
        </row>
        <row r="190">
          <cell r="B190" t="str">
            <v>COORDINACION INMOBILIARIO MLLIN 2</v>
          </cell>
        </row>
        <row r="191">
          <cell r="B191" t="str">
            <v>COORDINACION OPERACIONES NEGOCIOS ESP 1</v>
          </cell>
        </row>
        <row r="192">
          <cell r="B192" t="str">
            <v>COORDINACION OPERACIONES NEGOCIOS ESP 10</v>
          </cell>
        </row>
        <row r="193">
          <cell r="B193" t="str">
            <v>COORDINACION OPERACIONES NEGOCIOS ESP 11</v>
          </cell>
        </row>
        <row r="194">
          <cell r="B194" t="str">
            <v>COORDINACION OPERACIONES NEGOCIOS ESP 12</v>
          </cell>
        </row>
        <row r="195">
          <cell r="B195" t="str">
            <v>COORDINACION OPERACIONES NEGOCIOS ESP 2</v>
          </cell>
        </row>
        <row r="196">
          <cell r="B196" t="str">
            <v>COORDINACION OPERACIONES NEGOCIOS ESP 3</v>
          </cell>
        </row>
        <row r="197">
          <cell r="B197" t="str">
            <v>COORDINACION OPERACIONES NEGOCIOS ESP 5</v>
          </cell>
        </row>
        <row r="198">
          <cell r="B198" t="str">
            <v>COORDINACION OPERACIONES NEGOCIOS ESP 6</v>
          </cell>
        </row>
        <row r="199">
          <cell r="B199" t="str">
            <v>COORDINACION OPERACIONES NEGOCIOS ESP 7</v>
          </cell>
        </row>
        <row r="200">
          <cell r="B200" t="str">
            <v>COORDINACION OPERACIONES NEGOCIOS ESP 8</v>
          </cell>
        </row>
        <row r="201">
          <cell r="B201" t="str">
            <v>COORDINACION OPERACIONES NEGOCIOS ESP 9</v>
          </cell>
        </row>
        <row r="202">
          <cell r="B202" t="str">
            <v>COORDINACION RECEPCION GARANTIAS BOGOTA</v>
          </cell>
        </row>
        <row r="203">
          <cell r="B203" t="str">
            <v>CREDITO Y CARTERA</v>
          </cell>
        </row>
        <row r="204">
          <cell r="B204" t="str">
            <v>CRM PRODUCTOS</v>
          </cell>
        </row>
        <row r="205">
          <cell r="B205" t="str">
            <v>CRM SERVICIO</v>
          </cell>
        </row>
        <row r="206">
          <cell r="B206" t="str">
            <v>CRM VENTAS</v>
          </cell>
        </row>
        <row r="207">
          <cell r="B207" t="str">
            <v>CTRO DE CREDITO PYME CARIBE, CTRO Y SUR</v>
          </cell>
        </row>
        <row r="208">
          <cell r="B208" t="str">
            <v>DEFINICIONES CONTABLES</v>
          </cell>
        </row>
        <row r="209">
          <cell r="B209" t="str">
            <v>DEFINICIONES CONTABLES FILIALES</v>
          </cell>
        </row>
        <row r="210">
          <cell r="B210" t="str">
            <v>DESARROLLO DE VENDOR</v>
          </cell>
        </row>
        <row r="211">
          <cell r="B211" t="str">
            <v>DIR  BCA INTER Y DLLO DE FLIAL DEL EXT</v>
          </cell>
        </row>
        <row r="212">
          <cell r="B212" t="str">
            <v>DIR FINANCIERA ESTABLECIMIENTOS CREDITO</v>
          </cell>
        </row>
        <row r="213">
          <cell r="B213" t="str">
            <v>DIREC  JURIDICA BANCA DE INVERSION</v>
          </cell>
        </row>
        <row r="214">
          <cell r="B214" t="str">
            <v>DIRECCION  INNOVACION</v>
          </cell>
        </row>
        <row r="215">
          <cell r="B215" t="str">
            <v>DIRECCION  SEGUROS</v>
          </cell>
        </row>
        <row r="216">
          <cell r="B216" t="str">
            <v>DIRECCION ACTIVOS FIJOS E INMOBILIARIOS</v>
          </cell>
        </row>
        <row r="217">
          <cell r="B217" t="str">
            <v>DIRECCION ADMINISTRACION TI</v>
          </cell>
        </row>
        <row r="218">
          <cell r="B218" t="str">
            <v>DIRECCION AUDITORIA AREAS DE NEGOCIO</v>
          </cell>
        </row>
        <row r="219">
          <cell r="B219" t="str">
            <v>DIRECCION CADENA DE ABASTECIMIENTO</v>
          </cell>
        </row>
        <row r="220">
          <cell r="B220" t="str">
            <v>DIRECCION COMUNICACIONES CORPORATIVAS</v>
          </cell>
        </row>
        <row r="221">
          <cell r="B221" t="str">
            <v>DIRECCION CONTABILIDAD</v>
          </cell>
        </row>
        <row r="222">
          <cell r="B222" t="str">
            <v>DIRECCION CONTROL FINANCIERO</v>
          </cell>
        </row>
        <row r="223">
          <cell r="B223" t="str">
            <v>DIRECCION CUMPLIMIENTO</v>
          </cell>
        </row>
        <row r="224">
          <cell r="B224" t="str">
            <v>DIRECCION DE ALIANZAS</v>
          </cell>
        </row>
        <row r="225">
          <cell r="B225" t="str">
            <v>DIRECCION DE CULTURA ORGANIZACIONAL</v>
          </cell>
        </row>
        <row r="226">
          <cell r="B226" t="str">
            <v>DIRECCION DE ESTRATEGIA Y ARQ DE TI</v>
          </cell>
        </row>
        <row r="227">
          <cell r="B227" t="str">
            <v>DIRECCIÓN DE INFRAESTRUCTURA TECNOLOGICA</v>
          </cell>
        </row>
        <row r="228">
          <cell r="B228" t="str">
            <v>DIRECCION DE OPERACIONES FINANCIERAS</v>
          </cell>
        </row>
        <row r="229">
          <cell r="B229" t="str">
            <v>DIRECCION DE PROYECTOS</v>
          </cell>
        </row>
        <row r="230">
          <cell r="B230" t="str">
            <v>DIRECCION DE RELACIONAMIENTO HUMANO</v>
          </cell>
        </row>
        <row r="231">
          <cell r="B231" t="str">
            <v>DIRECCION DE SERVICIOS EMPRESAS Y GOB</v>
          </cell>
        </row>
        <row r="232">
          <cell r="B232" t="str">
            <v>DIRECCION DE SERVICIOS PERSONAS Y PYME</v>
          </cell>
        </row>
        <row r="233">
          <cell r="B233" t="str">
            <v>DIRECCION DE SOLUCIONES DE TI</v>
          </cell>
        </row>
        <row r="234">
          <cell r="B234" t="str">
            <v>DIRECCION DE TARJETAS</v>
          </cell>
        </row>
        <row r="235">
          <cell r="B235" t="str">
            <v>DIRECCION EFICIENCIA</v>
          </cell>
        </row>
        <row r="236">
          <cell r="B236" t="str">
            <v>DIRECCION EQUIPOS CCIALES ESPECIALIZA</v>
          </cell>
        </row>
        <row r="237">
          <cell r="B237" t="str">
            <v>DIRECCION ESTRATEGIA</v>
          </cell>
        </row>
        <row r="238">
          <cell r="B238" t="str">
            <v>DIRECCION ESTRATEGICA DE CANALES</v>
          </cell>
        </row>
        <row r="239">
          <cell r="B239" t="str">
            <v>DIRECCION FINANCIACION Y MONEDA EXTRANJE</v>
          </cell>
        </row>
        <row r="240">
          <cell r="B240" t="str">
            <v>DIRECCION GESTION DE ACTIVOS Y PASIVOS</v>
          </cell>
        </row>
        <row r="241">
          <cell r="B241" t="str">
            <v>DIRECCION GESTION DE LA DEMANDA TI</v>
          </cell>
        </row>
        <row r="242">
          <cell r="B242" t="str">
            <v>DIRECCION GESTOR INT DE SERVICIOS</v>
          </cell>
        </row>
        <row r="243">
          <cell r="B243" t="str">
            <v>DIRECCION IMPLEMENTACION DE SERV ESTRAT</v>
          </cell>
        </row>
        <row r="244">
          <cell r="B244" t="str">
            <v>DIRECCION JURIDICA DE PROCESOS</v>
          </cell>
        </row>
        <row r="245">
          <cell r="B245" t="str">
            <v>DIRECCION JURIDICA FIDU Y  ADMON ACTIVOS</v>
          </cell>
        </row>
        <row r="246">
          <cell r="B246" t="str">
            <v>DIRECCION JURIDICA FIDUCIARIA</v>
          </cell>
        </row>
        <row r="247">
          <cell r="B247" t="str">
            <v>DIRECCION JURIDICA INTERMEDIACION FCIERA</v>
          </cell>
        </row>
        <row r="248">
          <cell r="B248" t="str">
            <v>DIRECCION MANEJO INTEGRAL DE TESORERIA</v>
          </cell>
        </row>
        <row r="249">
          <cell r="B249" t="str">
            <v>DIRECCION MERCADEO INMOBILIARIA Y CONSUM</v>
          </cell>
        </row>
        <row r="250">
          <cell r="B250" t="str">
            <v>DIRECCION NEGOCIOS INTERNACIONALES</v>
          </cell>
        </row>
        <row r="251">
          <cell r="B251" t="str">
            <v>DIRECCION OPERATIVA DE CANALES</v>
          </cell>
        </row>
        <row r="252">
          <cell r="B252" t="str">
            <v>DIRECCION PDTOS MERCADEO Y CANALES MK</v>
          </cell>
        </row>
        <row r="253">
          <cell r="B253" t="str">
            <v>DIRECCION PROC DESCENTRALIZADOS Y CANALE</v>
          </cell>
        </row>
        <row r="254">
          <cell r="B254" t="str">
            <v>DIRECCION PROYECTOS ESPECIALES</v>
          </cell>
        </row>
        <row r="255">
          <cell r="B255" t="str">
            <v>DIRECCION RECUPERACION DE ACTIVOS</v>
          </cell>
        </row>
        <row r="256">
          <cell r="B256" t="str">
            <v>DIRECCION RIESGO BANCA PERSONAS Y PYME</v>
          </cell>
        </row>
        <row r="257">
          <cell r="B257" t="str">
            <v>DIRECCION RIESGO DE MERCADO Y LIQUIDEZ</v>
          </cell>
        </row>
        <row r="258">
          <cell r="B258" t="str">
            <v>DIRECCION RIESGO EMPRESAS Y GOBIERNO</v>
          </cell>
        </row>
        <row r="259">
          <cell r="B259" t="str">
            <v>DIRECCION RIESGO OPERACIONAL</v>
          </cell>
        </row>
        <row r="260">
          <cell r="B260" t="str">
            <v>DIRECCION RIESGOS INTER Y ANALISIS CUANT</v>
          </cell>
        </row>
        <row r="261">
          <cell r="B261" t="str">
            <v>DIRECCION SEG DE PERSONAS Y PYMES</v>
          </cell>
        </row>
        <row r="262">
          <cell r="B262" t="str">
            <v>DIRECCION SEGMENTO PERSONAS</v>
          </cell>
        </row>
        <row r="263">
          <cell r="B263" t="str">
            <v>DIRECCION SEGMENTO PYME GOBIERNO Y RED</v>
          </cell>
        </row>
        <row r="264">
          <cell r="B264" t="str">
            <v>DIRECCION SEGMENTO PYME Y GOBIERNO RED</v>
          </cell>
        </row>
        <row r="265">
          <cell r="B265" t="str">
            <v>DIRECCION SEGMENTOS BCA EMPRL Y GOB</v>
          </cell>
        </row>
        <row r="266">
          <cell r="B266" t="str">
            <v>DIRECCION SEGURIDAD BANCARIA</v>
          </cell>
        </row>
        <row r="267">
          <cell r="B267" t="str">
            <v>DIRECCION SEGURIDAD CORPORATIVA</v>
          </cell>
        </row>
        <row r="268">
          <cell r="B268" t="str">
            <v>DIRECCION SERV DESCENTRALIZADOS Y CANALE</v>
          </cell>
        </row>
        <row r="269">
          <cell r="B269" t="str">
            <v>DIRECCION SERV ORIGINACION CREDITOS</v>
          </cell>
        </row>
        <row r="270">
          <cell r="B270" t="str">
            <v>DIRECCION SERVICIOS DE CERTIFICACION TI</v>
          </cell>
        </row>
        <row r="271">
          <cell r="B271" t="str">
            <v>DIRECCION SERVICIOS DE DESARROLLO DE TI</v>
          </cell>
        </row>
        <row r="272">
          <cell r="B272" t="str">
            <v>DIRECCION SERVICIOS DE MERCADEO BPP</v>
          </cell>
        </row>
        <row r="273">
          <cell r="B273" t="str">
            <v>DIRECCION SERVICIOS LOGISTICOS Y ADMON</v>
          </cell>
        </row>
        <row r="274">
          <cell r="B274" t="str">
            <v>DIRECCION SERVICIOS PARA MERC CAPITALES</v>
          </cell>
        </row>
        <row r="275">
          <cell r="B275" t="str">
            <v>DIRECCION SERVS ESPECIALIZADOS DE APOYO</v>
          </cell>
        </row>
        <row r="276">
          <cell r="B276" t="str">
            <v>DIRECCION SOLUC Y CONSOLIDACION CREDICIA</v>
          </cell>
        </row>
        <row r="277">
          <cell r="B277" t="str">
            <v>DIRECCION SOLUCION ACTIVOS</v>
          </cell>
        </row>
        <row r="278">
          <cell r="B278" t="str">
            <v>DISTRIBUCION Y VENTAS</v>
          </cell>
        </row>
        <row r="279">
          <cell r="B279" t="str">
            <v>ENLACE APARTADO</v>
          </cell>
        </row>
        <row r="280">
          <cell r="B280" t="str">
            <v>ENLACE ARMENIA</v>
          </cell>
        </row>
        <row r="281">
          <cell r="B281" t="str">
            <v>ENLACE BUCARAMANGA</v>
          </cell>
        </row>
        <row r="282">
          <cell r="B282" t="str">
            <v>ENLACE CARTAGENA</v>
          </cell>
        </row>
        <row r="283">
          <cell r="B283" t="str">
            <v>ENLACE CUCUTA</v>
          </cell>
        </row>
        <row r="284">
          <cell r="B284" t="str">
            <v>ENLACE IBAGUE</v>
          </cell>
        </row>
        <row r="285">
          <cell r="B285" t="str">
            <v>ENLACE MANIZALES</v>
          </cell>
        </row>
        <row r="286">
          <cell r="B286" t="str">
            <v>ENLACE MONTERIA</v>
          </cell>
        </row>
        <row r="287">
          <cell r="B287" t="str">
            <v>ENLACE NEIVA</v>
          </cell>
        </row>
        <row r="288">
          <cell r="B288" t="str">
            <v>ENLACE PASTO</v>
          </cell>
        </row>
        <row r="289">
          <cell r="B289" t="str">
            <v>ENLACE PEREIRA</v>
          </cell>
        </row>
        <row r="290">
          <cell r="B290" t="str">
            <v>ENLACE SANTA MARTA</v>
          </cell>
        </row>
        <row r="291">
          <cell r="B291" t="str">
            <v>ENLACE VALLEDUPAR</v>
          </cell>
        </row>
        <row r="292">
          <cell r="B292" t="str">
            <v>ENLACE VILLAVICENCIO</v>
          </cell>
        </row>
        <row r="293">
          <cell r="B293" t="str">
            <v>EXPATRIADOS</v>
          </cell>
        </row>
        <row r="294">
          <cell r="B294" t="str">
            <v>EXPATRIADOS FILIALES DEL EXT BANCOLOMBIA</v>
          </cell>
        </row>
        <row r="295">
          <cell r="B295" t="str">
            <v>FACTORING</v>
          </cell>
        </row>
        <row r="296">
          <cell r="B296" t="str">
            <v>FRENTE CLIENTES</v>
          </cell>
        </row>
        <row r="297">
          <cell r="B297" t="str">
            <v>FRENTE FINANCIERO Y CONTABLE</v>
          </cell>
        </row>
        <row r="298">
          <cell r="B298" t="str">
            <v>FRENTE PRODUCTOS Y CANALES</v>
          </cell>
        </row>
        <row r="299">
          <cell r="B299" t="str">
            <v>FRENTE SOPORTE Y APOYO</v>
          </cell>
        </row>
        <row r="300">
          <cell r="B300" t="str">
            <v>FRENTE TARJETAS</v>
          </cell>
        </row>
        <row r="301">
          <cell r="B301" t="str">
            <v>GCA GESTION DE COSTOS Y GASTOS</v>
          </cell>
        </row>
        <row r="302">
          <cell r="B302" t="str">
            <v>GCIA</v>
          </cell>
        </row>
        <row r="303">
          <cell r="B303" t="str">
            <v>GCIA  AGENCIA MED BCA PYMES</v>
          </cell>
        </row>
        <row r="304">
          <cell r="B304" t="str">
            <v>GCIA  ARQ DE PROCESOS Y METODOLOGIAS</v>
          </cell>
        </row>
        <row r="305">
          <cell r="B305" t="str">
            <v>GCIA  ASIGNACION DE CAPITAL</v>
          </cell>
        </row>
        <row r="306">
          <cell r="B306" t="str">
            <v>GCIA  COMERCIAL PYME PEQUEÑO ANT</v>
          </cell>
        </row>
        <row r="307">
          <cell r="B307" t="str">
            <v>GCIA  COMERCIAL PYME PEQUEÑO BOGOTA</v>
          </cell>
        </row>
        <row r="308">
          <cell r="B308" t="str">
            <v>GCIA  DE COMPENSACION VARIABLE</v>
          </cell>
        </row>
        <row r="309">
          <cell r="B309" t="str">
            <v>GCIA  DE NEGOCIOS PRODUCTOS</v>
          </cell>
        </row>
        <row r="310">
          <cell r="B310" t="str">
            <v>GCIA  GEST INT DE SERV CONSUMO ESP</v>
          </cell>
        </row>
        <row r="311">
          <cell r="B311" t="str">
            <v>GCIA  GEST INT DE SERV PYME</v>
          </cell>
        </row>
        <row r="312">
          <cell r="B312" t="str">
            <v>GCIA  RELACIONAMIENTO HUMANO REGION BGTA</v>
          </cell>
        </row>
        <row r="313">
          <cell r="B313" t="str">
            <v>GCIA  SERVICIOS AL EMPLEADO</v>
          </cell>
        </row>
        <row r="314">
          <cell r="B314" t="str">
            <v>GCIA  SOX</v>
          </cell>
        </row>
        <row r="315">
          <cell r="B315" t="str">
            <v>GCIA 20F CONSOLIDACION Y USGAAP</v>
          </cell>
        </row>
        <row r="316">
          <cell r="B316" t="str">
            <v>GCIA ACCIONES BOGOTA</v>
          </cell>
        </row>
        <row r="317">
          <cell r="B317" t="str">
            <v>GCIA ACCIONES CARIBE</v>
          </cell>
        </row>
        <row r="318">
          <cell r="B318" t="str">
            <v>GCIA ACCIONES MEDELLIN</v>
          </cell>
        </row>
        <row r="319">
          <cell r="B319" t="str">
            <v>GCIA ACCIONES SUR</v>
          </cell>
        </row>
        <row r="320">
          <cell r="B320" t="str">
            <v>GCIA ADMINISTRACION ACTIVOS DE TESORIA</v>
          </cell>
        </row>
        <row r="321">
          <cell r="B321" t="str">
            <v>GCIA ADMINISTRACION DE ACTIVOS</v>
          </cell>
        </row>
        <row r="322">
          <cell r="B322" t="str">
            <v>GCIA ADMO NEG FIDU  BOGOTA Y CENTRO</v>
          </cell>
        </row>
        <row r="323">
          <cell r="B323" t="str">
            <v>GCIA ADMO NEG FIDU ANTIOQUIA Y SUR</v>
          </cell>
        </row>
        <row r="324">
          <cell r="B324" t="str">
            <v>GCIA ALIADOS Y DESARROLLO</v>
          </cell>
        </row>
        <row r="325">
          <cell r="B325" t="str">
            <v>GCIA ALIANZAS</v>
          </cell>
        </row>
        <row r="326">
          <cell r="B326" t="str">
            <v>GCIA ANALISIS CUANTITATIVO</v>
          </cell>
        </row>
        <row r="327">
          <cell r="B327" t="str">
            <v>GCIA ANALISIS CUANTITATIVO ADMON ACTIVOS</v>
          </cell>
        </row>
        <row r="328">
          <cell r="B328" t="str">
            <v>GCIA ANALISIS Y DESARROLLO DE SOLUCION</v>
          </cell>
        </row>
        <row r="329">
          <cell r="B329" t="str">
            <v>GCIA ANALISIS Y PROSPECCION</v>
          </cell>
        </row>
        <row r="330">
          <cell r="B330" t="str">
            <v>GCIA ANALITICO DE PERSONAS</v>
          </cell>
        </row>
        <row r="331">
          <cell r="B331" t="str">
            <v>GCIA ARQUITECTURA DE LA SOLUCION</v>
          </cell>
        </row>
        <row r="332">
          <cell r="B332" t="str">
            <v>GCIA AUDI DE PP ANTIOQUIA CARIBE SUR</v>
          </cell>
        </row>
        <row r="333">
          <cell r="B333" t="str">
            <v>GCIA AUDIT GOB DESARROLLO DE SERVICIOS T</v>
          </cell>
        </row>
        <row r="334">
          <cell r="B334" t="str">
            <v>GCIA AUDITORIA  INTERNACIONAL</v>
          </cell>
        </row>
        <row r="335">
          <cell r="B335" t="str">
            <v>GCIA AUDITORIA ADMINISTRACION DE ACTIVOS</v>
          </cell>
        </row>
        <row r="336">
          <cell r="B336" t="str">
            <v>GCIA AUDITORIA ADMON COBRZA DE CARTERA</v>
          </cell>
        </row>
        <row r="337">
          <cell r="B337" t="str">
            <v>GCIA AUDITORIA DE CRED BCA HIPT Y PNAL</v>
          </cell>
        </row>
        <row r="338">
          <cell r="B338" t="str">
            <v>GCIA AUDITORIA DE CRED CCIO INTERNACIONA</v>
          </cell>
        </row>
        <row r="339">
          <cell r="B339" t="str">
            <v>GCIA AUDITORIA DE CREDITO</v>
          </cell>
        </row>
        <row r="340">
          <cell r="B340" t="str">
            <v>GCIA AUDITORIA DE CUMPLIMIENTO</v>
          </cell>
        </row>
        <row r="341">
          <cell r="B341" t="str">
            <v>GCIA AUDITORIA DE FUNCIONES CORPORATIVAS</v>
          </cell>
        </row>
        <row r="342">
          <cell r="B342" t="str">
            <v>GCIA AUDITORIA DE GTION DE SEGURIDAD TI</v>
          </cell>
        </row>
        <row r="343">
          <cell r="B343" t="str">
            <v>GCIA AUDITORIA DE INVERSIONES</v>
          </cell>
        </row>
        <row r="344">
          <cell r="B344" t="str">
            <v>GCIA AUDITORIA DE SUCURSALES BOG Y CTRO</v>
          </cell>
        </row>
        <row r="345">
          <cell r="B345" t="str">
            <v>GCIA AUDITORIA EMPRESAS Y GOBIERNO</v>
          </cell>
        </row>
        <row r="346">
          <cell r="B346" t="str">
            <v>GCIA AUDITORIA FINANCIERA Y TRIBUTARIA</v>
          </cell>
        </row>
        <row r="347">
          <cell r="B347" t="str">
            <v>GCIA AUDITORIA INMOBILIARIA Y CONSUMO ES</v>
          </cell>
        </row>
        <row r="348">
          <cell r="B348" t="str">
            <v>GCIA AUDITORIA INTERNA FIDUCIARIA</v>
          </cell>
        </row>
        <row r="349">
          <cell r="B349" t="str">
            <v>GCIA AUDITORIA MERCADO DE CAPITALES</v>
          </cell>
        </row>
        <row r="350">
          <cell r="B350" t="str">
            <v>GCIA AUDITORIA PERSONAS Y PYMES</v>
          </cell>
        </row>
        <row r="351">
          <cell r="B351" t="str">
            <v>GCIA AUDITORIA RIESGO DE CREDITO</v>
          </cell>
        </row>
        <row r="352">
          <cell r="B352" t="str">
            <v>GCIA AUDITORIA TECNOLOGIA</v>
          </cell>
        </row>
        <row r="353">
          <cell r="B353" t="str">
            <v>GCIA BANCA COLOMBIA Y PREFERENCIAL ANT</v>
          </cell>
        </row>
        <row r="354">
          <cell r="B354" t="str">
            <v>GCIA BANCA COLOMBIA Y PREFERENCIAL BOG</v>
          </cell>
        </row>
        <row r="355">
          <cell r="B355" t="str">
            <v>GCIA BANCA COLOMBIA Y PREFERENCIAL INT</v>
          </cell>
        </row>
        <row r="356">
          <cell r="B356" t="str">
            <v>GCIA BANCA COLOMBIA Y PREFERENCIAL NORTE</v>
          </cell>
        </row>
        <row r="357">
          <cell r="B357" t="str">
            <v>GCIA BANCA COLOMBIA Y PREFERENCIAL SUR</v>
          </cell>
        </row>
        <row r="358">
          <cell r="B358" t="str">
            <v>GCIA BANCA EMPRESARIAL REGION ANTIOQUIA</v>
          </cell>
        </row>
        <row r="359">
          <cell r="B359" t="str">
            <v>GCIA BANCA EMPRESARIAL REGION CARIBE</v>
          </cell>
        </row>
        <row r="360">
          <cell r="B360" t="str">
            <v>GCIA BANCA EMPRESARIAL REGION SUR</v>
          </cell>
        </row>
        <row r="361">
          <cell r="B361" t="str">
            <v>GCIA BANCA PRIVADA CARTAGENA</v>
          </cell>
        </row>
        <row r="362">
          <cell r="B362" t="str">
            <v>GCIA BASE DE DATOS</v>
          </cell>
        </row>
        <row r="363">
          <cell r="B363" t="str">
            <v>GCIA BCA COL. PREF. CIUDADES INTERMEDIAS</v>
          </cell>
        </row>
        <row r="364">
          <cell r="B364" t="str">
            <v>GCIA BE REG BOGOTA ZONA 1</v>
          </cell>
        </row>
        <row r="365">
          <cell r="B365" t="str">
            <v>GCIA BE REG BOGOTA ZONA 2</v>
          </cell>
        </row>
        <row r="366">
          <cell r="B366" t="str">
            <v>GCIA BE REG BOGOTA ZONA 3</v>
          </cell>
        </row>
        <row r="367">
          <cell r="B367" t="str">
            <v>GCIA BE REGION ANTIOQUIA ZONA 1</v>
          </cell>
        </row>
        <row r="368">
          <cell r="B368" t="str">
            <v>GCIA BE REGION ANTIOQUIA ZONA 2</v>
          </cell>
        </row>
        <row r="369">
          <cell r="B369" t="str">
            <v>GCIA CALIDAD DE VIDA</v>
          </cell>
        </row>
        <row r="370">
          <cell r="B370" t="str">
            <v>GCIA CALIDAD DE VIDA SUR</v>
          </cell>
        </row>
        <row r="371">
          <cell r="B371" t="str">
            <v>GCIA CANALES ATENCION A DISTANCIA</v>
          </cell>
        </row>
        <row r="372">
          <cell r="B372" t="str">
            <v>GCIA CANALES EN INTERNET</v>
          </cell>
        </row>
        <row r="373">
          <cell r="B373" t="str">
            <v>GCIA CANALES INDIRECTOS</v>
          </cell>
        </row>
        <row r="374">
          <cell r="B374" t="str">
            <v>GCIA CANALES Y SERVICIOS</v>
          </cell>
        </row>
        <row r="375">
          <cell r="B375" t="str">
            <v>GCIA CCIAL COLOMBIANOS EN EL EXTERIOR</v>
          </cell>
        </row>
        <row r="376">
          <cell r="B376" t="str">
            <v>GCIA CCIAL DE COLECTIVOS</v>
          </cell>
        </row>
        <row r="377">
          <cell r="B377" t="str">
            <v>GCIA CCIAL DE PERSONAS NATURALES BOGOTA</v>
          </cell>
        </row>
        <row r="378">
          <cell r="B378" t="str">
            <v>GCIA CCIAL DE PERSONAS NATURALES MED</v>
          </cell>
        </row>
        <row r="379">
          <cell r="B379" t="str">
            <v>GCIA CCIAL EMPRESAS ANTIOQUIA Y BCA PRIV</v>
          </cell>
        </row>
        <row r="380">
          <cell r="B380" t="str">
            <v>GCIA CCIAL EMPRESAS BOGOTA Y CENTRO</v>
          </cell>
        </row>
        <row r="381">
          <cell r="B381" t="str">
            <v>GCIA CCIAL EMPRESAS CARIBE</v>
          </cell>
        </row>
        <row r="382">
          <cell r="B382" t="str">
            <v>GCIA CCIAL EMPRESAS SUR</v>
          </cell>
        </row>
        <row r="383">
          <cell r="B383" t="str">
            <v>GCIA CCIAL EQUIPOS ESPECIALIZA BOGOTA 2</v>
          </cell>
        </row>
        <row r="384">
          <cell r="B384" t="str">
            <v>GCIA CCIAL EQUIPOS ESPECIALIZADOS ANT</v>
          </cell>
        </row>
        <row r="385">
          <cell r="B385" t="str">
            <v>GCIA CCIAL EQUIPOS ESPECIALIZADOS BOGOTA</v>
          </cell>
        </row>
        <row r="386">
          <cell r="B386" t="str">
            <v>GCIA CCIAL EQUIPOS ESPECIALIZADOS CARIBE</v>
          </cell>
        </row>
        <row r="387">
          <cell r="B387" t="str">
            <v>GCIA CCIAL EQUIPOS ESPECIALIZADOS CENTRO</v>
          </cell>
        </row>
        <row r="388">
          <cell r="B388" t="str">
            <v>GCIA CCIAL EQUIPOS ESPECIALIZADOS SUR</v>
          </cell>
        </row>
        <row r="389">
          <cell r="B389" t="str">
            <v>GCIA CCIAL HIPOTECARIA ANTIOQUIA</v>
          </cell>
        </row>
        <row r="390">
          <cell r="B390" t="str">
            <v>GCIA CCIAL HIPOTECARIA BARRANQUILLA</v>
          </cell>
        </row>
        <row r="391">
          <cell r="B391" t="str">
            <v>GCIA CCIAL HIPOTECARIA BOGOTA</v>
          </cell>
        </row>
        <row r="392">
          <cell r="B392" t="str">
            <v>GCIA CCIAL HIPOTECARIA CALI</v>
          </cell>
        </row>
        <row r="393">
          <cell r="B393" t="str">
            <v>GCIA CCIAL HIPOTECARIA CENTRO</v>
          </cell>
        </row>
        <row r="394">
          <cell r="B394" t="str">
            <v>GCIA CCIAL HIPOTECARIA PERSONAS</v>
          </cell>
        </row>
        <row r="395">
          <cell r="B395" t="str">
            <v>GCIA CCIAL MI NEGOCIO</v>
          </cell>
        </row>
        <row r="396">
          <cell r="B396" t="str">
            <v>GCIA CCIAL MI NEGOCIO ANTIOQUIA Y CENTRO</v>
          </cell>
        </row>
        <row r="397">
          <cell r="B397" t="str">
            <v>GCIA CCIAL MI NEGOCIO BOGOTA</v>
          </cell>
        </row>
        <row r="398">
          <cell r="B398" t="str">
            <v>GCIA CCIAL MI NEGOCIO BOGOTA Y CENTRO</v>
          </cell>
        </row>
        <row r="399">
          <cell r="B399" t="str">
            <v>GCIA CCIAL MI NEGOCIO CARIBE</v>
          </cell>
        </row>
        <row r="400">
          <cell r="B400" t="str">
            <v>GCIA CCIAL MI NEGOCIO SUR</v>
          </cell>
        </row>
        <row r="401">
          <cell r="B401" t="str">
            <v>GCIA CCIAL PANAMA Y BRASIL</v>
          </cell>
        </row>
        <row r="402">
          <cell r="B402" t="str">
            <v>GCIA CCIAL SUFI ANTIOQUIA</v>
          </cell>
        </row>
        <row r="403">
          <cell r="B403" t="str">
            <v>GCIA CCIAL SUFI BOGOTA</v>
          </cell>
        </row>
        <row r="404">
          <cell r="B404" t="str">
            <v>GCIA CCIAL SUFI CARIBE</v>
          </cell>
        </row>
        <row r="405">
          <cell r="B405" t="str">
            <v>GCIA CCIAL SUFI CENTRO</v>
          </cell>
        </row>
        <row r="406">
          <cell r="B406" t="str">
            <v>GCIA CCIAL SUFI SUR</v>
          </cell>
        </row>
        <row r="407">
          <cell r="B407" t="str">
            <v>GCIA CLIENTES PERSONAS</v>
          </cell>
        </row>
        <row r="408">
          <cell r="B408" t="str">
            <v>GCIA COLOMBIANOS EN EL EXTER</v>
          </cell>
        </row>
        <row r="409">
          <cell r="B409" t="str">
            <v>GCIA COMERCIAL  ADMIN FONDO INMOBILIARIO</v>
          </cell>
        </row>
        <row r="410">
          <cell r="B410" t="str">
            <v>GCIA COMERCIAL  PYME ZONA NORTE</v>
          </cell>
        </row>
        <row r="411">
          <cell r="B411" t="str">
            <v>GCIA COMERCIAL ANTIOQUIA SUR Y CARIBE</v>
          </cell>
        </row>
        <row r="412">
          <cell r="B412" t="str">
            <v>GCIA COMERCIAL ANTIOQUIA ZONA CENTRO</v>
          </cell>
        </row>
        <row r="413">
          <cell r="B413" t="str">
            <v>GCIA COMERCIAL ANTIOQUIA ZONA SUR</v>
          </cell>
        </row>
        <row r="414">
          <cell r="B414" t="str">
            <v>GCIA COMERCIAL BUCARAMANGA</v>
          </cell>
        </row>
        <row r="415">
          <cell r="B415" t="str">
            <v>GCIA COMERCIAL CALI NORTE Y CALI SUR</v>
          </cell>
        </row>
        <row r="416">
          <cell r="B416" t="str">
            <v>GCIA COMERCIAL CALI SUR DEL VALLE</v>
          </cell>
        </row>
        <row r="417">
          <cell r="B417" t="str">
            <v>GCIA COMERCIAL CUCUTA</v>
          </cell>
        </row>
        <row r="418">
          <cell r="B418" t="str">
            <v>GCIA COMERCIAL DE CANALES ALTERNOS</v>
          </cell>
        </row>
        <row r="419">
          <cell r="B419" t="str">
            <v>GCIA COMERCIAL DE PERSONAS NATURALES</v>
          </cell>
        </row>
        <row r="420">
          <cell r="B420" t="str">
            <v>GCIA COMERCIAL DUITAMA</v>
          </cell>
        </row>
        <row r="421">
          <cell r="B421" t="str">
            <v>GCIA COMERCIAL IBAGUE</v>
          </cell>
        </row>
        <row r="422">
          <cell r="B422" t="str">
            <v>GCIA COMERCIAL INTERNACIONAL</v>
          </cell>
        </row>
        <row r="423">
          <cell r="B423" t="str">
            <v>GCIA COMERCIAL MANIZALEZ</v>
          </cell>
        </row>
        <row r="424">
          <cell r="B424" t="str">
            <v>GCIA COMERCIAL MEDIOS DE PAGO</v>
          </cell>
        </row>
        <row r="425">
          <cell r="B425" t="str">
            <v>GCIA COMERCIAL NEIVA</v>
          </cell>
        </row>
        <row r="426">
          <cell r="B426" t="str">
            <v>GCIA COMERCIAL NORTE</v>
          </cell>
        </row>
        <row r="427">
          <cell r="B427" t="str">
            <v>GCIA COMERCIAL PASTO</v>
          </cell>
        </row>
        <row r="428">
          <cell r="B428" t="str">
            <v>GCIA COMERCIAL PEREIRA</v>
          </cell>
        </row>
        <row r="429">
          <cell r="B429" t="str">
            <v>GCIA COMERCIAL PERIFERICA</v>
          </cell>
        </row>
        <row r="430">
          <cell r="B430" t="str">
            <v>GCIA COMERCIAL POBLADO</v>
          </cell>
        </row>
        <row r="431">
          <cell r="B431" t="str">
            <v>GCIA COMERCIAL PYME 1</v>
          </cell>
        </row>
        <row r="432">
          <cell r="B432" t="str">
            <v>GCIA COMERCIAL PYME 2</v>
          </cell>
        </row>
        <row r="433">
          <cell r="B433" t="str">
            <v>GCIA COMERCIAL PYME 3</v>
          </cell>
        </row>
        <row r="434">
          <cell r="B434" t="str">
            <v>GCIA COMERCIAL PYME 4</v>
          </cell>
        </row>
        <row r="435">
          <cell r="B435" t="str">
            <v>GCIA COMERCIAL PYME CARTAGENA</v>
          </cell>
        </row>
        <row r="436">
          <cell r="B436" t="str">
            <v>GCIA COMERCIAL PYME ESPECIALIZADO CALI</v>
          </cell>
        </row>
        <row r="437">
          <cell r="B437" t="str">
            <v>GCIA COMERCIAL PYME ZONA SINU Y SABANAS</v>
          </cell>
        </row>
        <row r="438">
          <cell r="B438" t="str">
            <v>GCIA COMERCIAL SEGUROS</v>
          </cell>
        </row>
        <row r="439">
          <cell r="B439" t="str">
            <v>GCIA COMERCIAL VILLAVICENCIO</v>
          </cell>
        </row>
        <row r="440">
          <cell r="B440" t="str">
            <v>GCIA COMPENSACION Y REGISTRO</v>
          </cell>
        </row>
        <row r="441">
          <cell r="B441" t="str">
            <v>GCIA COMPLIANCE ESTRATEGICO</v>
          </cell>
        </row>
        <row r="442">
          <cell r="B442" t="str">
            <v>GCIA COMPLIANCE MESA DE DINERO</v>
          </cell>
        </row>
        <row r="443">
          <cell r="B443" t="str">
            <v>GCIA COMUNICACIONES BOGOTA</v>
          </cell>
        </row>
        <row r="444">
          <cell r="B444" t="str">
            <v>GCIA CONOCIMIENTO DEL CLIENTE</v>
          </cell>
        </row>
        <row r="445">
          <cell r="B445" t="str">
            <v>GCIA CONOCIMIENTO SECTORIAL Y ANALITICO</v>
          </cell>
        </row>
        <row r="446">
          <cell r="B446" t="str">
            <v>GCIA CONSOLIDACION IFRS Y USGAAP</v>
          </cell>
        </row>
        <row r="447">
          <cell r="B447" t="str">
            <v>GCIA CONTABILIDAD FIDUCIARIA</v>
          </cell>
        </row>
        <row r="448">
          <cell r="B448" t="str">
            <v>GCIA CONTABLE ADMINISTRATIVA</v>
          </cell>
        </row>
        <row r="449">
          <cell r="B449" t="str">
            <v>GCIA CONTRATACION Y COMPRAS</v>
          </cell>
        </row>
        <row r="450">
          <cell r="B450" t="str">
            <v>GCIA CONTROL FINANCIERO LEASING</v>
          </cell>
        </row>
        <row r="451">
          <cell r="B451" t="str">
            <v>GCIA CORRESPONSALES</v>
          </cell>
        </row>
        <row r="452">
          <cell r="B452" t="str">
            <v>GCIA CORRESPONSALES NO BANCARIOS</v>
          </cell>
        </row>
        <row r="453">
          <cell r="B453" t="str">
            <v>GCIA CRM ANALITICO BEG</v>
          </cell>
        </row>
        <row r="454">
          <cell r="B454" t="str">
            <v>GCIA CUANTIFICACION DE RIESGO</v>
          </cell>
        </row>
        <row r="455">
          <cell r="B455" t="str">
            <v>GCIA CUMPLIMIENTO EMPRESAS Y GOBIERNO</v>
          </cell>
        </row>
        <row r="456">
          <cell r="B456" t="str">
            <v>GCIA CUMPLIMIENTO INTERNACIONAL</v>
          </cell>
        </row>
        <row r="457">
          <cell r="B457" t="str">
            <v>GCIA CUMPLIMIENTO MERCADO CAPITALES</v>
          </cell>
        </row>
        <row r="458">
          <cell r="B458" t="str">
            <v>GCIA CUMPLIMIENTO PERSONAS  Y CANALES</v>
          </cell>
        </row>
        <row r="459">
          <cell r="B459" t="str">
            <v>GCIA CUMPLIMIENTO PP INMOBILIARIO Y CONS</v>
          </cell>
        </row>
        <row r="460">
          <cell r="B460" t="str">
            <v>GCIA CUMPLIMIENTO PYMES INMOBILIARIO</v>
          </cell>
        </row>
        <row r="461">
          <cell r="B461" t="str">
            <v>GCIA DE ACEPTACION DE MEDIOS DE PAGO</v>
          </cell>
        </row>
        <row r="462">
          <cell r="B462" t="str">
            <v>GCIA DE APOYO A USUARIOS DE TI</v>
          </cell>
        </row>
        <row r="463">
          <cell r="B463" t="str">
            <v>GCIA DE APOYO AL NEGOCIO PGC</v>
          </cell>
        </row>
        <row r="464">
          <cell r="B464" t="str">
            <v>GCIA DE ARRENDAMIENTO Y RENTING</v>
          </cell>
        </row>
        <row r="465">
          <cell r="B465" t="str">
            <v>GCIA DE ASESORIA EN COMUNICACIONES</v>
          </cell>
        </row>
        <row r="466">
          <cell r="B466" t="str">
            <v>GCIA DE ATENCION AL CLIENTE</v>
          </cell>
        </row>
        <row r="467">
          <cell r="B467" t="str">
            <v>GCIA DE CANALES MERCADO DE CAPITALES</v>
          </cell>
        </row>
        <row r="468">
          <cell r="B468" t="str">
            <v>GCIA DE CANALES MOVILES</v>
          </cell>
        </row>
        <row r="469">
          <cell r="B469" t="str">
            <v>GCIA DE COMPENSACION E INCENTIVOS</v>
          </cell>
        </row>
        <row r="470">
          <cell r="B470" t="str">
            <v>GCIA DE CONTENIDOS</v>
          </cell>
        </row>
        <row r="471">
          <cell r="B471" t="str">
            <v>GCIA DE CONTINUIDAD DE TI</v>
          </cell>
        </row>
        <row r="472">
          <cell r="B472" t="str">
            <v>GCIA DE CREDITO CONSTRUCTORES</v>
          </cell>
        </row>
        <row r="473">
          <cell r="B473" t="str">
            <v>GCIA DE CREDITO EMPRENDEDOR</v>
          </cell>
        </row>
        <row r="474">
          <cell r="B474" t="str">
            <v>GCIA DE CRÉDITO EMPRENDEDOR</v>
          </cell>
        </row>
        <row r="475">
          <cell r="B475" t="str">
            <v>GCIA DE CREDITO GOBIERNO E INST</v>
          </cell>
        </row>
        <row r="476">
          <cell r="B476" t="str">
            <v>GCIA DE CREDITO HIPOTECARIO</v>
          </cell>
        </row>
        <row r="477">
          <cell r="B477" t="str">
            <v>GCIA DE CREDITO INTERNACIONAL</v>
          </cell>
        </row>
        <row r="478">
          <cell r="B478" t="str">
            <v>GCIA DE CREDITO PYME ANT Y BOG</v>
          </cell>
        </row>
        <row r="479">
          <cell r="B479" t="str">
            <v>GCIA DE CREDITO SUFI</v>
          </cell>
        </row>
        <row r="480">
          <cell r="B480" t="str">
            <v>GCIA DE DEFINICIONES CONTABLES CORPORATI</v>
          </cell>
        </row>
        <row r="481">
          <cell r="B481" t="str">
            <v>GCIA DE DISEÑO ORGANIZACIONAL</v>
          </cell>
        </row>
        <row r="482">
          <cell r="B482" t="str">
            <v>GCIA DE EJECUCION</v>
          </cell>
        </row>
        <row r="483">
          <cell r="B483" t="str">
            <v>GCIA DE EJECUCION ESTRATEGICA</v>
          </cell>
        </row>
        <row r="484">
          <cell r="B484" t="str">
            <v>GCIA DE ESTRATEGIA Y ARQ DE INF DE TI</v>
          </cell>
        </row>
        <row r="485">
          <cell r="B485" t="str">
            <v>GCIA DE ESTRATEGIA Y ARQ EMPRESARIAL</v>
          </cell>
        </row>
        <row r="486">
          <cell r="B486" t="str">
            <v>GCIA DE ESTRUCTURACION Y DLLO PDTOS SUFI</v>
          </cell>
        </row>
        <row r="487">
          <cell r="B487" t="str">
            <v>GCIA DE FONDOS E INGENIERIA FINANCIERA</v>
          </cell>
        </row>
        <row r="488">
          <cell r="B488" t="str">
            <v>GCIA DE GERENCIAMIENTO CENTRALIZADO ANT</v>
          </cell>
        </row>
        <row r="489">
          <cell r="B489" t="str">
            <v>GCIA DE GERENCIAMIENTO CENTRALIZADO ANT2</v>
          </cell>
        </row>
        <row r="490">
          <cell r="B490" t="str">
            <v>GCIA DE GERENCIAMIENTO CENTRALIZADO SUR</v>
          </cell>
        </row>
        <row r="491">
          <cell r="B491" t="str">
            <v>GCIA DE GESTION AMBIENTAL</v>
          </cell>
        </row>
        <row r="492">
          <cell r="B492" t="str">
            <v>GCIA DE GESTION DE CANALES Y SERVICIO</v>
          </cell>
        </row>
        <row r="493">
          <cell r="B493" t="str">
            <v>GCIA DE GESTION DE FORMACION Y ENTRENAM</v>
          </cell>
        </row>
        <row r="494">
          <cell r="B494" t="str">
            <v>GCIA DE GESTION DE INFRAESTRUCTURA</v>
          </cell>
        </row>
        <row r="495">
          <cell r="B495" t="str">
            <v>GCIA DE GESTION MERCADO CAPITALES</v>
          </cell>
        </row>
        <row r="496">
          <cell r="B496" t="str">
            <v>GCIA DE GOBIERNO PYME REG ANTIOQUIA</v>
          </cell>
        </row>
        <row r="497">
          <cell r="B497" t="str">
            <v>GCIA DE GOBIERNO PYME REGION CENTRO 1</v>
          </cell>
        </row>
        <row r="498">
          <cell r="B498" t="str">
            <v>GCIA DE GOBIERNO PYME REGION CENTRO 2</v>
          </cell>
        </row>
        <row r="499">
          <cell r="B499" t="str">
            <v>GCIA DE GOBIERNO PYME REGION SUR</v>
          </cell>
        </row>
        <row r="500">
          <cell r="B500" t="str">
            <v>GCIA DE IMPUESTOS CORPORATIVOS</v>
          </cell>
        </row>
        <row r="501">
          <cell r="B501" t="str">
            <v>GCIA DE INGENIERIA DE PROCS DE FILIALES</v>
          </cell>
        </row>
        <row r="502">
          <cell r="B502" t="str">
            <v>GCIA DE INICIATIVAS</v>
          </cell>
        </row>
        <row r="503">
          <cell r="B503" t="str">
            <v>GCIA DE INNOVACION Y NUEVAS TECNOLOGIAS</v>
          </cell>
        </row>
        <row r="504">
          <cell r="B504" t="str">
            <v>GCIA DE INTEGRACION DE PORTAFOLIOS</v>
          </cell>
        </row>
        <row r="505">
          <cell r="B505" t="str">
            <v>GCIA DE LIQUIDEZ</v>
          </cell>
        </row>
        <row r="506">
          <cell r="B506" t="str">
            <v>GCIA DE METODOLOGIA</v>
          </cell>
        </row>
        <row r="507">
          <cell r="B507" t="str">
            <v>GCIA DE NEGOCIOS CANALES</v>
          </cell>
        </row>
        <row r="508">
          <cell r="B508" t="str">
            <v>GCIA DE NEGOCIOS CONSUMO</v>
          </cell>
        </row>
        <row r="509">
          <cell r="B509" t="str">
            <v>GCIA DE NEGOCIOS EDUCATIVO</v>
          </cell>
        </row>
        <row r="510">
          <cell r="B510" t="str">
            <v>GCIA DE NEGOCIOS MOTOS</v>
          </cell>
        </row>
        <row r="511">
          <cell r="B511" t="str">
            <v>GCIA DE NEGOCIOS VEHICULOS 1</v>
          </cell>
        </row>
        <row r="512">
          <cell r="B512" t="str">
            <v>GCIA DE NEGOCIOS VEHICULOS 2</v>
          </cell>
        </row>
        <row r="513">
          <cell r="B513" t="str">
            <v>GCIA DE OPERACIONES DE CLIENTES</v>
          </cell>
        </row>
        <row r="514">
          <cell r="B514" t="str">
            <v>GCIA DE OPERACIONES INTERNACIONALES</v>
          </cell>
        </row>
        <row r="515">
          <cell r="B515" t="str">
            <v>GCIA DE OPERACIONES REGIONALES</v>
          </cell>
        </row>
        <row r="516">
          <cell r="B516" t="str">
            <v>GCIA DE ORIGINACION DE PRODUCTOS</v>
          </cell>
        </row>
        <row r="517">
          <cell r="B517" t="str">
            <v>GCIA DE PLATAFORMAS CENTRALES</v>
          </cell>
        </row>
        <row r="518">
          <cell r="B518" t="str">
            <v>GCIA DE PLATAFORMAS DISTRIBUIDAS</v>
          </cell>
        </row>
        <row r="519">
          <cell r="B519" t="str">
            <v>GCIA DE PROCESOS CONTABLES</v>
          </cell>
        </row>
        <row r="520">
          <cell r="B520" t="str">
            <v>GCIA DE PROCESOS CONTABLES T</v>
          </cell>
        </row>
        <row r="521">
          <cell r="B521" t="str">
            <v>GCIA DE PROCESOS PIC</v>
          </cell>
        </row>
        <row r="522">
          <cell r="B522" t="str">
            <v>GCIA DE PRODUCTO DEBITO Y PREPAGO</v>
          </cell>
        </row>
        <row r="523">
          <cell r="B523" t="str">
            <v>GCIA DE PRODUCTO TARJETA DEBITO PREPAGO</v>
          </cell>
        </row>
        <row r="524">
          <cell r="B524" t="str">
            <v>GCIA DE PRODUCTOS CAPTACIONES ME</v>
          </cell>
        </row>
        <row r="525">
          <cell r="B525" t="str">
            <v>GCIA DE PRODUCTOS DE AHORRO E INVERSION</v>
          </cell>
        </row>
        <row r="526">
          <cell r="B526" t="str">
            <v>GCIA DE PRODUCTOS DE FINANCIACION</v>
          </cell>
        </row>
        <row r="527">
          <cell r="B527" t="str">
            <v>GCIA DE PRODUCTOS HIPOTECARIOS</v>
          </cell>
        </row>
        <row r="528">
          <cell r="B528" t="str">
            <v>GCIA DE PRODUCTOS MIT</v>
          </cell>
        </row>
        <row r="529">
          <cell r="B529" t="str">
            <v>GCIA DE PRODUCTOS PYME Y GOBIERNO DE RED</v>
          </cell>
        </row>
        <row r="530">
          <cell r="B530" t="str">
            <v>GCIA DE PRODUCTOS TARJETAS DE CREDITO</v>
          </cell>
        </row>
        <row r="531">
          <cell r="B531" t="str">
            <v>GCIA DE RELACIONES LABORALES</v>
          </cell>
        </row>
        <row r="532">
          <cell r="B532" t="str">
            <v>GCIA DE REQUERIMIENTOS INSTITUCIONALES</v>
          </cell>
        </row>
        <row r="533">
          <cell r="B533" t="str">
            <v>GCIA DE RIESGO DE POSICION PROPIA</v>
          </cell>
        </row>
        <row r="534">
          <cell r="B534" t="str">
            <v>GCIA DE RIESGOS DE CREDITO ESTRUCTURADO</v>
          </cell>
        </row>
        <row r="535">
          <cell r="B535" t="str">
            <v>GCIA DE RIESGOS FACTORING</v>
          </cell>
        </row>
        <row r="536">
          <cell r="B536" t="str">
            <v>GCIA DE SEGMENTO PERSONAS</v>
          </cell>
        </row>
        <row r="537">
          <cell r="B537" t="str">
            <v>GCIA DE SEGURIDAD DE LA INFRAESTRUCTURA</v>
          </cell>
        </row>
        <row r="538">
          <cell r="B538" t="str">
            <v>GCIA DE SEGURIDAD DE TI</v>
          </cell>
        </row>
        <row r="539">
          <cell r="B539" t="str">
            <v>GCIA DE SEGURIDAD PERIMETRAL</v>
          </cell>
        </row>
        <row r="540">
          <cell r="B540" t="str">
            <v>GCIA DE SEGUROS LEASING Y RENTING</v>
          </cell>
        </row>
        <row r="541">
          <cell r="B541" t="str">
            <v>GCIA DE SELECCION Y DESARROLLO</v>
          </cell>
        </row>
        <row r="542">
          <cell r="B542" t="str">
            <v>GCIA DE SERVICIOS Y RELACIONES SUFI</v>
          </cell>
        </row>
        <row r="543">
          <cell r="B543" t="str">
            <v>GCIA DE SOLUCIONES CCIALES Y CONVENIOS</v>
          </cell>
        </row>
        <row r="544">
          <cell r="B544" t="str">
            <v>GCIA DE TELECOMUNICACIONES</v>
          </cell>
        </row>
        <row r="545">
          <cell r="B545" t="str">
            <v>GCIA DE TESORERIA</v>
          </cell>
        </row>
        <row r="546">
          <cell r="B546" t="str">
            <v>GCIA DE TRANSPORTE</v>
          </cell>
        </row>
        <row r="547">
          <cell r="B547" t="str">
            <v>GCIA DE VALORACION Y ANALISIS COMERCIAL</v>
          </cell>
        </row>
        <row r="548">
          <cell r="B548" t="str">
            <v>GCIA DE VENTAS  SUFI BOGOTA 1</v>
          </cell>
        </row>
        <row r="549">
          <cell r="B549" t="str">
            <v>GCIA DE VENTAS  SUFI BOGOTA 2</v>
          </cell>
        </row>
        <row r="550">
          <cell r="B550" t="str">
            <v>GCIA DE VENTAS  SUFI BOGOTA 3</v>
          </cell>
        </row>
        <row r="551">
          <cell r="B551" t="str">
            <v>GCIA DE VENTAS SUFI ANTIOQUIA</v>
          </cell>
        </row>
        <row r="552">
          <cell r="B552" t="str">
            <v>GCIA DE VENTAS SUFI ANTIOQUIA 2</v>
          </cell>
        </row>
        <row r="553">
          <cell r="B553" t="str">
            <v>GCIA DE VENTAS SUFI CARIBE</v>
          </cell>
        </row>
        <row r="554">
          <cell r="B554" t="str">
            <v>GCIA DE VENTAS SUFI EJE CAFETERO</v>
          </cell>
        </row>
        <row r="555">
          <cell r="B555" t="str">
            <v>GCIA DE VENTAS SUFI VALLE CAUCA Y NARIÑO</v>
          </cell>
        </row>
        <row r="556">
          <cell r="B556" t="str">
            <v>GCIA DE ZONA BARRANQUILLA Y ATLANTICO</v>
          </cell>
        </row>
        <row r="557">
          <cell r="B557" t="str">
            <v>GCIA DE ZONA BQUILLA BANCA ESPECIALIZADA</v>
          </cell>
        </row>
        <row r="558">
          <cell r="B558" t="str">
            <v>GCIA DERIVADOS</v>
          </cell>
        </row>
        <row r="559">
          <cell r="B559" t="str">
            <v>GCIA DERIVADOS Y CAMBIARIO</v>
          </cell>
        </row>
        <row r="560">
          <cell r="B560" t="str">
            <v>GCIA DESARROLLO DE CANALES</v>
          </cell>
        </row>
        <row r="561">
          <cell r="B561" t="str">
            <v>GCIA DESARROLLO DE NEGOCIOS</v>
          </cell>
        </row>
        <row r="562">
          <cell r="B562" t="str">
            <v>GCIA DESARROLLO INTERNACIONAL</v>
          </cell>
        </row>
        <row r="563">
          <cell r="B563" t="str">
            <v>GCIA DISEÑO IMPLEMENTACION DE SEGURIDAD</v>
          </cell>
        </row>
        <row r="564">
          <cell r="B564" t="str">
            <v>GCIA DISTRIBUCION COMERCIAL PYME</v>
          </cell>
        </row>
        <row r="565">
          <cell r="B565" t="str">
            <v>GCIA DLLO APLICACIONES CORPORATIVAS</v>
          </cell>
        </row>
        <row r="566">
          <cell r="B566" t="str">
            <v>GCIA DLLO CANALES DE INTERNET</v>
          </cell>
        </row>
        <row r="567">
          <cell r="B567" t="str">
            <v>GCIA DLLO CLIENTES CRM</v>
          </cell>
        </row>
        <row r="568">
          <cell r="B568" t="str">
            <v>GCIA DLLO DE CLIENTES Y ERP</v>
          </cell>
        </row>
        <row r="569">
          <cell r="B569" t="str">
            <v>GCIA DLLO DE TESORERIA</v>
          </cell>
        </row>
        <row r="570">
          <cell r="B570" t="str">
            <v>GCIA DLLO FILIALES DEL EXTERIOR</v>
          </cell>
        </row>
        <row r="571">
          <cell r="B571" t="str">
            <v>GCIA DLLO MEDIOS DE PAGO</v>
          </cell>
        </row>
        <row r="572">
          <cell r="B572" t="str">
            <v>GCIA DLLO MERCADO DE CAPITALES</v>
          </cell>
        </row>
        <row r="573">
          <cell r="B573" t="str">
            <v>GCIA DLLO NEGOCIOS DEL ACTIVO</v>
          </cell>
        </row>
        <row r="574">
          <cell r="B574" t="str">
            <v>GCIA DLLO NEGOCIOS DEL PASIVO Y ESPECIAL</v>
          </cell>
        </row>
        <row r="575">
          <cell r="B575" t="str">
            <v>GCIA DLLO SERVICIOS DE INFORMACION</v>
          </cell>
        </row>
        <row r="576">
          <cell r="B576" t="str">
            <v>GCIA DLLO SERVICIOS DE INTEGRACION BPM</v>
          </cell>
        </row>
        <row r="577">
          <cell r="B577" t="str">
            <v>GCIA ECONOMIA Y RENTA FIJA</v>
          </cell>
        </row>
        <row r="578">
          <cell r="B578" t="str">
            <v>GCIA EJECUCION DE PRUEBAS</v>
          </cell>
        </row>
        <row r="579">
          <cell r="B579" t="str">
            <v>GCIA EJECUTIVA</v>
          </cell>
        </row>
        <row r="580">
          <cell r="B580" t="str">
            <v>GCIA EJECUTIVA FACTORING</v>
          </cell>
        </row>
        <row r="581">
          <cell r="B581" t="str">
            <v>GCIA EMPRESAS Y PYME BOGOTA</v>
          </cell>
        </row>
        <row r="582">
          <cell r="B582" t="str">
            <v>GCIA ESPECIALISTAS RENTA FIJA</v>
          </cell>
        </row>
        <row r="583">
          <cell r="B583" t="str">
            <v>GCIA ESPECIALITAS FONDOS Y APT</v>
          </cell>
        </row>
        <row r="584">
          <cell r="B584" t="str">
            <v>GCIA ESPECIALIZADA RENTA VARIABLE</v>
          </cell>
        </row>
        <row r="585">
          <cell r="B585" t="str">
            <v>GCIA ESTADOS FINANCIEROS BCO Y FILIALES</v>
          </cell>
        </row>
        <row r="586">
          <cell r="B586" t="str">
            <v>GCIA ESTGIA  JURID SOLUC Y CONSOLIDACION</v>
          </cell>
        </row>
        <row r="587">
          <cell r="B587" t="str">
            <v>GCIA ESTRAT ARQ DE INFRAEST Y CONTUNIDAD</v>
          </cell>
        </row>
        <row r="588">
          <cell r="B588" t="str">
            <v>GCIA ESTRATEGIA COBERTURA DE CANALES</v>
          </cell>
        </row>
        <row r="589">
          <cell r="B589" t="str">
            <v>GCIA ESTRATEGIA COMERCIAL</v>
          </cell>
        </row>
        <row r="590">
          <cell r="B590" t="str">
            <v>GCIA ESTRATEGIA DE ABASTECIMINETO Y TERC</v>
          </cell>
        </row>
        <row r="591">
          <cell r="B591" t="str">
            <v>GCIA ESTRATEGIA DE CERTIFICACION</v>
          </cell>
        </row>
        <row r="592">
          <cell r="B592" t="str">
            <v>GCIA ESTRATEGIA DE OUTSOURCING</v>
          </cell>
        </row>
        <row r="593">
          <cell r="B593" t="str">
            <v>GCIA ESTRATEGIA DE RIESGO OPERACIONAL</v>
          </cell>
        </row>
        <row r="594">
          <cell r="B594" t="str">
            <v>GCIA ESTRATEGIA MULTICANAL DE SERVICIO</v>
          </cell>
        </row>
        <row r="595">
          <cell r="B595" t="str">
            <v>GCIA ESTRATEGIA Y GESTION ANALITICA</v>
          </cell>
        </row>
        <row r="596">
          <cell r="B596" t="str">
            <v>GCIA ESTRATEGIAS INTEGRALES DE INCLUSION</v>
          </cell>
        </row>
        <row r="597">
          <cell r="B597" t="str">
            <v>GCIA ESTRATEGICA DE COMPLIANCE</v>
          </cell>
        </row>
        <row r="598">
          <cell r="B598" t="str">
            <v>GCIA ESTRUCTURACION ADUANERA Y CAMBIARIA</v>
          </cell>
        </row>
        <row r="599">
          <cell r="B599" t="str">
            <v>GCIA ESTRUCTURACION DE NEGOCIOS</v>
          </cell>
        </row>
        <row r="600">
          <cell r="B600" t="str">
            <v>GCIA ESTRUCTURACION OPERATIVA</v>
          </cell>
        </row>
        <row r="601">
          <cell r="B601" t="str">
            <v>GCIA ESTRUCTURACION TRIBUTARIA</v>
          </cell>
        </row>
        <row r="602">
          <cell r="B602" t="str">
            <v>GCIA ESTRUCTURACIONES INTERNACIONALES</v>
          </cell>
        </row>
        <row r="603">
          <cell r="B603" t="str">
            <v>GCIA EXPERIENCIA CLIENTES</v>
          </cell>
        </row>
        <row r="604">
          <cell r="B604" t="str">
            <v>GCIA FIDUCIA EN GARANTIA</v>
          </cell>
        </row>
        <row r="605">
          <cell r="B605" t="str">
            <v>GCIA FIDUCIA PUBLICA</v>
          </cell>
        </row>
        <row r="606">
          <cell r="B606" t="str">
            <v>GCIA FINANCIERA FONDO INMOBILIARIO</v>
          </cell>
        </row>
        <row r="607">
          <cell r="B607" t="str">
            <v>GCIA FINANCIERA PERSONAS</v>
          </cell>
        </row>
        <row r="608">
          <cell r="B608" t="str">
            <v>GCIA FONDO INMOBILIARIO COLOMBIA</v>
          </cell>
        </row>
        <row r="609">
          <cell r="B609" t="str">
            <v>GCIA FORMULACION ESTRATEGICA</v>
          </cell>
        </row>
        <row r="610">
          <cell r="B610" t="str">
            <v>GCIA GERENCIAMIENTO CENTRALIZADO BOG</v>
          </cell>
        </row>
        <row r="611">
          <cell r="B611" t="str">
            <v>GCIA GERENCIAMIENTO CENTRALIZADO BOG 2</v>
          </cell>
        </row>
        <row r="612">
          <cell r="B612" t="str">
            <v>GCIA GESTION  SERVICIO VP ADMINISTRATIVA</v>
          </cell>
        </row>
        <row r="613">
          <cell r="B613" t="str">
            <v>GCIA GESTION  SERVICIOS CORPORATIVOS</v>
          </cell>
        </row>
        <row r="614">
          <cell r="B614" t="str">
            <v>GCIA GESTION COMERCIAL</v>
          </cell>
        </row>
        <row r="615">
          <cell r="B615" t="str">
            <v>GCIA GESTION CSC CANALES</v>
          </cell>
        </row>
        <row r="616">
          <cell r="B616" t="str">
            <v>GCIA GESTION DE INGRESOS</v>
          </cell>
        </row>
        <row r="617">
          <cell r="B617" t="str">
            <v>GCIA GESTION DE LA FUERZA COMERCIAL</v>
          </cell>
        </row>
        <row r="618">
          <cell r="B618" t="str">
            <v>GCIA GESTION DE PORTAFOLIO</v>
          </cell>
        </row>
        <row r="619">
          <cell r="B619" t="str">
            <v>GCIA GESTION DE PROYECTOS</v>
          </cell>
        </row>
        <row r="620">
          <cell r="B620" t="str">
            <v>GCIA GESTION DEL CAMBIO Y CULTURA</v>
          </cell>
        </row>
        <row r="621">
          <cell r="B621" t="str">
            <v>GCIA GESTION DEL CONOCIMIENTO</v>
          </cell>
        </row>
        <row r="622">
          <cell r="B622" t="str">
            <v>GCIA GESTION DEL SERVICIO VP AUDITORIA</v>
          </cell>
        </row>
        <row r="623">
          <cell r="B623" t="str">
            <v>GCIA GESTION DOCUMENTAL</v>
          </cell>
        </row>
        <row r="624">
          <cell r="B624" t="str">
            <v>GCIA GESTION FINANCIERA Y PROVEEDORES</v>
          </cell>
        </row>
        <row r="625">
          <cell r="B625" t="str">
            <v>GCIA GESTION INFORMACION DE RIESGOS</v>
          </cell>
        </row>
        <row r="626">
          <cell r="B626" t="str">
            <v>GCIA GESTION INMOBILIARIA</v>
          </cell>
        </row>
        <row r="627">
          <cell r="B627" t="str">
            <v>GCIA GESTION INMOBILIARIA</v>
          </cell>
        </row>
        <row r="628">
          <cell r="B628" t="str">
            <v>GCIA GESTION MONITOREO DE SEGURIDAD</v>
          </cell>
        </row>
        <row r="629">
          <cell r="B629" t="str">
            <v>GCIA GESTION RECUPERACION DE ACTIVOS</v>
          </cell>
        </row>
        <row r="630">
          <cell r="B630" t="str">
            <v>GCIA GESTION VICEPRESIDENCIA BCA EMP</v>
          </cell>
        </row>
        <row r="631">
          <cell r="B631" t="str">
            <v>GCIA GESTION VIP ESTRATEGIA Y FINANZ</v>
          </cell>
        </row>
        <row r="632">
          <cell r="B632" t="str">
            <v>GCIA GESTION VP BANCA HIPOTECARIA</v>
          </cell>
        </row>
        <row r="633">
          <cell r="B633" t="str">
            <v>GCIA GESTION VP INMOBILIARIA Y CONSUMO</v>
          </cell>
        </row>
        <row r="634">
          <cell r="B634" t="str">
            <v>GCIA GESTION VP SECRETARIA GENERAL</v>
          </cell>
        </row>
        <row r="635">
          <cell r="B635" t="str">
            <v>GCIA GOBIERNO PYME REGION BOGOTA</v>
          </cell>
        </row>
        <row r="636">
          <cell r="B636" t="str">
            <v>GCIA GOBIERNO PYME REGION CARIBE</v>
          </cell>
        </row>
        <row r="637">
          <cell r="B637" t="str">
            <v>GCIA GOBIERNO Y DESARROLLO DE PROVEEDORE</v>
          </cell>
        </row>
        <row r="638">
          <cell r="B638" t="str">
            <v>GCIA GOBIERNO Y ESTRATEGIA DE SEGURIDAD</v>
          </cell>
        </row>
        <row r="639">
          <cell r="B639" t="str">
            <v>GCIA GTION DEMANDA DE RIESGOS</v>
          </cell>
        </row>
        <row r="640">
          <cell r="B640" t="str">
            <v>GCIA GTION DEMANDA EMPRESAS Y GOB</v>
          </cell>
        </row>
        <row r="641">
          <cell r="B641" t="str">
            <v>GCIA GTION DEMANDA FUNCIONES CORPS</v>
          </cell>
        </row>
        <row r="642">
          <cell r="B642" t="str">
            <v>GCIA GTION DEMANDA INMOB CONS ESPECIALIZ</v>
          </cell>
        </row>
        <row r="643">
          <cell r="B643" t="str">
            <v>GCIA GTION DEMANDA INTERNACIONAL</v>
          </cell>
        </row>
        <row r="644">
          <cell r="B644" t="str">
            <v>GCIA GTION DEMANDA MERCADO CAPITALES</v>
          </cell>
        </row>
        <row r="645">
          <cell r="B645" t="str">
            <v>GCIA GTION DEMANDA OPERACIONES TI INNOVA</v>
          </cell>
        </row>
        <row r="646">
          <cell r="B646" t="str">
            <v>GCIA GTION DEMANDA PERSONAS Y PYME</v>
          </cell>
        </row>
        <row r="647">
          <cell r="B647" t="str">
            <v>GCIA GTION DEMANDA SERV PARA CLIENTES</v>
          </cell>
        </row>
        <row r="648">
          <cell r="B648" t="str">
            <v>GCIA GTION PORTAFOLIO TARJETA DE CREDITO</v>
          </cell>
        </row>
        <row r="649">
          <cell r="B649" t="str">
            <v>GCIA GTION VP  PNAS Y PYMES</v>
          </cell>
        </row>
        <row r="650">
          <cell r="B650" t="str">
            <v>GCIA GTION VP BCA PNAS Y PYMES</v>
          </cell>
        </row>
        <row r="651">
          <cell r="B651" t="str">
            <v>GCIA INFRAESTRUCTURA CENTRO OPERATIVO</v>
          </cell>
        </row>
        <row r="652">
          <cell r="B652" t="str">
            <v>GCIA INFRAESTRUCTURA DE LA SOLUCION</v>
          </cell>
        </row>
        <row r="653">
          <cell r="B653" t="str">
            <v>GCIA INFRAESTRUCTURA DE SUCURSALES Y AUT</v>
          </cell>
        </row>
        <row r="654">
          <cell r="B654" t="str">
            <v>GCIA INFRAESTRUCUTRA Y CIUDADES</v>
          </cell>
        </row>
        <row r="655">
          <cell r="B655" t="str">
            <v>GCIA INNOVACION</v>
          </cell>
        </row>
        <row r="656">
          <cell r="B656" t="str">
            <v>GCIA INSTITUCIONAL Y GOBIERNO</v>
          </cell>
        </row>
        <row r="657">
          <cell r="B657" t="str">
            <v>GCIA INTERNACIONAL Y DIVISAS</v>
          </cell>
        </row>
        <row r="658">
          <cell r="B658" t="str">
            <v>GCIA INVERSIONES INTERNACIONALES</v>
          </cell>
        </row>
        <row r="659">
          <cell r="B659" t="str">
            <v>GCIA INVESTIGACION Y DLLO DE PRODUCTOS</v>
          </cell>
        </row>
        <row r="660">
          <cell r="B660" t="str">
            <v>GCIA JURIDICA ASESORIA CAMBIARIA</v>
          </cell>
        </row>
        <row r="661">
          <cell r="B661" t="str">
            <v>GCIA JURIDICA BANCA DE INVERSION</v>
          </cell>
        </row>
        <row r="662">
          <cell r="B662" t="str">
            <v>GCIA JURIDICA CORPORATIVA</v>
          </cell>
        </row>
        <row r="663">
          <cell r="B663" t="str">
            <v>GCIA JURIDICA CORPORATIVA E INSTITUCIONA</v>
          </cell>
        </row>
        <row r="664">
          <cell r="B664" t="str">
            <v>GCIA JURIDICA DE COBRANZAS</v>
          </cell>
        </row>
        <row r="665">
          <cell r="B665" t="str">
            <v>GCIA JURIDICA DE PROCESOS ESPECIALES</v>
          </cell>
        </row>
        <row r="666">
          <cell r="B666" t="str">
            <v>GCIA JURIDICA DE REGU Y RELACIONES GUBER</v>
          </cell>
        </row>
        <row r="667">
          <cell r="B667" t="str">
            <v>GCIA JURIDICA DE TESORERIA Y ESTRUCTURAC</v>
          </cell>
        </row>
        <row r="668">
          <cell r="B668" t="str">
            <v>GCIA JURIDICA EMPRESAS Y GOB LEASING</v>
          </cell>
        </row>
        <row r="669">
          <cell r="B669" t="str">
            <v>GCIA JURIDICA ESTRUC Y PROYEC ESPEC</v>
          </cell>
        </row>
        <row r="670">
          <cell r="B670" t="str">
            <v>GCIA JURIDICA FIDU Y ADMON ACTIVOS</v>
          </cell>
        </row>
        <row r="671">
          <cell r="B671" t="str">
            <v>GCIA JURIDICA FONDO INMOBILIARIO</v>
          </cell>
        </row>
        <row r="672">
          <cell r="B672" t="str">
            <v>GCIA JURIDICA INSTITUCIONAL</v>
          </cell>
        </row>
        <row r="673">
          <cell r="B673" t="str">
            <v>GCIA JURIDICA INTERNAL Y  ESTRUCTURACION</v>
          </cell>
        </row>
        <row r="674">
          <cell r="B674" t="str">
            <v>GCIA JURIDICA LEASING</v>
          </cell>
        </row>
        <row r="675">
          <cell r="B675" t="str">
            <v>GCIA JURIDICA LEASING FINANCIERO E INTER</v>
          </cell>
        </row>
        <row r="676">
          <cell r="B676" t="str">
            <v>GCIA JURIDICA LEASING PERSONAS Y PYMES</v>
          </cell>
        </row>
        <row r="677">
          <cell r="B677" t="str">
            <v>GCIA JURIDICA NACIONAL PERSONAS  Y PYMES</v>
          </cell>
        </row>
        <row r="678">
          <cell r="B678" t="str">
            <v>GCIA JURIDICA NAL DE EMPRESAS Y GOBIERNO</v>
          </cell>
        </row>
        <row r="679">
          <cell r="B679" t="str">
            <v>GCIA JURIDICA NAL IMMOB Y CONSUMO ESPECI</v>
          </cell>
        </row>
        <row r="680">
          <cell r="B680" t="str">
            <v>GCIA JURIDICA NAL LEASING Y FACTORING</v>
          </cell>
        </row>
        <row r="681">
          <cell r="B681" t="str">
            <v>GCIA JURIDICA PERSONAS Y PYMES LEASING</v>
          </cell>
        </row>
        <row r="682">
          <cell r="B682" t="str">
            <v>GCIA JURIDICA VALORES</v>
          </cell>
        </row>
        <row r="683">
          <cell r="B683" t="str">
            <v>GCIA LIMITES DESEMBOLSOS Y GARANTIAS</v>
          </cell>
        </row>
        <row r="684">
          <cell r="B684" t="str">
            <v>GCIA LINEAS DE NEGOCIO REGION CENTRO</v>
          </cell>
        </row>
        <row r="685">
          <cell r="B685" t="str">
            <v>GCIA LOGISTICA INTEGRAL</v>
          </cell>
        </row>
        <row r="686">
          <cell r="B686" t="str">
            <v>GCIA MAQUINARIA Y OTROS ACTIVOS</v>
          </cell>
        </row>
        <row r="687">
          <cell r="B687" t="str">
            <v>GCIA MARCA Y PUBLICIDAD</v>
          </cell>
        </row>
        <row r="688">
          <cell r="B688" t="str">
            <v>GCIA ME BPP ZONA CALI SUR</v>
          </cell>
        </row>
        <row r="689">
          <cell r="B689" t="str">
            <v>GCIA ME BPP ZONA EJE CAFETERO</v>
          </cell>
        </row>
        <row r="690">
          <cell r="B690" t="str">
            <v>GCIA ME BPP ZONA GERENCIAMIENTO I ANT</v>
          </cell>
        </row>
        <row r="691">
          <cell r="B691" t="str">
            <v>GCIA ME BPP ZONA GERENCIAMIENTO I BOGT</v>
          </cell>
        </row>
        <row r="692">
          <cell r="B692" t="str">
            <v>GCIA ME BPP ZONA GERENCIAMIENTO I SUR</v>
          </cell>
        </row>
        <row r="693">
          <cell r="B693" t="str">
            <v>GCIA ME BPP ZONA GERENCIAMIENTO II ANT</v>
          </cell>
        </row>
        <row r="694">
          <cell r="B694" t="str">
            <v>GCIA ME BPP ZONA GERENCIAMIENTO II BOGT</v>
          </cell>
        </row>
        <row r="695">
          <cell r="B695" t="str">
            <v>GCIA ME BPP ZONA GERENCIAMIENTO III BOGT</v>
          </cell>
        </row>
        <row r="696">
          <cell r="B696" t="str">
            <v>GCIA ME BPP ZONA GERENCIAMIENTO IV BOGT</v>
          </cell>
        </row>
        <row r="697">
          <cell r="B697" t="str">
            <v>GCIA ME BPP ZONA INDUSTRIAL BOGT</v>
          </cell>
        </row>
        <row r="698">
          <cell r="B698" t="str">
            <v>GCIA ME BPP ZONA OCCIDENTE BOGT</v>
          </cell>
        </row>
        <row r="699">
          <cell r="B699" t="str">
            <v>GCIA ME BPP ZONA ORIENTE BOGT</v>
          </cell>
        </row>
        <row r="700">
          <cell r="B700" t="str">
            <v>GCIA ME BPP ZONA POBLADO ANT</v>
          </cell>
        </row>
        <row r="701">
          <cell r="B701" t="str">
            <v>GCIA MERCADEO MK</v>
          </cell>
        </row>
        <row r="702">
          <cell r="B702" t="str">
            <v>GCIA MERCADEO REGION ANTIOQUIA</v>
          </cell>
        </row>
        <row r="703">
          <cell r="B703" t="str">
            <v>GCIA MERCADEO REGION BOGOTA</v>
          </cell>
        </row>
        <row r="704">
          <cell r="B704" t="str">
            <v>GCIA MERCADEO REGION CARIBE</v>
          </cell>
        </row>
        <row r="705">
          <cell r="B705" t="str">
            <v>GCIA MERCADEO REGION CENTRO</v>
          </cell>
        </row>
        <row r="706">
          <cell r="B706" t="str">
            <v>GCIA MERCADEO REGION SUR</v>
          </cell>
        </row>
        <row r="707">
          <cell r="B707" t="str">
            <v>GCIA MERCADEO RELACIONAL MK</v>
          </cell>
        </row>
        <row r="708">
          <cell r="B708" t="str">
            <v>GCIA MERCADO DE CAPITALES Y MONETARIO</v>
          </cell>
        </row>
        <row r="709">
          <cell r="B709" t="str">
            <v>GCIA MET RGO CREDITO EMPRESAS Y GOBIERNO</v>
          </cell>
        </row>
        <row r="710">
          <cell r="B710" t="str">
            <v>GCIA METODOLOGIA RGO MKDO DE CAPITALES</v>
          </cell>
        </row>
        <row r="711">
          <cell r="B711" t="str">
            <v>GCIA METODOLOGIAS CREDITO PERSONAS  PYME</v>
          </cell>
        </row>
        <row r="712">
          <cell r="B712" t="str">
            <v>GCIA MIT GOBIERNO REGION BOGOTA</v>
          </cell>
        </row>
        <row r="713">
          <cell r="B713" t="str">
            <v>GCIA MIT REGION ANTIOQUIA</v>
          </cell>
        </row>
        <row r="714">
          <cell r="B714" t="str">
            <v>GCIA MIT REGION BOGOTA</v>
          </cell>
        </row>
        <row r="715">
          <cell r="B715" t="str">
            <v>GCIA MIT REGION CARIBE</v>
          </cell>
        </row>
        <row r="716">
          <cell r="B716" t="str">
            <v>GCIA MIT REGION SUR</v>
          </cell>
        </row>
        <row r="717">
          <cell r="B717" t="str">
            <v>GCIA MONEDA EXTRAENJERA BPP CARIBE SUR</v>
          </cell>
        </row>
        <row r="718">
          <cell r="B718" t="str">
            <v>GCIA MONEDA EXTRANJERA BE REGION ANT</v>
          </cell>
        </row>
        <row r="719">
          <cell r="B719" t="str">
            <v>GCIA MONEDA EXTRANJERA BE REGION BOG</v>
          </cell>
        </row>
        <row r="720">
          <cell r="B720" t="str">
            <v>GCIA MONEDA EXTRANJERA BE REGION CAR</v>
          </cell>
        </row>
        <row r="721">
          <cell r="B721" t="str">
            <v>GCIA MONEDA EXTRANJERA BE REGION SUR</v>
          </cell>
        </row>
        <row r="722">
          <cell r="B722" t="str">
            <v>GCIA MONEDA EXTRANJERA BPP CARIBE NORTE</v>
          </cell>
        </row>
        <row r="723">
          <cell r="B723" t="str">
            <v>GCIA MONEDA EXTRANJERA BPP CENTRO NORTE</v>
          </cell>
        </row>
        <row r="724">
          <cell r="B724" t="str">
            <v>GCIA MONEDA EXTRANJERA BPP CENTRO SUR</v>
          </cell>
        </row>
        <row r="725">
          <cell r="B725" t="str">
            <v>GCIA MULTICANAL VENTAS Y CANALES CCIALES</v>
          </cell>
        </row>
        <row r="726">
          <cell r="B726" t="str">
            <v>GCIA NACIONAL DE  PRODUCTOS</v>
          </cell>
        </row>
        <row r="727">
          <cell r="B727" t="str">
            <v>GCIA NACIONAL DE MONEDA EXTRANJERA BE</v>
          </cell>
        </row>
        <row r="728">
          <cell r="B728" t="str">
            <v>GCIA NACIONAL DE MONEDA EXTRANJERA BPP</v>
          </cell>
        </row>
        <row r="729">
          <cell r="B729" t="str">
            <v>GCIA NACIONAL MIT</v>
          </cell>
        </row>
        <row r="730">
          <cell r="B730" t="str">
            <v>GCIA NEGOCIOS 2 SUFI</v>
          </cell>
        </row>
        <row r="731">
          <cell r="B731" t="str">
            <v>GCIA NEGOCIOS 3 SUFI</v>
          </cell>
        </row>
        <row r="732">
          <cell r="B732" t="str">
            <v>GCIA NEGOCIOS ESTRUCTURADOS</v>
          </cell>
        </row>
        <row r="733">
          <cell r="B733" t="str">
            <v>GCIA NORMALIZACION JUDICIAL REGION CTRO</v>
          </cell>
        </row>
        <row r="734">
          <cell r="B734" t="str">
            <v>GCIA OFICINA DE PROYECTOS</v>
          </cell>
        </row>
        <row r="735">
          <cell r="B735" t="str">
            <v>GCIA OPERACION PROCESOS DE NEGOCIOS</v>
          </cell>
        </row>
        <row r="736">
          <cell r="B736" t="str">
            <v>GCIA OPERACION Y MONITOREO</v>
          </cell>
        </row>
        <row r="737">
          <cell r="B737" t="str">
            <v>GCIA OPERACIONES  LEASING</v>
          </cell>
        </row>
        <row r="738">
          <cell r="B738" t="str">
            <v>GCIA OPERACIONES CONTABLES</v>
          </cell>
        </row>
        <row r="739">
          <cell r="B739" t="str">
            <v>GCIA OPERACIONES ESTRUCTURADAS</v>
          </cell>
        </row>
        <row r="740">
          <cell r="B740" t="str">
            <v>GCIA OPERACIONES INMOBILIARIAS</v>
          </cell>
        </row>
        <row r="741">
          <cell r="B741" t="str">
            <v>GCIA OPERATIVA DE TESORERIA Y CUMPLIMIEN</v>
          </cell>
        </row>
        <row r="742">
          <cell r="B742" t="str">
            <v>GCIA ORIGINACION  CREDITO PYME</v>
          </cell>
        </row>
        <row r="743">
          <cell r="B743" t="str">
            <v>GCIA ORIGINACION CREDITO EMPRESARIAL</v>
          </cell>
        </row>
        <row r="744">
          <cell r="B744" t="str">
            <v>GCIA ORIGINACION CREDITO LEASING</v>
          </cell>
        </row>
        <row r="745">
          <cell r="B745" t="str">
            <v>GCIA ORIGINACION DE CREDITO INTERNACIONA</v>
          </cell>
        </row>
        <row r="746">
          <cell r="B746" t="str">
            <v>GCIA PERSONAS ANTIOQUIA</v>
          </cell>
        </row>
        <row r="747">
          <cell r="B747" t="str">
            <v>GCIA PERSONAS BOGOTA</v>
          </cell>
        </row>
        <row r="748">
          <cell r="B748" t="str">
            <v>GCIA PERSONAS BOGOTA Y CENTRO</v>
          </cell>
        </row>
        <row r="749">
          <cell r="B749" t="str">
            <v>GCIA PERSONAS CARIBE</v>
          </cell>
        </row>
        <row r="750">
          <cell r="B750" t="str">
            <v>GCIA PERSONAS SUR</v>
          </cell>
        </row>
        <row r="751">
          <cell r="B751" t="str">
            <v>GCIA PLANEACION DE LA CAPACIDAD</v>
          </cell>
        </row>
        <row r="752">
          <cell r="B752" t="str">
            <v>GCIA PLATAFORMAS DE INTEGRACION</v>
          </cell>
        </row>
        <row r="753">
          <cell r="B753" t="str">
            <v>GCIA PORTAFOLIOS  INSTITUCIONALES</v>
          </cell>
        </row>
        <row r="754">
          <cell r="B754" t="str">
            <v>GCIA PORTAFOLIOS PRIVADOS</v>
          </cell>
        </row>
        <row r="755">
          <cell r="B755" t="str">
            <v>GCIA PROCESOS DE CAPTACIONES Y MIT</v>
          </cell>
        </row>
        <row r="756">
          <cell r="B756" t="str">
            <v>GCIA PROCESOS INSTITUCIONALES</v>
          </cell>
        </row>
        <row r="757">
          <cell r="B757" t="str">
            <v>GCIA PRODUCTO LEASING  INTERNACIONAL</v>
          </cell>
        </row>
        <row r="758">
          <cell r="B758" t="str">
            <v>GCIA PRODUCTOS DE CONSUMO</v>
          </cell>
        </row>
        <row r="759">
          <cell r="B759" t="str">
            <v>GCIA PRODUCTOS LEASING FINANCIERO</v>
          </cell>
        </row>
        <row r="760">
          <cell r="B760" t="str">
            <v>GCIA PROGRAMAS ESTRATEGICOS  DE ALIANZAS</v>
          </cell>
        </row>
        <row r="761">
          <cell r="B761" t="str">
            <v>GCIA PROYECTOS A</v>
          </cell>
        </row>
        <row r="762">
          <cell r="B762" t="str">
            <v>GCIA PROYECTOS B</v>
          </cell>
        </row>
        <row r="763">
          <cell r="B763" t="str">
            <v>GCIA PROYECTOS C</v>
          </cell>
        </row>
        <row r="764">
          <cell r="B764" t="str">
            <v>GCIA PROYECTOS D</v>
          </cell>
        </row>
        <row r="765">
          <cell r="B765" t="str">
            <v>GCIA PROYECTOS E</v>
          </cell>
        </row>
        <row r="766">
          <cell r="B766" t="str">
            <v>GCIA PROYECTOS F</v>
          </cell>
        </row>
        <row r="767">
          <cell r="B767" t="str">
            <v>GCIA PROYECTOS G</v>
          </cell>
        </row>
        <row r="768">
          <cell r="B768" t="str">
            <v>GCIA PROYECTOS H</v>
          </cell>
        </row>
        <row r="769">
          <cell r="B769" t="str">
            <v>GCIA PROYECTOS I</v>
          </cell>
        </row>
        <row r="770">
          <cell r="B770" t="str">
            <v>GCIA PROYECTOS J</v>
          </cell>
        </row>
        <row r="771">
          <cell r="B771" t="str">
            <v>GCIA PRUEBAS ESPECIALIZADAS</v>
          </cell>
        </row>
        <row r="772">
          <cell r="B772" t="str">
            <v>GCIA PUBLICIDAD Y MERCADEO RELACIONAL</v>
          </cell>
        </row>
        <row r="773">
          <cell r="B773" t="str">
            <v>GCIA QUINDIO Y CENTRO DEL VALLE</v>
          </cell>
        </row>
        <row r="774">
          <cell r="B774" t="str">
            <v>GCIA RAZONABILIDAD CONTABLE FILIALES</v>
          </cell>
        </row>
        <row r="775">
          <cell r="B775" t="str">
            <v>GCIA RAZONABILIDAD CONTABLE Y PDTOS</v>
          </cell>
        </row>
        <row r="776">
          <cell r="B776" t="str">
            <v>GCIA RECUPERACION ACT PNAS NATURALES</v>
          </cell>
        </row>
        <row r="777">
          <cell r="B777" t="str">
            <v>GCIA RECUPERACION ACT PYMES EMP Y GOB</v>
          </cell>
        </row>
        <row r="778">
          <cell r="B778" t="str">
            <v>GCIA RECUPERACION DE ACT REGION ANT</v>
          </cell>
        </row>
        <row r="779">
          <cell r="B779" t="str">
            <v>GCIA RECUPERACION DE ACT REGION BOG</v>
          </cell>
        </row>
        <row r="780">
          <cell r="B780" t="str">
            <v>GCIA RECUPERACION DE ACT REGION CAR</v>
          </cell>
        </row>
        <row r="781">
          <cell r="B781" t="str">
            <v>GCIA RECUPERACION DE ACT REGION CTRO</v>
          </cell>
        </row>
        <row r="782">
          <cell r="B782" t="str">
            <v>GCIA RECUPERACION DE ACT REGION SUR</v>
          </cell>
        </row>
        <row r="783">
          <cell r="B783" t="str">
            <v>GCIA REG HIPOTECARIA CONSTRUCTOR ANTIOQU</v>
          </cell>
        </row>
        <row r="784">
          <cell r="B784" t="str">
            <v>GCIA REG HIPOTECARIA CONSTRUCTOR BOGOTA</v>
          </cell>
        </row>
        <row r="785">
          <cell r="B785" t="str">
            <v>GCIA REG HIPOTECARIA CONSTRUCTOR OTRAS</v>
          </cell>
        </row>
        <row r="786">
          <cell r="B786" t="str">
            <v>GCIA REGIONAL BANCA GOBIERNO</v>
          </cell>
        </row>
        <row r="787">
          <cell r="B787" t="str">
            <v>GCIA REGIONAL BPP ANTIOQUIA</v>
          </cell>
        </row>
        <row r="788">
          <cell r="B788" t="str">
            <v>GCIA REGIONAL BPP BOGOTA</v>
          </cell>
        </row>
        <row r="789">
          <cell r="B789" t="str">
            <v>GCIA REGIONAL BPP CARIBE</v>
          </cell>
        </row>
        <row r="790">
          <cell r="B790" t="str">
            <v>GCIA REGIONAL BPP CENTRO</v>
          </cell>
        </row>
        <row r="791">
          <cell r="B791" t="str">
            <v>GCIA REGIONAL BPP SUR</v>
          </cell>
        </row>
        <row r="792">
          <cell r="B792" t="str">
            <v>GCIA REGIONAL CONSTRUCTOR MEDELLIN</v>
          </cell>
        </row>
        <row r="793">
          <cell r="B793" t="str">
            <v>GCIA REGIONAL NACIONAL SUFI</v>
          </cell>
        </row>
        <row r="794">
          <cell r="B794" t="str">
            <v>GCIA REGULACION Y GESTION</v>
          </cell>
        </row>
        <row r="795">
          <cell r="B795" t="str">
            <v>GCIA RELACION CON INVERSIONISTAS</v>
          </cell>
        </row>
        <row r="796">
          <cell r="B796" t="str">
            <v>GCIA RELACIONAMIENTO HUMANO REGION ANT</v>
          </cell>
        </row>
        <row r="797">
          <cell r="B797" t="str">
            <v>GCIA RELACIONAMIENTO HUMANO REGION BGTA</v>
          </cell>
        </row>
        <row r="798">
          <cell r="B798" t="str">
            <v>GCIA RELACIONAMIENTO HUMANO REGION CARIB</v>
          </cell>
        </row>
        <row r="799">
          <cell r="B799" t="str">
            <v>GCIA RELACIONAMIENTO HUMANO REGION CENT</v>
          </cell>
        </row>
        <row r="800">
          <cell r="B800" t="str">
            <v>GCIA RELACIONAMIENTO HUMANO REGION SUR</v>
          </cell>
        </row>
        <row r="801">
          <cell r="B801" t="str">
            <v>GCIA RELACIONAMIENTO Y FIDELIZACION</v>
          </cell>
        </row>
        <row r="802">
          <cell r="B802" t="str">
            <v>GCIA RELACIONES PUBLICAS Y PROYECC INST</v>
          </cell>
        </row>
        <row r="803">
          <cell r="B803" t="str">
            <v>GCIA RENTA FIJA</v>
          </cell>
        </row>
        <row r="804">
          <cell r="B804" t="str">
            <v>GCIA RENTA VARIABLE ALTERNATIVOS E INTER</v>
          </cell>
        </row>
        <row r="805">
          <cell r="B805" t="str">
            <v>GCIA RENTA VARIABLE Y PORTAFOLIOS</v>
          </cell>
        </row>
        <row r="806">
          <cell r="B806" t="str">
            <v>GCIA RESPONSABILIDAD SOCIAL</v>
          </cell>
        </row>
        <row r="807">
          <cell r="B807" t="str">
            <v>GCIA RGO TARJETA DE CREDITO Y CONSUMO</v>
          </cell>
        </row>
        <row r="808">
          <cell r="B808" t="str">
            <v>GCIA RIESGO  EMPRESAS Y GOBIERNO</v>
          </cell>
        </row>
        <row r="809">
          <cell r="B809" t="str">
            <v>GCIA RIESGO ADMINISTRACION DE ACTIVOS</v>
          </cell>
        </row>
        <row r="810">
          <cell r="B810" t="str">
            <v>GCIA RIESGO CREDITO BANCA EMPRESAS</v>
          </cell>
        </row>
        <row r="811">
          <cell r="B811" t="str">
            <v>GCIA RIESGO CREDITO LEASING</v>
          </cell>
        </row>
        <row r="812">
          <cell r="B812" t="str">
            <v>GCIA RIESGO CREDITO MERK CAPITALES</v>
          </cell>
        </row>
        <row r="813">
          <cell r="B813" t="str">
            <v>GCIA RIESGO CREDITO TESORERIA</v>
          </cell>
        </row>
        <row r="814">
          <cell r="B814" t="str">
            <v>GCIA RIESGO DE CREDITO SUFI</v>
          </cell>
        </row>
        <row r="815">
          <cell r="B815" t="str">
            <v>GCIA RIESGO DE MERCADO  LIBRO BANCARIO</v>
          </cell>
        </row>
        <row r="816">
          <cell r="B816" t="str">
            <v>GCIA RIESGO DE MERCADO LIBRO TESORERIA</v>
          </cell>
        </row>
        <row r="817">
          <cell r="B817" t="str">
            <v>GCIA RIESGO DISTRIBUCION Y VENTAS</v>
          </cell>
        </row>
        <row r="818">
          <cell r="B818" t="str">
            <v>GCIA RIESGO LIQUIDEZ Y TASAS DE INTERES</v>
          </cell>
        </row>
        <row r="819">
          <cell r="B819" t="str">
            <v>GCIA RIESGO OPER NEGOCIO MERK CAPITALES</v>
          </cell>
        </row>
        <row r="820">
          <cell r="B820" t="str">
            <v>GCIA RIESGO OPER TESORERIA COMEX Y BANCA</v>
          </cell>
        </row>
        <row r="821">
          <cell r="B821" t="str">
            <v>GCIA RIESGO OPERACIONAL  APOYO CORP</v>
          </cell>
        </row>
        <row r="822">
          <cell r="B822" t="str">
            <v>GCIA RIESGO OPERACIONAL FIDUCIARIA</v>
          </cell>
        </row>
        <row r="823">
          <cell r="B823" t="str">
            <v>GCIA RIESGO OPERACIONAL NEGOCIO CREDITO</v>
          </cell>
        </row>
        <row r="824">
          <cell r="B824" t="str">
            <v>GCIA RIESGO OPERACIONAL NEGOCIO FIDUCIA</v>
          </cell>
        </row>
        <row r="825">
          <cell r="B825" t="str">
            <v>GCIA RIESGO VALORES</v>
          </cell>
        </row>
        <row r="826">
          <cell r="B826" t="str">
            <v>GCIA RIESGOS PYME</v>
          </cell>
        </row>
        <row r="827">
          <cell r="B827" t="str">
            <v>GCIA RO INTERMEDIACION  FINANCIERA</v>
          </cell>
        </row>
        <row r="828">
          <cell r="B828" t="str">
            <v>GCIA SEGMENTO AGROINDUSTRIA</v>
          </cell>
        </row>
        <row r="829">
          <cell r="B829" t="str">
            <v>GCIA SEGMENTO COMERCIO</v>
          </cell>
        </row>
        <row r="830">
          <cell r="B830" t="str">
            <v>GCIA SEGMENTO CONSTRUCCION</v>
          </cell>
        </row>
        <row r="831">
          <cell r="B831" t="str">
            <v>GCIA SEGMENTO CONSTRUCCION Y TRANSPORTE</v>
          </cell>
        </row>
        <row r="832">
          <cell r="B832" t="str">
            <v>GCIA SEGMENTO EMPLEADOS Y SENIOR</v>
          </cell>
        </row>
        <row r="833">
          <cell r="B833" t="str">
            <v>GCIA SEGMENTO GOBIERNO</v>
          </cell>
        </row>
        <row r="834">
          <cell r="B834" t="str">
            <v>GCIA SEGMENTO GOBIERNO DE RED</v>
          </cell>
        </row>
        <row r="835">
          <cell r="B835" t="str">
            <v>GCIA SEGMENTO MANUFACTURA INSUMOS</v>
          </cell>
        </row>
        <row r="836">
          <cell r="B836" t="str">
            <v>GCIA SEGMENTO MICRO PYME</v>
          </cell>
        </row>
        <row r="837">
          <cell r="B837" t="str">
            <v>GCIA SEGMENTO PREFERENCIAL</v>
          </cell>
        </row>
        <row r="838">
          <cell r="B838" t="str">
            <v>GCIA SEGMENTO PYME</v>
          </cell>
        </row>
        <row r="839">
          <cell r="B839" t="str">
            <v>GCIA SEGMENTO PYME MEDIANA</v>
          </cell>
        </row>
        <row r="840">
          <cell r="B840" t="str">
            <v>GCIA SEGMENTO REC NTURLES Y MED DE COM</v>
          </cell>
        </row>
        <row r="841">
          <cell r="B841" t="str">
            <v>GCIA SEGMENTO SERVICIOS FCROS Y NO FCROS</v>
          </cell>
        </row>
        <row r="842">
          <cell r="B842" t="str">
            <v>GCIA SERV ADMINISTRATIVOS A EMPLEADOS</v>
          </cell>
        </row>
        <row r="843">
          <cell r="B843" t="str">
            <v>GCIA SERV ADMON DE VALORES E INVERSIONES</v>
          </cell>
        </row>
        <row r="844">
          <cell r="B844" t="str">
            <v>GCIA SERV ADMON FONDOS Y MEDIOS DE PAGO</v>
          </cell>
        </row>
        <row r="845">
          <cell r="B845" t="str">
            <v>GCIA SERV PROCESOS ESPECIALES LEASING</v>
          </cell>
        </row>
        <row r="846">
          <cell r="B846" t="str">
            <v>GCIA SERVICIO EN SUCURSALES</v>
          </cell>
        </row>
        <row r="847">
          <cell r="B847" t="str">
            <v>GCIA SERVICIO EN SUCURSALES ANTIOQUIA</v>
          </cell>
        </row>
        <row r="848">
          <cell r="B848" t="str">
            <v>GCIA SERVICIO EN SUCURSALES BOGOTA</v>
          </cell>
        </row>
        <row r="849">
          <cell r="B849" t="str">
            <v>GCIA SERVICIO EN SUCURSALES CARIBE</v>
          </cell>
        </row>
        <row r="850">
          <cell r="B850" t="str">
            <v>GCIA SERVICIO EN SUCURSALES CENTRO</v>
          </cell>
        </row>
        <row r="851">
          <cell r="B851" t="str">
            <v>GCIA SERVICIO EN SUCURSALES SUR</v>
          </cell>
        </row>
        <row r="852">
          <cell r="B852" t="str">
            <v>GCIA SERVICIO SUCURSALES Y AUTOSERVICIO</v>
          </cell>
        </row>
        <row r="853">
          <cell r="B853" t="str">
            <v>GCIA SERVICIOS A COLOMBIANOS EN EL EXTER</v>
          </cell>
        </row>
        <row r="854">
          <cell r="B854" t="str">
            <v>GCIA SERVICIOS A PROYECTOS Y CAPACIDAD</v>
          </cell>
        </row>
        <row r="855">
          <cell r="B855" t="str">
            <v>GCIA SERVICIOS CANAL TELEFONICOS</v>
          </cell>
        </row>
        <row r="856">
          <cell r="B856" t="str">
            <v>GCIA SERVICIOS CANALES VIRTUALES Y ELECT</v>
          </cell>
        </row>
        <row r="857">
          <cell r="B857" t="str">
            <v>GCIA SERVICIOS DE ABASTECIMIENTO</v>
          </cell>
        </row>
        <row r="858">
          <cell r="B858" t="str">
            <v>GCIA SERVICIOS DE CARTERA</v>
          </cell>
        </row>
        <row r="859">
          <cell r="B859" t="str">
            <v>GCIA SERVICIOS DE MERCADEO BEG</v>
          </cell>
        </row>
        <row r="860">
          <cell r="B860" t="str">
            <v>GCIA SERVICIOS DE MERCADEO EMPR Y GOB</v>
          </cell>
        </row>
        <row r="861">
          <cell r="B861" t="str">
            <v>GCIA SERVICIOS DE MERCADEO HIPOTECARIA</v>
          </cell>
        </row>
        <row r="862">
          <cell r="B862" t="str">
            <v>GCIA SERVICIOS DE MERCADEO SUFI</v>
          </cell>
        </row>
        <row r="863">
          <cell r="B863" t="str">
            <v>GCIA SERVICIOS EN  MEDIOS DE PAGO</v>
          </cell>
        </row>
        <row r="864">
          <cell r="B864" t="str">
            <v>GCIA SERVICIOS MERCADEO MEDIOS DE PAGO</v>
          </cell>
        </row>
        <row r="865">
          <cell r="B865" t="str">
            <v>GCIA SERVICIOS PARA  MERCADO CAMBIARIO</v>
          </cell>
        </row>
        <row r="866">
          <cell r="B866" t="str">
            <v>GCIA SERVICIOS REGIONAL ANTIOQUIA</v>
          </cell>
        </row>
        <row r="867">
          <cell r="B867" t="str">
            <v>GCIA SERVICIOS Y RELACIONES HIPOTECARIA</v>
          </cell>
        </row>
        <row r="868">
          <cell r="B868" t="str">
            <v>GCIA SINERGIAS COMERCIALES</v>
          </cell>
        </row>
        <row r="869">
          <cell r="B869" t="str">
            <v>GCIA SINERGIAS INTERNACIONALES</v>
          </cell>
        </row>
        <row r="870">
          <cell r="B870" t="str">
            <v>GCIA SISTEMAS DE INFORMACION FINANCIERA</v>
          </cell>
        </row>
        <row r="871">
          <cell r="B871" t="str">
            <v>GCIA SOCIEDADES DE SERVICIOS FINANCIEROS</v>
          </cell>
        </row>
        <row r="872">
          <cell r="B872" t="str">
            <v>GCIA SOLUCIONES CANALES SUCURSALES CNB</v>
          </cell>
        </row>
        <row r="873">
          <cell r="B873" t="str">
            <v>GCIA SOLUCIONES DE PRODUCTIVIDAD</v>
          </cell>
        </row>
        <row r="874">
          <cell r="B874" t="str">
            <v>GCIA SOPORTE ESPECIALIZADO</v>
          </cell>
        </row>
        <row r="875">
          <cell r="B875" t="str">
            <v>GCIA SOSTENIBILIDAD</v>
          </cell>
        </row>
        <row r="876">
          <cell r="B876" t="str">
            <v>GCIA TACTICA URA REGION CENTRO</v>
          </cell>
        </row>
        <row r="877">
          <cell r="B877" t="str">
            <v>GCIA TECNICA FONDO INMOBILIARIO</v>
          </cell>
        </row>
        <row r="878">
          <cell r="B878" t="str">
            <v>GCIA TECNOLOGIA</v>
          </cell>
        </row>
        <row r="879">
          <cell r="B879" t="str">
            <v>GCIA TESORERIA LEASING</v>
          </cell>
        </row>
        <row r="880">
          <cell r="B880" t="str">
            <v>GCIA URA ZONA AGENCIAS</v>
          </cell>
        </row>
        <row r="881">
          <cell r="B881" t="str">
            <v>GCIA URA ZONA BUCARAMANGA</v>
          </cell>
        </row>
        <row r="882">
          <cell r="B882" t="str">
            <v>GCIA URA ZONA CALI NRT Y SUR DEL VALLE 1</v>
          </cell>
        </row>
        <row r="883">
          <cell r="B883" t="str">
            <v>GCIA URA ZONA CALI NRT Y SUR DEL VALLE 2</v>
          </cell>
        </row>
        <row r="884">
          <cell r="B884" t="str">
            <v>GCIA URA ZONA CAUCA Y NARIÑO</v>
          </cell>
        </row>
        <row r="885">
          <cell r="B885" t="str">
            <v>GCIA URA ZONA CELULA Y NUCLEO</v>
          </cell>
        </row>
        <row r="886">
          <cell r="B886" t="str">
            <v>GCIA URA ZONA EJE NORTE</v>
          </cell>
        </row>
        <row r="887">
          <cell r="B887" t="str">
            <v>GCIA URA ZONA EJE SUR</v>
          </cell>
        </row>
        <row r="888">
          <cell r="B888" t="str">
            <v>GCIA URA ZONA LEASING</v>
          </cell>
        </row>
        <row r="889">
          <cell r="B889" t="str">
            <v>GCIA URA ZONA LLANOS Y BOYACA</v>
          </cell>
        </row>
        <row r="890">
          <cell r="B890" t="str">
            <v>GCIA URA ZONA NORTE SANTANDER Y SNTANDER</v>
          </cell>
        </row>
        <row r="891">
          <cell r="B891" t="str">
            <v>GCIA URA ZONA SUR COLOMBIANA Y TOLIMA</v>
          </cell>
        </row>
        <row r="892">
          <cell r="B892" t="str">
            <v>GCIA VENDOR PROGRAM</v>
          </cell>
        </row>
        <row r="893">
          <cell r="B893" t="str">
            <v>GCIA VENTAS SUFI CENTRO</v>
          </cell>
        </row>
        <row r="894">
          <cell r="B894" t="str">
            <v>GCIA VENTAS SUFI CENTRO 2</v>
          </cell>
        </row>
        <row r="895">
          <cell r="B895" t="str">
            <v>GCIA ZONA  1 BOGOTA BCA EMPRESARIAL</v>
          </cell>
        </row>
        <row r="896">
          <cell r="B896" t="str">
            <v>GCIA ZONA  2  BOGOTA BCA EMPRESARIAL</v>
          </cell>
        </row>
        <row r="897">
          <cell r="B897" t="str">
            <v>GCIA ZONA  ANTIOQUIA</v>
          </cell>
        </row>
        <row r="898">
          <cell r="B898" t="str">
            <v>GCIA ZONA 1 ANTIOQUIA BCA EMPRESARIAL</v>
          </cell>
        </row>
        <row r="899">
          <cell r="B899" t="str">
            <v>GCIA ZONA ANTIOQUIA BCA PYMES</v>
          </cell>
        </row>
        <row r="900">
          <cell r="B900" t="str">
            <v>GCIA ZONA BANCA PRIVADA ANTIOQUIA</v>
          </cell>
        </row>
        <row r="901">
          <cell r="B901" t="str">
            <v>GCIA ZONA BANCA PRIVADA BOGOTA Y CENTRO</v>
          </cell>
        </row>
        <row r="902">
          <cell r="B902" t="str">
            <v>GCIA ZONA BANCA PRIVADA CARIBE</v>
          </cell>
        </row>
        <row r="903">
          <cell r="B903" t="str">
            <v>GCIA ZONA BANCA PRIVADA SUR</v>
          </cell>
        </row>
        <row r="904">
          <cell r="B904" t="str">
            <v>GCIA ZONA BANCA SUPERMERCADO BPP BOGOTA</v>
          </cell>
        </row>
        <row r="905">
          <cell r="B905" t="str">
            <v>GCIA ZONA BARRANQUILLA 2 BPP CARIBE</v>
          </cell>
        </row>
        <row r="906">
          <cell r="B906" t="str">
            <v>GCIA ZONA BARRANQUILLA BPP CARIBE</v>
          </cell>
        </row>
        <row r="907">
          <cell r="B907" t="str">
            <v>GCIA ZONA BOGOTA</v>
          </cell>
        </row>
        <row r="908">
          <cell r="B908" t="str">
            <v>GCIA ZONA BOGOTA BCA PYMES 1</v>
          </cell>
        </row>
        <row r="909">
          <cell r="B909" t="str">
            <v>GCIA ZONA BOGOTA BCA PYMES 2</v>
          </cell>
        </row>
        <row r="910">
          <cell r="B910" t="str">
            <v>GCIA ZONA BOYACA BPP CENTRO</v>
          </cell>
        </row>
        <row r="911">
          <cell r="B911" t="str">
            <v>GCIA ZONA BUCARAMANGA BPP CENTRO</v>
          </cell>
        </row>
        <row r="912">
          <cell r="B912" t="str">
            <v>GCIA ZONA CALI NORTE BPP SUR</v>
          </cell>
        </row>
        <row r="913">
          <cell r="B913" t="str">
            <v>GCIA ZONA CALI SUR BPP SUR</v>
          </cell>
        </row>
        <row r="914">
          <cell r="B914" t="str">
            <v>GCIA ZONA CARIBE</v>
          </cell>
        </row>
        <row r="915">
          <cell r="B915" t="str">
            <v>GCIA ZONA CARIBE BCA PYMES</v>
          </cell>
        </row>
        <row r="916">
          <cell r="B916" t="str">
            <v>GCIA ZONA CARIBE BQUILLA BCA EMPRESARIAL</v>
          </cell>
        </row>
        <row r="917">
          <cell r="B917" t="str">
            <v>GCIA ZONA CARIBE CARTAGENA BCA EMPRESARI</v>
          </cell>
        </row>
        <row r="918">
          <cell r="B918" t="str">
            <v>GCIA ZONA CARTAGENA BPP CARIBE</v>
          </cell>
        </row>
        <row r="919">
          <cell r="B919" t="str">
            <v>GCIA ZONA CENTRO</v>
          </cell>
        </row>
        <row r="920">
          <cell r="B920" t="str">
            <v>GCIA ZONA CENTRO BCA PYMES</v>
          </cell>
        </row>
        <row r="921">
          <cell r="B921" t="str">
            <v>GCIA ZONA CENTRO BPP ANTIOQUIA</v>
          </cell>
        </row>
        <row r="922">
          <cell r="B922" t="str">
            <v>GCIA ZONA CENTRO BPP BOGOTA</v>
          </cell>
        </row>
        <row r="923">
          <cell r="B923" t="str">
            <v>GCIA ZONA CUCUTA BPP CENTRO</v>
          </cell>
        </row>
        <row r="924">
          <cell r="B924" t="str">
            <v>GCIA ZONA EJE CAFETERO BPP SUR</v>
          </cell>
        </row>
        <row r="925">
          <cell r="B925" t="str">
            <v>GCIA ZONA EJE CAFETERO NORTE BPP SUR</v>
          </cell>
        </row>
        <row r="926">
          <cell r="B926" t="str">
            <v>GCIA ZONA EMPRESA SUR</v>
          </cell>
        </row>
        <row r="927">
          <cell r="B927" t="str">
            <v>GCIA ZONA EMPRESA Y GOB SUR</v>
          </cell>
        </row>
        <row r="928">
          <cell r="B928" t="str">
            <v>GCIA ZONA EMPRESAS  ANTIOQUIA</v>
          </cell>
        </row>
        <row r="929">
          <cell r="B929" t="str">
            <v>GCIA ZONA EMPRESAS  BOGOTA Y CENTRO</v>
          </cell>
        </row>
        <row r="930">
          <cell r="B930" t="str">
            <v>GCIA ZONA EMPRESAS CARIBE</v>
          </cell>
        </row>
        <row r="931">
          <cell r="B931" t="str">
            <v>GCIA ZONA EMPRESAS Y GOB ANTIOQUIA</v>
          </cell>
        </row>
        <row r="932">
          <cell r="B932" t="str">
            <v>GCIA ZONA EMPRESAS Y GOB BOGOTA</v>
          </cell>
        </row>
        <row r="933">
          <cell r="B933" t="str">
            <v>GCIA ZONA EMPRESAS Y GOBIERNO CARIBE</v>
          </cell>
        </row>
        <row r="934">
          <cell r="B934" t="str">
            <v>GCIA ZONA ESPECIALISTAS ANT BCA EMPRESA</v>
          </cell>
        </row>
        <row r="935">
          <cell r="B935" t="str">
            <v>GCIA ZONA ESPECIALISTAS BOGOTA BCA EMPRE</v>
          </cell>
        </row>
        <row r="936">
          <cell r="B936" t="str">
            <v>GCIA ZONA GCIAMTO ESPECIALIZADO PYME ANT</v>
          </cell>
        </row>
        <row r="937">
          <cell r="B937" t="str">
            <v>GCIA ZONA GERENCIAMIENTO  BPP BOGOTA</v>
          </cell>
        </row>
        <row r="938">
          <cell r="B938" t="str">
            <v>GCIA ZONA IBAGUE BPP CENTRO</v>
          </cell>
        </row>
        <row r="939">
          <cell r="B939" t="str">
            <v>GCIA ZONA INDUSTRIAL BPP BOGOTA</v>
          </cell>
        </row>
        <row r="940">
          <cell r="B940" t="str">
            <v>GCIA ZONA META BPP CENTRO</v>
          </cell>
        </row>
        <row r="941">
          <cell r="B941" t="str">
            <v>GCIA ZONA METROPOLITANA BPP ANTIOQUIA</v>
          </cell>
        </row>
        <row r="942">
          <cell r="B942" t="str">
            <v>GCIA ZONA METROPOLITANA BPP BOGOTA</v>
          </cell>
        </row>
        <row r="943">
          <cell r="B943" t="str">
            <v>GCIA ZONA NARIÑO BPP SUR</v>
          </cell>
        </row>
        <row r="944">
          <cell r="B944" t="str">
            <v>GCIA ZONA NEIVA BPP CENTRO</v>
          </cell>
        </row>
        <row r="945">
          <cell r="B945" t="str">
            <v>GCIA ZONA NOROCCIDENTE BPP BOGOTA</v>
          </cell>
        </row>
        <row r="946">
          <cell r="B946" t="str">
            <v>GCIA ZONA NORTE BPP ANTIOQUIA</v>
          </cell>
        </row>
        <row r="947">
          <cell r="B947" t="str">
            <v>GCIA ZONA NORTE BPP BOGOTA</v>
          </cell>
        </row>
        <row r="948">
          <cell r="B948" t="str">
            <v>GCIA ZONA NORTE DE SANTANDER BPP CENTRO</v>
          </cell>
        </row>
        <row r="949">
          <cell r="B949" t="str">
            <v>GCIA ZONA OCCIDENTE BPP ANTIOQUIA</v>
          </cell>
        </row>
        <row r="950">
          <cell r="B950" t="str">
            <v>GCIA ZONA OCCIDENTE BPP BOGOTA</v>
          </cell>
        </row>
        <row r="951">
          <cell r="B951" t="str">
            <v>GCIA ZONA ORIENTE BPP BOGOTA</v>
          </cell>
        </row>
        <row r="952">
          <cell r="B952" t="str">
            <v>GCIA ZONA ORINOQUIA Y AMAZONIA BPP CENTR</v>
          </cell>
        </row>
        <row r="953">
          <cell r="B953" t="str">
            <v>GCIA ZONA PERIFERICA BPP ANTIOQUIA</v>
          </cell>
        </row>
        <row r="954">
          <cell r="B954" t="str">
            <v>GCIA ZONA POBLADO BPP ANTIOQUIA</v>
          </cell>
        </row>
        <row r="955">
          <cell r="B955" t="str">
            <v>GCIA ZONA PREFERENCIAL  BPP ANTIOQUIA</v>
          </cell>
        </row>
        <row r="956">
          <cell r="B956" t="str">
            <v>GCIA ZONA PROVEEDORES ACTIVO RESTO PAIS</v>
          </cell>
        </row>
        <row r="957">
          <cell r="B957" t="str">
            <v>GCIA ZONA PYME ANTIOQUIA</v>
          </cell>
        </row>
        <row r="958">
          <cell r="B958" t="str">
            <v>GCIA ZONA PYME BOGOTA Y CENTRO</v>
          </cell>
        </row>
        <row r="959">
          <cell r="B959" t="str">
            <v>GCIA ZONA PYME CARIBE</v>
          </cell>
        </row>
        <row r="960">
          <cell r="B960" t="str">
            <v>GCIA ZONA PYME SUR Y EJE CAFETERO</v>
          </cell>
        </row>
        <row r="961">
          <cell r="B961" t="str">
            <v>GCIA ZONA QUIN Y CTRO DEL VALLE BPP SUR</v>
          </cell>
        </row>
        <row r="962">
          <cell r="B962" t="str">
            <v>GCIA ZONA SABANA BPP BOGOTA</v>
          </cell>
        </row>
        <row r="963">
          <cell r="B963" t="str">
            <v>GCIA ZONA SANTANDER BPP CENTRO</v>
          </cell>
        </row>
        <row r="964">
          <cell r="B964" t="str">
            <v>GCIA ZONA SANTANDERES</v>
          </cell>
        </row>
        <row r="965">
          <cell r="B965" t="str">
            <v>GCIA ZONA SIERRA NEVADA BPP CARIBE</v>
          </cell>
        </row>
        <row r="966">
          <cell r="B966" t="str">
            <v>GCIA ZONA SINU Y SABANAS BPP CARIBE</v>
          </cell>
        </row>
        <row r="967">
          <cell r="B967" t="str">
            <v>GCIA ZONA SUR</v>
          </cell>
        </row>
        <row r="968">
          <cell r="B968" t="str">
            <v>GCIA ZONA SUR BCA EMPRESARIAL</v>
          </cell>
        </row>
        <row r="969">
          <cell r="B969" t="str">
            <v>GCIA ZONA SUR BCA PYMES</v>
          </cell>
        </row>
        <row r="970">
          <cell r="B970" t="str">
            <v>GCIA ZONA SUR BPP ANTIOQUIA</v>
          </cell>
        </row>
        <row r="971">
          <cell r="B971" t="str">
            <v>GCIA ZONA SURCOLOMBIANA BPP CENTRO</v>
          </cell>
        </row>
        <row r="972">
          <cell r="B972" t="str">
            <v>GCIA ZONA SUROCCIDENTE BPP BOGOTA</v>
          </cell>
        </row>
        <row r="973">
          <cell r="B973" t="str">
            <v>GCIA ZONA TOLIMA BPP CENTRO</v>
          </cell>
        </row>
        <row r="974">
          <cell r="B974" t="str">
            <v>GCIA ZONA TUNJA BPP CENTRO</v>
          </cell>
        </row>
        <row r="975">
          <cell r="B975" t="str">
            <v>GCIA ZONA VALLE BPP SUR</v>
          </cell>
        </row>
        <row r="976">
          <cell r="B976" t="str">
            <v>GCIA ZONA VALLE DE ABURRA BPP ANTIOQUIA</v>
          </cell>
        </row>
        <row r="977">
          <cell r="B977" t="str">
            <v>GCIAMIENTO ESPCIALIZADO PYME BUCARAMANGA</v>
          </cell>
        </row>
        <row r="978">
          <cell r="B978" t="str">
            <v>GCIAMIENTO ESPECIALIZADO PYME B/QUILLA</v>
          </cell>
        </row>
        <row r="979">
          <cell r="B979" t="str">
            <v>GCIAMIENTO ESPECIALIZADO PYME CALI</v>
          </cell>
        </row>
        <row r="980">
          <cell r="B980" t="str">
            <v>GCIAMIENTO ESPECIALIZADO PYME CARTAGENA</v>
          </cell>
        </row>
        <row r="981">
          <cell r="B981" t="str">
            <v>GERENCIA DE DESARROLLO  DE SERVICIOS</v>
          </cell>
        </row>
        <row r="982">
          <cell r="B982" t="str">
            <v>GESTION DOCUMENTAL BARRANQUILLA</v>
          </cell>
        </row>
        <row r="983">
          <cell r="B983" t="str">
            <v>GESTION DOCUMENTAL CALI</v>
          </cell>
        </row>
        <row r="984">
          <cell r="B984" t="str">
            <v>GESTION FINANCIERA</v>
          </cell>
        </row>
        <row r="985">
          <cell r="B985" t="str">
            <v>GICA ME BPP ZONA METROPOLITANA  ANT</v>
          </cell>
        </row>
        <row r="986">
          <cell r="B986" t="str">
            <v>HUB</v>
          </cell>
        </row>
        <row r="987">
          <cell r="B987" t="str">
            <v>HUB DE INFORMACION</v>
          </cell>
        </row>
        <row r="988">
          <cell r="B988" t="str">
            <v>INTEGRACION</v>
          </cell>
        </row>
        <row r="989">
          <cell r="B989" t="str">
            <v>LEASING</v>
          </cell>
        </row>
        <row r="990">
          <cell r="B990" t="str">
            <v>MESA CAMBIOS</v>
          </cell>
        </row>
        <row r="991">
          <cell r="B991" t="str">
            <v>MESA CORPORATIVA BARRANQUILLA</v>
          </cell>
        </row>
        <row r="992">
          <cell r="B992" t="str">
            <v>MESA CORPORATIVA BOGOTA</v>
          </cell>
        </row>
        <row r="993">
          <cell r="B993" t="str">
            <v>MESA CORPORATIVA CALI</v>
          </cell>
        </row>
        <row r="994">
          <cell r="B994" t="str">
            <v>MESA CORPORATIVA MEDELLIN</v>
          </cell>
        </row>
        <row r="995">
          <cell r="B995" t="str">
            <v>MESA DERIVADOS</v>
          </cell>
        </row>
        <row r="996">
          <cell r="B996" t="str">
            <v>MESA DINERO</v>
          </cell>
        </row>
        <row r="997">
          <cell r="B997" t="str">
            <v>MESA DIVISAS</v>
          </cell>
        </row>
        <row r="998">
          <cell r="B998" t="str">
            <v>MESA INSTITUCIONAL</v>
          </cell>
        </row>
        <row r="999">
          <cell r="B999" t="str">
            <v>MESA PYME BOGOTA</v>
          </cell>
        </row>
        <row r="1000">
          <cell r="B1000" t="str">
            <v>MESA RENTA VARIABLE E INTERNAL</v>
          </cell>
        </row>
        <row r="1001">
          <cell r="B1001" t="str">
            <v>MESA SERVICIOS FINANCIERO</v>
          </cell>
        </row>
        <row r="1002">
          <cell r="B1002" t="str">
            <v>MESA TASA DE INTERES</v>
          </cell>
        </row>
        <row r="1003">
          <cell r="B1003" t="str">
            <v>MESA TASAS DE INTERES</v>
          </cell>
        </row>
        <row r="1004">
          <cell r="B1004" t="str">
            <v>MI NEGOCIO 20 DE JULIO</v>
          </cell>
        </row>
        <row r="1005">
          <cell r="B1005" t="str">
            <v>MI NEGOCIO ALCALDIA ARMENIA</v>
          </cell>
        </row>
        <row r="1006">
          <cell r="B1006" t="str">
            <v>MI NEGOCIO BOSA</v>
          </cell>
        </row>
        <row r="1007">
          <cell r="B1007" t="str">
            <v>MI NEGOCIO CARIBE</v>
          </cell>
        </row>
        <row r="1008">
          <cell r="B1008" t="str">
            <v>MI NEGOCIO CARRERA 23</v>
          </cell>
        </row>
        <row r="1009">
          <cell r="B1009" t="str">
            <v>MI NEGOCIO CARRERA OCTAVA</v>
          </cell>
        </row>
        <row r="1010">
          <cell r="B1010" t="str">
            <v>MI NEGOCIO CARRERA PRIMERA</v>
          </cell>
        </row>
        <row r="1011">
          <cell r="B1011" t="str">
            <v>MI NEGOCIO CARTAGENA</v>
          </cell>
        </row>
        <row r="1012">
          <cell r="B1012" t="str">
            <v>MI NEGOCIO EL LAGO</v>
          </cell>
        </row>
        <row r="1013">
          <cell r="B1013" t="str">
            <v>MI NEGOCIO GIRON</v>
          </cell>
        </row>
        <row r="1014">
          <cell r="B1014" t="str">
            <v>MI NEGOCIO ITAGUI</v>
          </cell>
        </row>
        <row r="1015">
          <cell r="B1015" t="str">
            <v>MI NEGOCIO LAS FERIAS</v>
          </cell>
        </row>
        <row r="1016">
          <cell r="B1016" t="str">
            <v>MI NEGOCIO LIBERTADOR</v>
          </cell>
        </row>
        <row r="1017">
          <cell r="B1017" t="str">
            <v>MI NEGOCIO MONTERIA</v>
          </cell>
        </row>
        <row r="1018">
          <cell r="B1018" t="str">
            <v>MI NEGOCIO MURILLO</v>
          </cell>
        </row>
        <row r="1019">
          <cell r="B1019" t="str">
            <v>MI NEGOCIO PALMIRA</v>
          </cell>
        </row>
        <row r="1020">
          <cell r="B1020" t="str">
            <v>MI NEGOCIO PARQUE BOLIVAR</v>
          </cell>
        </row>
        <row r="1021">
          <cell r="B1021" t="str">
            <v>MI NEGOCIO PUENTE ARANDA</v>
          </cell>
        </row>
        <row r="1022">
          <cell r="B1022" t="str">
            <v>MI NEGOCIO RIONEGRO</v>
          </cell>
        </row>
        <row r="1023">
          <cell r="B1023" t="str">
            <v>MI NEGOCIO SAN FERNANDO</v>
          </cell>
        </row>
        <row r="1024">
          <cell r="B1024" t="str">
            <v>MI NEGOCIO SANTA MARTA</v>
          </cell>
        </row>
        <row r="1025">
          <cell r="B1025" t="str">
            <v>MI NEGOCIO SOLEDAD</v>
          </cell>
        </row>
        <row r="1026">
          <cell r="B1026" t="str">
            <v>MI NEGOCIO SUBA</v>
          </cell>
        </row>
        <row r="1027">
          <cell r="B1027" t="str">
            <v>MI NEGOCIO TOBERIN</v>
          </cell>
        </row>
        <row r="1028">
          <cell r="B1028" t="str">
            <v>MI NEGOCIO TULUA</v>
          </cell>
        </row>
        <row r="1029">
          <cell r="B1029" t="str">
            <v>MI NEGOCIO VALLEDUPAR</v>
          </cell>
        </row>
        <row r="1030">
          <cell r="B1030" t="str">
            <v>MIGRACION CORE</v>
          </cell>
        </row>
        <row r="1031">
          <cell r="B1031" t="str">
            <v>MIGRACION CORE Y CRM</v>
          </cell>
        </row>
        <row r="1032">
          <cell r="B1032" t="str">
            <v>MIGRACION TARJETAS</v>
          </cell>
        </row>
        <row r="1033">
          <cell r="B1033" t="str">
            <v>MIGRACION TESORERIA</v>
          </cell>
        </row>
        <row r="1034">
          <cell r="B1034" t="str">
            <v>OFICINA IMPLEMENTACION DE ESTRUCTURA</v>
          </cell>
        </row>
        <row r="1035">
          <cell r="B1035" t="str">
            <v>OPERACIONES Y CANALES</v>
          </cell>
        </row>
        <row r="1036">
          <cell r="B1036" t="str">
            <v>PASIVOS</v>
          </cell>
        </row>
        <row r="1037">
          <cell r="B1037" t="str">
            <v>PMO INNOVA</v>
          </cell>
        </row>
        <row r="1038">
          <cell r="B1038" t="str">
            <v>PMO PRODUCTOS Y CANALES</v>
          </cell>
        </row>
        <row r="1039">
          <cell r="B1039" t="str">
            <v>POSICION PROPIA</v>
          </cell>
        </row>
        <row r="1040">
          <cell r="B1040" t="str">
            <v>PRESIDENCIA</v>
          </cell>
        </row>
        <row r="1041">
          <cell r="B1041" t="str">
            <v>PRESIDENCIA LEASING</v>
          </cell>
        </row>
        <row r="1042">
          <cell r="B1042" t="str">
            <v>PRESIDENCIA VALORES</v>
          </cell>
        </row>
        <row r="1043">
          <cell r="B1043" t="str">
            <v>PROC CCIALES DE APERT Y NOVEDADES PDTOS</v>
          </cell>
        </row>
        <row r="1044">
          <cell r="B1044" t="str">
            <v>PROCESOS</v>
          </cell>
        </row>
        <row r="1045">
          <cell r="B1045" t="str">
            <v>PROCESOS CANALES</v>
          </cell>
        </row>
        <row r="1046">
          <cell r="B1046" t="str">
            <v>PROCESOS CARTERA Y TRADE</v>
          </cell>
        </row>
        <row r="1047">
          <cell r="B1047" t="str">
            <v>PROCESOS CLIENTES</v>
          </cell>
        </row>
        <row r="1048">
          <cell r="B1048" t="str">
            <v>PROCESOS CONTABLES Y FINANCIEROS</v>
          </cell>
        </row>
        <row r="1049">
          <cell r="B1049" t="str">
            <v>PROCESOS PAGOS</v>
          </cell>
        </row>
        <row r="1050">
          <cell r="B1050" t="str">
            <v>PROCESOS PASIVOS</v>
          </cell>
        </row>
        <row r="1051">
          <cell r="B1051" t="str">
            <v>PROCESOS SOPORTE APOYO Y FINANCIERO</v>
          </cell>
        </row>
        <row r="1052">
          <cell r="B1052" t="str">
            <v>PROCESOS TARJETAS</v>
          </cell>
        </row>
        <row r="1053">
          <cell r="B1053" t="str">
            <v>PROCESOS TESORERIA</v>
          </cell>
        </row>
        <row r="1054">
          <cell r="B1054" t="str">
            <v>PROYECTO INNOVA</v>
          </cell>
        </row>
        <row r="1055">
          <cell r="B1055" t="str">
            <v>REGIONAL OPERATIVA ANTIOQUIA</v>
          </cell>
        </row>
        <row r="1056">
          <cell r="B1056" t="str">
            <v>REGIONAL OPERATIVA SUR</v>
          </cell>
        </row>
        <row r="1057">
          <cell r="B1057" t="str">
            <v>SEC DLLO BANCA ELECTRONICA</v>
          </cell>
        </row>
        <row r="1058">
          <cell r="B1058" t="str">
            <v>SEC SERVICIO Y CONOCIMIENTO DEL CLIENTE</v>
          </cell>
        </row>
        <row r="1059">
          <cell r="B1059" t="str">
            <v>SEC SOPORTE EN SITIO</v>
          </cell>
        </row>
        <row r="1060">
          <cell r="B1060" t="str">
            <v>SECC CONTROL Y ASESORIA FINANCIERA EMP</v>
          </cell>
        </row>
        <row r="1061">
          <cell r="B1061" t="str">
            <v>SECC SUCURSALES CBN</v>
          </cell>
        </row>
        <row r="1062">
          <cell r="B1062" t="str">
            <v>SECCCION SERVICIOS DEPOSITOS</v>
          </cell>
        </row>
        <row r="1063">
          <cell r="B1063" t="str">
            <v>SECCION  CONTABLE DE CARTERA</v>
          </cell>
        </row>
        <row r="1064">
          <cell r="B1064" t="str">
            <v>SECCION  EMBARGOS Y SOLIC ENTES LEG</v>
          </cell>
        </row>
        <row r="1065">
          <cell r="B1065" t="str">
            <v>SECCION  EMBARGOS Y SOLIC LEGALES</v>
          </cell>
        </row>
        <row r="1066">
          <cell r="B1066" t="str">
            <v>SECCION  FONDOS DE INVERSION</v>
          </cell>
        </row>
        <row r="1067">
          <cell r="B1067" t="str">
            <v>SECCION  INTELIGECIA  DE INFORMACION</v>
          </cell>
        </row>
        <row r="1068">
          <cell r="B1068" t="str">
            <v>SECCION  REQUERIMIENTOS ENTES Y COMEX</v>
          </cell>
        </row>
        <row r="1069">
          <cell r="B1069" t="str">
            <v>SECCION  SERVICIOS DE COMPENSACION</v>
          </cell>
        </row>
        <row r="1070">
          <cell r="B1070" t="str">
            <v>SECCION  SERVICIOS DE RECAUDOS</v>
          </cell>
        </row>
        <row r="1071">
          <cell r="B1071" t="str">
            <v>SECCION ACTIVOS FIJOS BOGOTA Y CENTRO</v>
          </cell>
        </row>
        <row r="1072">
          <cell r="B1072" t="str">
            <v>SECCION ADMINISTRACION CONFIGURACION</v>
          </cell>
        </row>
        <row r="1073">
          <cell r="B1073" t="str">
            <v>SECCION ADMINISTRACION DATOS MAESTROS</v>
          </cell>
        </row>
        <row r="1074">
          <cell r="B1074" t="str">
            <v>SECCION ADMINISTRACION DE PORTAFOLIO</v>
          </cell>
        </row>
        <row r="1075">
          <cell r="B1075" t="str">
            <v>SECCION ADMON DE FIDEICOMISOS</v>
          </cell>
        </row>
        <row r="1076">
          <cell r="B1076" t="str">
            <v>SECCION ADMON DE IDENTIDADES Y ACCESOS</v>
          </cell>
        </row>
        <row r="1077">
          <cell r="B1077" t="str">
            <v>SECCION ADQUISICION DE PORTAFOLIO</v>
          </cell>
        </row>
        <row r="1078">
          <cell r="B1078" t="str">
            <v>SECCION ALIADOS ESTRATEGICOS</v>
          </cell>
        </row>
        <row r="1079">
          <cell r="B1079" t="str">
            <v>SECCION ALIADOS SEGUROS</v>
          </cell>
        </row>
        <row r="1080">
          <cell r="B1080" t="str">
            <v>SECCION ALMACENAMIENTO Y RESPALDO</v>
          </cell>
        </row>
        <row r="1081">
          <cell r="B1081" t="str">
            <v>SECCION ANALISIS RGO DE CREDITO</v>
          </cell>
        </row>
        <row r="1082">
          <cell r="B1082" t="str">
            <v>SECCION ANALITICA Y MINERIA</v>
          </cell>
        </row>
        <row r="1083">
          <cell r="B1083" t="str">
            <v>SECCION APOYO AL TARJETAHABIENTE</v>
          </cell>
        </row>
        <row r="1084">
          <cell r="B1084" t="str">
            <v>SECCION APOYO GESTION  RO Y CONTINUIDAD</v>
          </cell>
        </row>
        <row r="1085">
          <cell r="B1085" t="str">
            <v>SECCION APOYO OPERATIVO  SUR</v>
          </cell>
        </row>
        <row r="1086">
          <cell r="B1086" t="str">
            <v>SECCION APOYO OPERATIVO CARIBE</v>
          </cell>
        </row>
        <row r="1087">
          <cell r="B1087" t="str">
            <v>SECCION APOYO OPERATIVO MEDELLIN</v>
          </cell>
        </row>
        <row r="1088">
          <cell r="B1088" t="str">
            <v>SECCION APTS</v>
          </cell>
        </row>
        <row r="1089">
          <cell r="B1089" t="str">
            <v>SECCION ARQUIT SLN PROYECTOS CORPORATIVO</v>
          </cell>
        </row>
        <row r="1090">
          <cell r="B1090" t="str">
            <v>SECCION ARQUIT SLN PROYECTOS EVOLUTIVOS</v>
          </cell>
        </row>
        <row r="1091">
          <cell r="B1091" t="str">
            <v>SECCION ASEGURAMIENTO DE CALIDAD</v>
          </cell>
        </row>
        <row r="1092">
          <cell r="B1092" t="str">
            <v>SECCION ASESORES INTEGRALES DE SEGURIDAD</v>
          </cell>
        </row>
        <row r="1093">
          <cell r="B1093" t="str">
            <v>SECCION ASIGNACION DE CAPITAL</v>
          </cell>
        </row>
        <row r="1094">
          <cell r="B1094" t="str">
            <v>SECCION AUDITORIA DE INFR E INSTALACION</v>
          </cell>
        </row>
        <row r="1095">
          <cell r="B1095" t="str">
            <v>SECCION AUDITORIA DE PDTOS Y SERVICIOS</v>
          </cell>
        </row>
        <row r="1096">
          <cell r="B1096" t="str">
            <v>SECCION BASE DE DATOS</v>
          </cell>
        </row>
        <row r="1097">
          <cell r="B1097" t="str">
            <v>SECCION CAJEROS AUTOMATICOS</v>
          </cell>
        </row>
        <row r="1098">
          <cell r="B1098" t="str">
            <v>SECCION CAJEROS ELECTRONICOS</v>
          </cell>
        </row>
        <row r="1099">
          <cell r="B1099" t="str">
            <v>SECCION CANAL VITUAL  Y TELEFONICO MK</v>
          </cell>
        </row>
        <row r="1100">
          <cell r="B1100" t="str">
            <v>SECCION CANALES</v>
          </cell>
        </row>
        <row r="1101">
          <cell r="B1101" t="str">
            <v>SECCION CANALES</v>
          </cell>
        </row>
        <row r="1102">
          <cell r="B1102" t="str">
            <v>SECCION CANALES ESPECIALIZADOS</v>
          </cell>
        </row>
        <row r="1103">
          <cell r="B1103" t="str">
            <v>SECCION CANALES INDIRECTOS ANTIOQUIA</v>
          </cell>
        </row>
        <row r="1104">
          <cell r="B1104" t="str">
            <v>SECCION CANALES INDIRECTOS BOGOTA</v>
          </cell>
        </row>
        <row r="1105">
          <cell r="B1105" t="str">
            <v>SECCION CANALES INDIRECTOS CARIBE</v>
          </cell>
        </row>
        <row r="1106">
          <cell r="B1106" t="str">
            <v>SECCION CANALES INDIRECTOS CENTRO</v>
          </cell>
        </row>
        <row r="1107">
          <cell r="B1107" t="str">
            <v>SECCION CANALES INDIRECTOS SUR</v>
          </cell>
        </row>
        <row r="1108">
          <cell r="B1108" t="str">
            <v>SECCION CANALES TRADICIONALES</v>
          </cell>
        </row>
        <row r="1109">
          <cell r="B1109" t="str">
            <v>SECCION CAPTACIONES</v>
          </cell>
        </row>
        <row r="1110">
          <cell r="B1110" t="str">
            <v>SECCION CARTERA COMERCIAL</v>
          </cell>
        </row>
        <row r="1111">
          <cell r="B1111" t="str">
            <v>SECCION CARTERA HIPOTECARIA</v>
          </cell>
        </row>
        <row r="1112">
          <cell r="B1112" t="str">
            <v>SECCION CARTERAS COLECTIVAS</v>
          </cell>
        </row>
        <row r="1113">
          <cell r="B1113" t="str">
            <v>SECCION CCIAL COLECTIVOS ANT</v>
          </cell>
        </row>
        <row r="1114">
          <cell r="B1114" t="str">
            <v>SECCION CCIAL COLECTIVOS ANT 1</v>
          </cell>
        </row>
        <row r="1115">
          <cell r="B1115" t="str">
            <v>SECCION CCIAL COLECTIVOS ANT 3</v>
          </cell>
        </row>
        <row r="1116">
          <cell r="B1116" t="str">
            <v>SECCION CCIAL COLECTIVOS BOGOTA</v>
          </cell>
        </row>
        <row r="1117">
          <cell r="B1117" t="str">
            <v>SECCION CCIAL COLECTIVOS BOGOTA 2</v>
          </cell>
        </row>
        <row r="1118">
          <cell r="B1118" t="str">
            <v>SECCION CCIAL COLECTIVOS BOGOTA 3</v>
          </cell>
        </row>
        <row r="1119">
          <cell r="B1119" t="str">
            <v>SECCION CCIAL COLECTIVOS BOGOTA 4</v>
          </cell>
        </row>
        <row r="1120">
          <cell r="B1120" t="str">
            <v>SECCION CCIAL COLECTIVOS CARIBE</v>
          </cell>
        </row>
        <row r="1121">
          <cell r="B1121" t="str">
            <v>SECCION CCIAL COLECTIVOS CARIBE 2</v>
          </cell>
        </row>
        <row r="1122">
          <cell r="B1122" t="str">
            <v>SECCION CCIAL COLECTIVOS CENTRO</v>
          </cell>
        </row>
        <row r="1123">
          <cell r="B1123" t="str">
            <v>SECCION CCIAL COLECTIVOS CENTRO 2</v>
          </cell>
        </row>
        <row r="1124">
          <cell r="B1124" t="str">
            <v>SECCION CCIAL COLECTIVOS SUR</v>
          </cell>
        </row>
        <row r="1125">
          <cell r="B1125" t="str">
            <v>SECCION CCIAL COLECTIVOS SUR 2</v>
          </cell>
        </row>
        <row r="1126">
          <cell r="B1126" t="str">
            <v>SECCION CCIAL MIT Y ADQUIRENCIA ANT</v>
          </cell>
        </row>
        <row r="1127">
          <cell r="B1127" t="str">
            <v>SECCION CCIAL MIT Y ADQUIRENCIA BOGOTA 1</v>
          </cell>
        </row>
        <row r="1128">
          <cell r="B1128" t="str">
            <v>SECCION CCIAL MIT Y ADQUIRENCIA BOGOTA 2</v>
          </cell>
        </row>
        <row r="1129">
          <cell r="B1129" t="str">
            <v>SECCION CCIAL MIT Y ADQUIRENCIA CARIBE</v>
          </cell>
        </row>
        <row r="1130">
          <cell r="B1130" t="str">
            <v>SECCION CCIAL MIT Y ADQUIRENCIA CENTRO</v>
          </cell>
        </row>
        <row r="1131">
          <cell r="B1131" t="str">
            <v>SECCION CCIAL MIT Y ADQUIRENCIA SUR</v>
          </cell>
        </row>
        <row r="1132">
          <cell r="B1132" t="str">
            <v>SECCION CENTRO DE TELECOMUNICACIONES</v>
          </cell>
        </row>
        <row r="1133">
          <cell r="B1133" t="str">
            <v>SECCION CERTF CANALES MEDIOS DE PAGO</v>
          </cell>
        </row>
        <row r="1134">
          <cell r="B1134" t="str">
            <v>SECCION CERTF INTEGRACION E INFORMACION</v>
          </cell>
        </row>
        <row r="1135">
          <cell r="B1135" t="str">
            <v>SECCION CERTF MERCADO DE CAPITALES</v>
          </cell>
        </row>
        <row r="1136">
          <cell r="B1136" t="str">
            <v>SECCION CERTF NEGOCIOS DEL ACTIVO</v>
          </cell>
        </row>
        <row r="1137">
          <cell r="B1137" t="str">
            <v>SECCION CERTF NEGOCIOS DEL PASIVO Y ESPE</v>
          </cell>
        </row>
        <row r="1138">
          <cell r="B1138" t="str">
            <v>SECCION CERTF SAP Y APLICACIONES CORPO</v>
          </cell>
        </row>
        <row r="1139">
          <cell r="B1139" t="str">
            <v>SECCION COBRANZAS CASAS EXTERNAS</v>
          </cell>
        </row>
        <row r="1140">
          <cell r="B1140" t="str">
            <v>SECCION COBRANZAS URA ANTIOQUIA</v>
          </cell>
        </row>
        <row r="1141">
          <cell r="B1141" t="str">
            <v>SECCION COBRANZAS URA BOGOTA</v>
          </cell>
        </row>
        <row r="1142">
          <cell r="B1142" t="str">
            <v>SECCION COBRANZAS URA CARIBE</v>
          </cell>
        </row>
        <row r="1143">
          <cell r="B1143" t="str">
            <v>SECCION COBRANZAS URA CENTRO</v>
          </cell>
        </row>
        <row r="1144">
          <cell r="B1144" t="str">
            <v>SECCION COBRANZAS URA SUR</v>
          </cell>
        </row>
        <row r="1145">
          <cell r="B1145" t="str">
            <v>SECCION COMERCIALIZACION DE ACT BOG</v>
          </cell>
        </row>
        <row r="1146">
          <cell r="B1146" t="str">
            <v>SECCION COMERCIALIZACION DE ACT FIJOS</v>
          </cell>
        </row>
        <row r="1147">
          <cell r="B1147" t="str">
            <v>SECCION CONCILIACIONES</v>
          </cell>
        </row>
        <row r="1148">
          <cell r="B1148" t="str">
            <v>SECCION CONCILIACIONES BANCARIAS</v>
          </cell>
        </row>
        <row r="1149">
          <cell r="B1149" t="str">
            <v>SECCION CONSOLIDACION</v>
          </cell>
        </row>
        <row r="1150">
          <cell r="B1150" t="str">
            <v>SECCION CONTABILIDAD CLIENTES</v>
          </cell>
        </row>
        <row r="1151">
          <cell r="B1151" t="str">
            <v>SECCION CONTABILIDAD FIDUCIARIA</v>
          </cell>
        </row>
        <row r="1152">
          <cell r="B1152" t="str">
            <v>SECCION CONTABL E INFORMES MEDIOS DE PAG</v>
          </cell>
        </row>
        <row r="1153">
          <cell r="B1153" t="str">
            <v>SECCION CONTABLE  ADMISTRATIVA</v>
          </cell>
        </row>
        <row r="1154">
          <cell r="B1154" t="str">
            <v>SECCION CONTABLE DEL ACTIVO FIJO</v>
          </cell>
        </row>
        <row r="1155">
          <cell r="B1155" t="str">
            <v>SECCION CONTABLE DEL GASTO Y RECAUDO</v>
          </cell>
        </row>
        <row r="1156">
          <cell r="B1156" t="str">
            <v>SECCION CONTRATACION Y COMPRAS</v>
          </cell>
        </row>
        <row r="1157">
          <cell r="B1157" t="str">
            <v>SECCION CONTROL DE ACCESOS</v>
          </cell>
        </row>
        <row r="1158">
          <cell r="B1158" t="str">
            <v>SECCION CORRETAJE Y APT</v>
          </cell>
        </row>
        <row r="1159">
          <cell r="B1159" t="str">
            <v>SECCION CREACION DE PRODUCTOS RENTING</v>
          </cell>
        </row>
        <row r="1160">
          <cell r="B1160" t="str">
            <v>SECCION CREDITO FACTORING</v>
          </cell>
        </row>
        <row r="1161">
          <cell r="B1161" t="str">
            <v>SECCION CREDITO SUFI ANTIOQUIA Y CARIBE</v>
          </cell>
        </row>
        <row r="1162">
          <cell r="B1162" t="str">
            <v>SECCION CREDITO SUFI BOGOTA Y CENTRO</v>
          </cell>
        </row>
        <row r="1163">
          <cell r="B1163" t="str">
            <v>SECCION CREDITO SUFI SUR</v>
          </cell>
        </row>
        <row r="1164">
          <cell r="B1164" t="str">
            <v>SECCION CREDITOS PASIVOS</v>
          </cell>
        </row>
        <row r="1165">
          <cell r="B1165" t="str">
            <v>SECCION CREDITOS PASIVOS Y REDESCUENTO</v>
          </cell>
        </row>
        <row r="1166">
          <cell r="B1166" t="str">
            <v>SECCION CUANTIFICACION DE RIESGO</v>
          </cell>
        </row>
        <row r="1167">
          <cell r="B1167" t="str">
            <v>SECCION DATOS MAESTROS Y OPERACIONALES</v>
          </cell>
        </row>
        <row r="1168">
          <cell r="B1168" t="str">
            <v>SECCION DE APOYO ADMINISTRATIVO PIC</v>
          </cell>
        </row>
        <row r="1169">
          <cell r="B1169" t="str">
            <v>SECCION DE CREDITO BANCA EMPRESARIAL</v>
          </cell>
        </row>
        <row r="1170">
          <cell r="B1170" t="str">
            <v>SECCION DE CREDITO BANCA PYME</v>
          </cell>
        </row>
        <row r="1171">
          <cell r="B1171" t="str">
            <v>SECCION DE ENDEUDAMIENTO E INFORMES</v>
          </cell>
        </row>
        <row r="1172">
          <cell r="B1172" t="str">
            <v>SECCION DE IMPUESTOS DE FILIALES</v>
          </cell>
        </row>
        <row r="1173">
          <cell r="B1173" t="str">
            <v>SECCION DE IMPUESTOS FIDUCIARIA</v>
          </cell>
        </row>
        <row r="1174">
          <cell r="B1174" t="str">
            <v>SECCION DE PROCESOS DE CLIENTES</v>
          </cell>
        </row>
        <row r="1175">
          <cell r="B1175" t="str">
            <v>SECCION DE REDES SOCIALES</v>
          </cell>
        </row>
        <row r="1176">
          <cell r="B1176" t="str">
            <v>SECCION DEF CONTABLES ADTIVAS Y DE CNALE</v>
          </cell>
        </row>
        <row r="1177">
          <cell r="B1177" t="str">
            <v>SECCION DEFINICIONES CONTABLES DE PDTOS</v>
          </cell>
        </row>
        <row r="1178">
          <cell r="B1178" t="str">
            <v>SECCION DEFINICIONES Y ASESORIA TRIBUTAR</v>
          </cell>
        </row>
        <row r="1179">
          <cell r="B1179" t="str">
            <v>SECCION DESARROLLO DE CANALES ALTERNOS</v>
          </cell>
        </row>
        <row r="1180">
          <cell r="B1180" t="str">
            <v>SECCION DESEMBOLSOS REDESCUENTOS</v>
          </cell>
        </row>
        <row r="1181">
          <cell r="B1181" t="str">
            <v>SECCION DESEMBOLSOS Y GARANTIAS</v>
          </cell>
        </row>
        <row r="1182">
          <cell r="B1182" t="str">
            <v>SECCION DISEÑO DE SEGURIDAD</v>
          </cell>
        </row>
        <row r="1183">
          <cell r="B1183" t="str">
            <v>SECCION DISEÑO E IMPLEMENTACION DE SEGUR</v>
          </cell>
        </row>
        <row r="1184">
          <cell r="B1184" t="str">
            <v>SECCION DISEÑOS Y ADECUACIONES</v>
          </cell>
        </row>
        <row r="1185">
          <cell r="B1185" t="str">
            <v>SECCION DLLO ADMINISTRATIVO Y GTION HUMA</v>
          </cell>
        </row>
        <row r="1186">
          <cell r="B1186" t="str">
            <v>SECCION DLLO APLICACIONES TI</v>
          </cell>
        </row>
        <row r="1187">
          <cell r="B1187" t="str">
            <v>SECCION DLLO CANALES A DISTANCIA</v>
          </cell>
        </row>
        <row r="1188">
          <cell r="B1188" t="str">
            <v>SECCION DLLO CANALES CORE</v>
          </cell>
        </row>
        <row r="1189">
          <cell r="B1189" t="str">
            <v>SECCION DLLO CANALES FISICOS</v>
          </cell>
        </row>
        <row r="1190">
          <cell r="B1190" t="str">
            <v>SECCION DLLO CARTERA COMERCIAL Y CONSUMO</v>
          </cell>
        </row>
        <row r="1191">
          <cell r="B1191" t="str">
            <v>SECCION DLLO CLIENTES LEGADOS</v>
          </cell>
        </row>
        <row r="1192">
          <cell r="B1192" t="str">
            <v>SECCION DLLO COMERCIO</v>
          </cell>
        </row>
        <row r="1193">
          <cell r="B1193" t="str">
            <v>SECCION DLLO DEL PASIVO</v>
          </cell>
        </row>
        <row r="1194">
          <cell r="B1194" t="str">
            <v>SECCION DLLO FACTORIG</v>
          </cell>
        </row>
        <row r="1195">
          <cell r="B1195" t="str">
            <v>SECCION DLLO FILIALES DEL EXTERIOR</v>
          </cell>
        </row>
        <row r="1196">
          <cell r="B1196" t="str">
            <v>SECCION DLLO FINANCIERO Y CONTABILIDAD</v>
          </cell>
        </row>
        <row r="1197">
          <cell r="B1197" t="str">
            <v>SECCION DLLO LEASING</v>
          </cell>
        </row>
        <row r="1198">
          <cell r="B1198" t="str">
            <v>SECCION DLLO PIC Y CREDITO HIPOTECARIO</v>
          </cell>
        </row>
        <row r="1199">
          <cell r="B1199" t="str">
            <v>SECCION DLLO RIESGOS</v>
          </cell>
        </row>
        <row r="1200">
          <cell r="B1200" t="str">
            <v>SECCION DLLO SEGURIDAD</v>
          </cell>
        </row>
        <row r="1201">
          <cell r="B1201" t="str">
            <v>SECCION DLLO SERVICIOS DE INTEGRACION</v>
          </cell>
        </row>
        <row r="1202">
          <cell r="B1202" t="str">
            <v>SECCION DLLO SUFI</v>
          </cell>
        </row>
        <row r="1203">
          <cell r="B1203" t="str">
            <v>SECCION DLLO TARJETA DE CREDITO Y ADQUIR</v>
          </cell>
        </row>
        <row r="1204">
          <cell r="B1204" t="str">
            <v>SECCION DLLO TARJETA DEBITO</v>
          </cell>
        </row>
        <row r="1205">
          <cell r="B1205" t="str">
            <v>SECCION DLLO TRANSVERSAL SAP</v>
          </cell>
        </row>
        <row r="1206">
          <cell r="B1206" t="str">
            <v>SECCION DLLO VISUALIZACION Y ENTREGA</v>
          </cell>
        </row>
        <row r="1207">
          <cell r="B1207" t="str">
            <v>SECCION E TRADING</v>
          </cell>
        </row>
        <row r="1208">
          <cell r="B1208" t="str">
            <v>SECCION EMISIONES  20F</v>
          </cell>
        </row>
        <row r="1209">
          <cell r="B1209" t="str">
            <v>SECCION ESTRATEGIA CLIENTES SUFI</v>
          </cell>
        </row>
        <row r="1210">
          <cell r="B1210" t="str">
            <v>SECCION ESTRATEGIA DE CONTRATACION Y COM</v>
          </cell>
        </row>
        <row r="1211">
          <cell r="B1211" t="str">
            <v>SECCION ESTRATEGIA DE CUMPLIMIENTO</v>
          </cell>
        </row>
        <row r="1212">
          <cell r="B1212" t="str">
            <v>SECCION EXPERIENCIA DEL CLIENTE</v>
          </cell>
        </row>
        <row r="1213">
          <cell r="B1213" t="str">
            <v>SECCION FALLAS DE TI</v>
          </cell>
        </row>
        <row r="1214">
          <cell r="B1214" t="str">
            <v>SECCION FIDUCIA PRIVADA 1</v>
          </cell>
        </row>
        <row r="1215">
          <cell r="B1215" t="str">
            <v>SECCION FIDUCIA PRIVADA 2</v>
          </cell>
        </row>
        <row r="1216">
          <cell r="B1216" t="str">
            <v>SECCION FIDUCIA PRIVADA 3</v>
          </cell>
        </row>
        <row r="1217">
          <cell r="B1217" t="str">
            <v>SECCION FIDUCIA PRIVADA 4</v>
          </cell>
        </row>
        <row r="1218">
          <cell r="B1218" t="str">
            <v>SECCION FIDUCIA PRIVADA 5</v>
          </cell>
        </row>
        <row r="1219">
          <cell r="B1219" t="str">
            <v>SECCION FIDUCIA PRIVADA 6</v>
          </cell>
        </row>
        <row r="1220">
          <cell r="B1220" t="str">
            <v>SECCION FIDUCIA PRIVADA 7</v>
          </cell>
        </row>
        <row r="1221">
          <cell r="B1221" t="str">
            <v>SECCION FIDUCIA PRIVADA 8</v>
          </cell>
        </row>
        <row r="1222">
          <cell r="B1222" t="str">
            <v>SECCION FIDUCIA PUBLICA 1</v>
          </cell>
        </row>
        <row r="1223">
          <cell r="B1223" t="str">
            <v>SECCION FIDUCIA PUBLICA 2</v>
          </cell>
        </row>
        <row r="1224">
          <cell r="B1224" t="str">
            <v>SECCION FIDUCIA PUBLICA 3</v>
          </cell>
        </row>
        <row r="1225">
          <cell r="B1225" t="str">
            <v>SECCION FIDUCIA PUBLICA 5</v>
          </cell>
        </row>
        <row r="1226">
          <cell r="B1226" t="str">
            <v>SECCION FIDUCIA PUBLICA 6</v>
          </cell>
        </row>
        <row r="1227">
          <cell r="B1227" t="str">
            <v>SECCION FINANCIERO Y DLLO CONTABILIDAD</v>
          </cell>
        </row>
        <row r="1228">
          <cell r="B1228" t="str">
            <v>SECCION FORMACION</v>
          </cell>
        </row>
        <row r="1229">
          <cell r="B1229" t="str">
            <v>SECCION GARANTIAS Y DESEMBOLSOS SUFI</v>
          </cell>
        </row>
        <row r="1230">
          <cell r="B1230" t="str">
            <v>SECCION GENERACION ESTADOS FCROS E INF</v>
          </cell>
        </row>
        <row r="1231">
          <cell r="B1231" t="str">
            <v>SECCION GESTION ANALITICA DE CUMPLIMIENT</v>
          </cell>
        </row>
        <row r="1232">
          <cell r="B1232" t="str">
            <v>SECCION GESTION BANCARIA</v>
          </cell>
        </row>
        <row r="1233">
          <cell r="B1233" t="str">
            <v>SECCION GESTION CONTABLE</v>
          </cell>
        </row>
        <row r="1234">
          <cell r="B1234" t="str">
            <v>SECCION GESTION CONTABLE  Y REPORTES LMC</v>
          </cell>
        </row>
        <row r="1235">
          <cell r="B1235" t="str">
            <v>SECCION GESTION CONTROLES DE SEGURIDAD</v>
          </cell>
        </row>
        <row r="1236">
          <cell r="B1236" t="str">
            <v>SECCION GESTION DE CAMBIOS</v>
          </cell>
        </row>
        <row r="1237">
          <cell r="B1237" t="str">
            <v>SECCION GESTION DE FALLAS TECNOLOGICAS</v>
          </cell>
        </row>
        <row r="1238">
          <cell r="B1238" t="str">
            <v>SECCION GESTION DE INFRAESTRUCTURA</v>
          </cell>
        </row>
        <row r="1239">
          <cell r="B1239" t="str">
            <v>SECCION GESTION DE INVERSIONES</v>
          </cell>
        </row>
        <row r="1240">
          <cell r="B1240" t="str">
            <v>SECCION GESTION DE LA DEMANDA CANALES</v>
          </cell>
        </row>
        <row r="1241">
          <cell r="B1241" t="str">
            <v>SECCION GESTION DE LA DEMANDA MIT</v>
          </cell>
        </row>
        <row r="1242">
          <cell r="B1242" t="str">
            <v>SECCION GESTION DE PROPIEDAD</v>
          </cell>
        </row>
        <row r="1243">
          <cell r="B1243" t="str">
            <v>SECCION GESTION DE SERVICIOS</v>
          </cell>
        </row>
        <row r="1244">
          <cell r="B1244" t="str">
            <v>SECCION GESTION DEL CAMBIO Y DESARROLLO</v>
          </cell>
        </row>
        <row r="1245">
          <cell r="B1245" t="str">
            <v>SECCION GESTION DEMANDA MEDIOS DE PAGO</v>
          </cell>
        </row>
        <row r="1246">
          <cell r="B1246" t="str">
            <v>SECCION GESTION DOCUMENTAL COLABORACION</v>
          </cell>
        </row>
        <row r="1247">
          <cell r="B1247" t="str">
            <v>SECCION GESTION INTERNACIONAL</v>
          </cell>
        </row>
        <row r="1248">
          <cell r="B1248" t="str">
            <v>SECCION GESTION OPERACIONES FINANCIERAS</v>
          </cell>
        </row>
        <row r="1249">
          <cell r="B1249" t="str">
            <v>SECCION GESTION PROC INTEG DE ABASTECI</v>
          </cell>
        </row>
        <row r="1250">
          <cell r="B1250" t="str">
            <v>SECCION GESTORES DE CAPACIDAD</v>
          </cell>
        </row>
        <row r="1251">
          <cell r="B1251" t="str">
            <v>SECCION GOBIERNO Y ESTRATEGIA DE SEGURID</v>
          </cell>
        </row>
        <row r="1252">
          <cell r="B1252" t="str">
            <v>SECCION GRABACION LIMITES</v>
          </cell>
        </row>
        <row r="1253">
          <cell r="B1253" t="str">
            <v>SECCION GTION ADTIVA DE ING DE PROCS</v>
          </cell>
        </row>
        <row r="1254">
          <cell r="B1254" t="str">
            <v>SECCION HERRAMIENTAS DE INTEGRACION</v>
          </cell>
        </row>
        <row r="1255">
          <cell r="B1255" t="str">
            <v>SECCION IMPORTACIONES LEASING</v>
          </cell>
        </row>
        <row r="1256">
          <cell r="B1256" t="str">
            <v>SECCION IMPUESTOS LEASING</v>
          </cell>
        </row>
        <row r="1257">
          <cell r="B1257" t="str">
            <v>SECCION IMPUESTOS RENTA</v>
          </cell>
        </row>
        <row r="1258">
          <cell r="B1258" t="str">
            <v>SECCION IMPUESTOS VALORES</v>
          </cell>
        </row>
        <row r="1259">
          <cell r="B1259" t="str">
            <v>SECCION INFORMACION CLIENTES</v>
          </cell>
        </row>
        <row r="1260">
          <cell r="B1260" t="str">
            <v>SECCION INFORMACION DE CUMPLIMIENTO</v>
          </cell>
        </row>
        <row r="1261">
          <cell r="B1261" t="str">
            <v>SECCION INFORMACION FINANCIERA EMPRESAS</v>
          </cell>
        </row>
        <row r="1262">
          <cell r="B1262" t="str">
            <v>SECCION INFORMACION Y MEDICION</v>
          </cell>
        </row>
        <row r="1263">
          <cell r="B1263" t="str">
            <v>SECCION INFORMACION Y MERCADEO</v>
          </cell>
        </row>
        <row r="1264">
          <cell r="B1264" t="str">
            <v>SECCION INFRA CAJEROS ELECTRONICOS</v>
          </cell>
        </row>
        <row r="1265">
          <cell r="B1265" t="str">
            <v>SECCION INFRAESTRUCTURA APLICATIVA</v>
          </cell>
        </row>
        <row r="1266">
          <cell r="B1266" t="str">
            <v>SECCION INFRAESTRUCTURA CANALES</v>
          </cell>
        </row>
        <row r="1267">
          <cell r="B1267" t="str">
            <v>SECCION ING DE PROCESOS ESPECIALES</v>
          </cell>
        </row>
        <row r="1268">
          <cell r="B1268" t="str">
            <v>SECCION INGENIERIA PROCESOS DE CARTERA</v>
          </cell>
        </row>
        <row r="1269">
          <cell r="B1269" t="str">
            <v>SECCION INTELIGENCIA COMERCIAL</v>
          </cell>
        </row>
        <row r="1270">
          <cell r="B1270" t="str">
            <v>SECCION INTELIGENCIA DE NEGOCIOS</v>
          </cell>
        </row>
        <row r="1271">
          <cell r="B1271" t="str">
            <v>SECCION INTERNET Y REDES EXTERNAS</v>
          </cell>
        </row>
        <row r="1272">
          <cell r="B1272" t="str">
            <v>SECCION INVESTIGACION Y DESARROLLO</v>
          </cell>
        </row>
        <row r="1273">
          <cell r="B1273" t="str">
            <v>SECCION INVESTIGACION Y MONITOREO DE SEG</v>
          </cell>
        </row>
        <row r="1274">
          <cell r="B1274" t="str">
            <v>SECCION INVESTIGACIONES ESPECIALES</v>
          </cell>
        </row>
        <row r="1275">
          <cell r="B1275" t="str">
            <v>SECCION IVA E ICA</v>
          </cell>
        </row>
        <row r="1276">
          <cell r="B1276" t="str">
            <v>SECCION JURID ANTIOQUIA BANC EMP Y GOB</v>
          </cell>
        </row>
        <row r="1277">
          <cell r="B1277" t="str">
            <v>SECCION JURID BOGOTA SABANA Y CENTRO BEG</v>
          </cell>
        </row>
        <row r="1278">
          <cell r="B1278" t="str">
            <v>SECCION JURID BPP BGTA SABANA Y CENTRO</v>
          </cell>
        </row>
        <row r="1279">
          <cell r="B1279" t="str">
            <v>SECCION JURID CARIBE BANC EMP Y GOB</v>
          </cell>
        </row>
        <row r="1280">
          <cell r="B1280" t="str">
            <v>SECCION JURID PERSONAS Y PYME ANTIOQUIA</v>
          </cell>
        </row>
        <row r="1281">
          <cell r="B1281" t="str">
            <v>SECCION JURID SUR BANC EMP Y GOB</v>
          </cell>
        </row>
        <row r="1282">
          <cell r="B1282" t="str">
            <v>SECCION JURIDICA ANTIOQUIA 2</v>
          </cell>
        </row>
        <row r="1283">
          <cell r="B1283" t="str">
            <v>SECCION JURIDICA BANCA GOBIERNO</v>
          </cell>
        </row>
        <row r="1284">
          <cell r="B1284" t="str">
            <v>SECCION JURIDICA BCA EMPRESAS Y GOBIERNO</v>
          </cell>
        </row>
        <row r="1285">
          <cell r="B1285" t="str">
            <v>SECCION JURIDICA COBRANZAS ANTIOQUIA</v>
          </cell>
        </row>
        <row r="1286">
          <cell r="B1286" t="str">
            <v>SECCION JURIDICA CONCURSALES</v>
          </cell>
        </row>
        <row r="1287">
          <cell r="B1287" t="str">
            <v>SECCION JURIDICA DE RECUPER CARTERA BOG</v>
          </cell>
        </row>
        <row r="1288">
          <cell r="B1288" t="str">
            <v>SECCION JURIDICA FACTORING</v>
          </cell>
        </row>
        <row r="1289">
          <cell r="B1289" t="str">
            <v>SECCION JURIDICA HIPOTECARIA</v>
          </cell>
        </row>
        <row r="1290">
          <cell r="B1290" t="str">
            <v>SECCION JURIDICA INMOBILIARIA</v>
          </cell>
        </row>
        <row r="1291">
          <cell r="B1291" t="str">
            <v>SECCION JURIDICA INSTITUCIONAL</v>
          </cell>
        </row>
        <row r="1292">
          <cell r="B1292" t="str">
            <v>SECCION JURIDICA INTERNACIONAL MED</v>
          </cell>
        </row>
        <row r="1293">
          <cell r="B1293" t="str">
            <v>SECCION JURIDICA MEDIOS DE PAGO</v>
          </cell>
        </row>
        <row r="1294">
          <cell r="B1294" t="str">
            <v>SECCION JURIDICA PROCS ESPECIALES ANT</v>
          </cell>
        </row>
        <row r="1295">
          <cell r="B1295" t="str">
            <v>SECCION JURIDICA PROCS ESPECIALES BOG</v>
          </cell>
        </row>
        <row r="1296">
          <cell r="B1296" t="str">
            <v>SECCION JURIDICA SUFI</v>
          </cell>
        </row>
        <row r="1297">
          <cell r="B1297" t="str">
            <v>SECCION LIBRANZA</v>
          </cell>
        </row>
        <row r="1298">
          <cell r="B1298" t="str">
            <v>SECCION LINEA DE CONOCIMIENTO 1</v>
          </cell>
        </row>
        <row r="1299">
          <cell r="B1299" t="str">
            <v>SECCION LINEA DE CONOCIMIENTO 2</v>
          </cell>
        </row>
        <row r="1300">
          <cell r="B1300" t="str">
            <v>SECCION LINEA DE CONOCIMIENTO 3</v>
          </cell>
        </row>
        <row r="1301">
          <cell r="B1301" t="str">
            <v>SECCION LIQUIDEZ</v>
          </cell>
        </row>
        <row r="1302">
          <cell r="B1302" t="str">
            <v>SECCION LOGISTICA Y DISTRIBUCION</v>
          </cell>
        </row>
        <row r="1303">
          <cell r="B1303" t="str">
            <v>SECCION MDEO ANALITICO E INF CLIENTES</v>
          </cell>
        </row>
        <row r="1304">
          <cell r="B1304" t="str">
            <v>SECCION MEDICION COMERCIAL</v>
          </cell>
        </row>
        <row r="1305">
          <cell r="B1305" t="str">
            <v>SECCION MERCADEO RELACIONAL</v>
          </cell>
        </row>
        <row r="1306">
          <cell r="B1306" t="str">
            <v>SECCION MERCADEO RELACIONAL BPP</v>
          </cell>
        </row>
        <row r="1307">
          <cell r="B1307" t="str">
            <v>SECCION MERCADO CAMBIARIO</v>
          </cell>
        </row>
        <row r="1308">
          <cell r="B1308" t="str">
            <v>SECCION MESA DE AYUDA JURIDICA</v>
          </cell>
        </row>
        <row r="1309">
          <cell r="B1309" t="str">
            <v>SECCION MESA INTEGRADA DE SERVICIOS</v>
          </cell>
        </row>
        <row r="1310">
          <cell r="B1310" t="str">
            <v>SECCION METRICAS Y DESEMPEÑO</v>
          </cell>
        </row>
        <row r="1311">
          <cell r="B1311" t="str">
            <v>SECCION MIDDLE OFFICE</v>
          </cell>
        </row>
        <row r="1312">
          <cell r="B1312" t="str">
            <v>SECCION MITIGACION RIESGO OPERACIONAL</v>
          </cell>
        </row>
        <row r="1313">
          <cell r="B1313" t="str">
            <v>SECCION MONITOREO DE COMPLIANCE</v>
          </cell>
        </row>
        <row r="1314">
          <cell r="B1314" t="str">
            <v>SECCION MONITOREO NORMAS CIERRES  FINANC</v>
          </cell>
        </row>
        <row r="1315">
          <cell r="B1315" t="str">
            <v>SECCION MONITOREO TI</v>
          </cell>
        </row>
        <row r="1316">
          <cell r="B1316" t="str">
            <v>SECCION NEGOCIOS ESPECIALES 2</v>
          </cell>
        </row>
        <row r="1317">
          <cell r="B1317" t="str">
            <v>SECCION NEGOCIOS ESPECIALES 3</v>
          </cell>
        </row>
        <row r="1318">
          <cell r="B1318" t="str">
            <v>SECCION NEGOCIOS ESPECIALES 4</v>
          </cell>
        </row>
        <row r="1319">
          <cell r="B1319" t="str">
            <v>SECCION NEGOCIOS ESPECIALES 5</v>
          </cell>
        </row>
        <row r="1320">
          <cell r="B1320" t="str">
            <v>SECCION NEGOCIOS FIDUCIARIOS</v>
          </cell>
        </row>
        <row r="1321">
          <cell r="B1321" t="str">
            <v>SECCION NOMINA</v>
          </cell>
        </row>
        <row r="1322">
          <cell r="B1322" t="str">
            <v>SECCION OPERACION DE LA MALLA</v>
          </cell>
        </row>
        <row r="1323">
          <cell r="B1323" t="str">
            <v>SECCION OPERACIONES  ESPECIALES</v>
          </cell>
        </row>
        <row r="1324">
          <cell r="B1324" t="str">
            <v>SECCION OPERACIONES CONTABLES</v>
          </cell>
        </row>
        <row r="1325">
          <cell r="B1325" t="str">
            <v>SECCION OPERACIONES DE TESORERIA</v>
          </cell>
        </row>
        <row r="1326">
          <cell r="B1326" t="str">
            <v>SECCION OPERACIONES INMOBILIARIAS 1</v>
          </cell>
        </row>
        <row r="1327">
          <cell r="B1327" t="str">
            <v>SECCION OPERACIONES INMOBILIARIAS 2</v>
          </cell>
        </row>
        <row r="1328">
          <cell r="B1328" t="str">
            <v>SECCION OPERACIONES INMOBILIARIAS 3</v>
          </cell>
        </row>
        <row r="1329">
          <cell r="B1329" t="str">
            <v>SECCION OPERACIONES INMOBILIARIAS 4</v>
          </cell>
        </row>
        <row r="1330">
          <cell r="B1330" t="str">
            <v>SECCION OPERATIVA CENTRALIZADA</v>
          </cell>
        </row>
        <row r="1331">
          <cell r="B1331" t="str">
            <v>SECCION OPERATIVA LEASING ANT</v>
          </cell>
        </row>
        <row r="1332">
          <cell r="B1332" t="str">
            <v>SECCION OPERATIVA LEASING BOG EMP</v>
          </cell>
        </row>
        <row r="1333">
          <cell r="B1333" t="str">
            <v>SECCION OPERATIVA LEASING BOG PYMES</v>
          </cell>
        </row>
        <row r="1334">
          <cell r="B1334" t="str">
            <v>SECCION OPERATIVA LEASING SUR</v>
          </cell>
        </row>
        <row r="1335">
          <cell r="B1335" t="str">
            <v>SECCION OPERATIVA SERVICIOS DE TARJETAS</v>
          </cell>
        </row>
        <row r="1336">
          <cell r="B1336" t="str">
            <v>SECCION ORIENTACION MONEDA EXTRANJERA</v>
          </cell>
        </row>
        <row r="1337">
          <cell r="B1337" t="str">
            <v>SECCION PAGOS Y RECAUDOS</v>
          </cell>
        </row>
        <row r="1338">
          <cell r="B1338" t="str">
            <v>SECCION PERSONALIZACION Y ENTREGA DE TAR</v>
          </cell>
        </row>
        <row r="1339">
          <cell r="B1339" t="str">
            <v>SECCION PLATAFORMAS DE COLABORACION</v>
          </cell>
        </row>
        <row r="1340">
          <cell r="B1340" t="str">
            <v>SECCION PLATAFORMAS ISERIES</v>
          </cell>
        </row>
        <row r="1341">
          <cell r="B1341" t="str">
            <v>SECCION PLATAFORMAS P SERIES</v>
          </cell>
        </row>
        <row r="1342">
          <cell r="B1342" t="str">
            <v>SECCION PREPARACION DE DEMANDAS</v>
          </cell>
        </row>
        <row r="1343">
          <cell r="B1343" t="str">
            <v>SECCION PROCESAMIENTO CANALES</v>
          </cell>
        </row>
        <row r="1344">
          <cell r="B1344" t="str">
            <v>SECCION PROCESAMIENTO CANJE</v>
          </cell>
        </row>
        <row r="1345">
          <cell r="B1345" t="str">
            <v>SECCION PROCESAMIENTO EFECTIVO</v>
          </cell>
        </row>
        <row r="1346">
          <cell r="B1346" t="str">
            <v>SECCION PROCESAMIENTO PGC</v>
          </cell>
        </row>
        <row r="1347">
          <cell r="B1347" t="str">
            <v>SECCION PROCESO DE CREDITO LEASING</v>
          </cell>
        </row>
        <row r="1348">
          <cell r="B1348" t="str">
            <v>SECCION PROCESOS CONTABL Y DE INF DE TAR</v>
          </cell>
        </row>
        <row r="1349">
          <cell r="B1349" t="str">
            <v>SECCION PROCESOS DE ADQUIRENCIA DE TAR</v>
          </cell>
        </row>
        <row r="1350">
          <cell r="B1350" t="str">
            <v>SECCION PROCESOS DE FONDOS</v>
          </cell>
        </row>
        <row r="1351">
          <cell r="B1351" t="str">
            <v>SECCION PROCESOS EMISOR DE TARJETAS</v>
          </cell>
        </row>
        <row r="1352">
          <cell r="B1352" t="str">
            <v>SECCION PROCESOS ESPECIALES LEASING</v>
          </cell>
        </row>
        <row r="1353">
          <cell r="B1353" t="str">
            <v>SECCION PROCMIENTO OPERS INTERNACIONALES</v>
          </cell>
        </row>
        <row r="1354">
          <cell r="B1354" t="str">
            <v>SECCION PRODUCCION CARTERA</v>
          </cell>
        </row>
        <row r="1355">
          <cell r="B1355" t="str">
            <v>SECCION PRODUCTO ARRENDAMIENTO</v>
          </cell>
        </row>
        <row r="1356">
          <cell r="B1356" t="str">
            <v>SECCION PRODUCTO COLOMBIANOS EN EL EXTER</v>
          </cell>
        </row>
        <row r="1357">
          <cell r="B1357" t="str">
            <v>SECCION PRODUCTOS DE INCLUSION</v>
          </cell>
        </row>
        <row r="1358">
          <cell r="B1358" t="str">
            <v>SECCION PRODUCTOS LEASING FINANCIERO</v>
          </cell>
        </row>
        <row r="1359">
          <cell r="B1359" t="str">
            <v>SECCION PROVISIONES NORMAS  INTER</v>
          </cell>
        </row>
        <row r="1360">
          <cell r="B1360" t="str">
            <v>SECCION PROYEC HERRAMIENTAS  MONIT TI</v>
          </cell>
        </row>
        <row r="1361">
          <cell r="B1361" t="str">
            <v>SECCION PRUEBAS DE CONTINUIDAD</v>
          </cell>
        </row>
        <row r="1362">
          <cell r="B1362" t="str">
            <v>SECCION PRUEBAS TECNICAS</v>
          </cell>
        </row>
        <row r="1363">
          <cell r="B1363" t="str">
            <v>SECCION PUBLICIDAD</v>
          </cell>
        </row>
        <row r="1364">
          <cell r="B1364" t="str">
            <v>SECCION RAZONABILIDAD FINANCIERA</v>
          </cell>
        </row>
        <row r="1365">
          <cell r="B1365" t="str">
            <v>SECCION RECEPCION Y GARANTIAS</v>
          </cell>
        </row>
        <row r="1366">
          <cell r="B1366" t="str">
            <v>SECCION RED AMEX</v>
          </cell>
        </row>
        <row r="1367">
          <cell r="B1367" t="str">
            <v>SECCION REDESCUENTOS</v>
          </cell>
        </row>
        <row r="1368">
          <cell r="B1368" t="str">
            <v>SECCION REGISTRO OPERACIONES CAMBIARIAS</v>
          </cell>
        </row>
        <row r="1369">
          <cell r="B1369" t="str">
            <v>SECCION RELACIONAMIENTO BOGOTA</v>
          </cell>
        </row>
        <row r="1370">
          <cell r="B1370" t="str">
            <v>SECCION REPORTES ADMON ACTIVOS</v>
          </cell>
        </row>
        <row r="1371">
          <cell r="B1371" t="str">
            <v>SECCION REQ LINEAS DE NEG Y PROC DE APOY</v>
          </cell>
        </row>
        <row r="1372">
          <cell r="B1372" t="str">
            <v>SECCION REQUERIMIENTOS CAPTACIONES  Y CO</v>
          </cell>
        </row>
        <row r="1373">
          <cell r="B1373" t="str">
            <v>SECCION REQUERIMIENTOS DE TARJETAS</v>
          </cell>
        </row>
        <row r="1374">
          <cell r="B1374" t="str">
            <v>SECCION REQUERIMIENTOS INSTITUCIONALES</v>
          </cell>
        </row>
        <row r="1375">
          <cell r="B1375" t="str">
            <v>SECCION RGO TARJETA DE CREDITO Y CONSUMO</v>
          </cell>
        </row>
        <row r="1376">
          <cell r="B1376" t="str">
            <v>SECCION RIESGO SUFI</v>
          </cell>
        </row>
        <row r="1377">
          <cell r="B1377" t="str">
            <v>SECCION SALA DE VENTAS</v>
          </cell>
        </row>
        <row r="1378">
          <cell r="B1378" t="str">
            <v>SECCION SALA DE VENTAS  ANTIOQUIA 1</v>
          </cell>
        </row>
        <row r="1379">
          <cell r="B1379" t="str">
            <v>SECCION SALA DE VENTAS  ANTIOQUIA 2</v>
          </cell>
        </row>
        <row r="1380">
          <cell r="B1380" t="str">
            <v>SECCION SALA DE VENTAS 1</v>
          </cell>
        </row>
        <row r="1381">
          <cell r="B1381" t="str">
            <v>SECCION SALA DE VENTAS 2</v>
          </cell>
        </row>
        <row r="1382">
          <cell r="B1382" t="str">
            <v>SECCION SALA DE VENTAS 3</v>
          </cell>
        </row>
        <row r="1383">
          <cell r="B1383" t="str">
            <v>SECCION SANEAMIENTO Y NORMALIZACION</v>
          </cell>
        </row>
        <row r="1384">
          <cell r="B1384" t="str">
            <v>SECCION SEDES Y PISOS FINANCIEROS</v>
          </cell>
        </row>
        <row r="1385">
          <cell r="B1385" t="str">
            <v>SECCION SEGMENTO COLOMBIANOS EN EL EXTER</v>
          </cell>
        </row>
        <row r="1386">
          <cell r="B1386" t="str">
            <v>SECCION SEGUIMIENTO Y MONITOREO CONTABLE</v>
          </cell>
        </row>
        <row r="1387">
          <cell r="B1387" t="str">
            <v>SECCION SEGURIDAD INTERNA</v>
          </cell>
        </row>
        <row r="1388">
          <cell r="B1388" t="str">
            <v>SECCION SEGUROS Y CONTABLE</v>
          </cell>
        </row>
        <row r="1389">
          <cell r="B1389" t="str">
            <v>SECCION SELECCCION Y DESARROLLO REGIONAL</v>
          </cell>
        </row>
        <row r="1390">
          <cell r="B1390" t="str">
            <v>SECCION SERV  RECAUDO IMPUESTOS</v>
          </cell>
        </row>
        <row r="1391">
          <cell r="B1391" t="str">
            <v>SECCION SERV ADMON  ACTIVOS,PP, INST</v>
          </cell>
        </row>
        <row r="1392">
          <cell r="B1392" t="str">
            <v>SECCION SERV CAJEROS AUTOMATICOS PAC</v>
          </cell>
        </row>
        <row r="1393">
          <cell r="B1393" t="str">
            <v>SECCION SERV DE CUSTODIA Y EMISIONES</v>
          </cell>
        </row>
        <row r="1394">
          <cell r="B1394" t="str">
            <v>SECCION SERV DISTRIBUCION Y VENTAS Y APT</v>
          </cell>
        </row>
        <row r="1395">
          <cell r="B1395" t="str">
            <v>SECCION SERV ESPECIALIZADOS</v>
          </cell>
        </row>
        <row r="1396">
          <cell r="B1396" t="str">
            <v>SECCION SERV HABILITACIONES Y PROC</v>
          </cell>
        </row>
        <row r="1397">
          <cell r="B1397" t="str">
            <v>SECCION SERV INFORMACION APOYO AL NEGOCI</v>
          </cell>
        </row>
        <row r="1398">
          <cell r="B1398" t="str">
            <v>SECCION SERV LEASING ZONA ANTIOQUIA</v>
          </cell>
        </row>
        <row r="1399">
          <cell r="B1399" t="str">
            <v>SECCION SERV LEASING ZONA BOGOTA EMP</v>
          </cell>
        </row>
        <row r="1400">
          <cell r="B1400" t="str">
            <v>SECCION SERV LEASING ZONA BOGOTA PYME</v>
          </cell>
        </row>
        <row r="1401">
          <cell r="B1401" t="str">
            <v>SECCION SERV LEASING ZONA CARIBE</v>
          </cell>
        </row>
        <row r="1402">
          <cell r="B1402" t="str">
            <v>SECCION SERV LEASING ZONA CENTRO</v>
          </cell>
        </row>
        <row r="1403">
          <cell r="B1403" t="str">
            <v>SECCION SERV LEASING ZONA SUR</v>
          </cell>
        </row>
        <row r="1404">
          <cell r="B1404" t="str">
            <v>SECCION SERV MERCADO CAMBIARIO BPP</v>
          </cell>
        </row>
        <row r="1405">
          <cell r="B1405" t="str">
            <v>SECCION SERV MERCADO CAMBIARIO EMPRESAS</v>
          </cell>
        </row>
        <row r="1406">
          <cell r="B1406" t="str">
            <v>SECCION SERV PARA COMERCIOS Y RED AMEX</v>
          </cell>
        </row>
        <row r="1407">
          <cell r="B1407" t="str">
            <v>SECCION SERV TARJETAHABIENTES DEBITO PRE</v>
          </cell>
        </row>
        <row r="1408">
          <cell r="B1408" t="str">
            <v>SECCION SERV TARJETAHABIENTES EMPRESA</v>
          </cell>
        </row>
        <row r="1409">
          <cell r="B1409" t="str">
            <v>SECCION SERV TARJETAHABIENTES PERSONAL</v>
          </cell>
        </row>
        <row r="1410">
          <cell r="B1410" t="str">
            <v>SECCION SERV VINCULACION DE CLIENTES</v>
          </cell>
        </row>
        <row r="1411">
          <cell r="B1411" t="str">
            <v>SECCION SERVICIOS  EFECTIVO</v>
          </cell>
        </row>
        <row r="1412">
          <cell r="B1412" t="str">
            <v>SECCION SERVICIOS ADMINISTRATIVOS</v>
          </cell>
        </row>
        <row r="1413">
          <cell r="B1413" t="str">
            <v>SECCION SERVICIOS CALL CENTER</v>
          </cell>
        </row>
        <row r="1414">
          <cell r="B1414" t="str">
            <v>SECCION SERVICIOS CANALES VIRTUALES</v>
          </cell>
        </row>
        <row r="1415">
          <cell r="B1415" t="str">
            <v>SECCION SERVICIOS CANJE</v>
          </cell>
        </row>
        <row r="1416">
          <cell r="B1416" t="str">
            <v>SECCION SERVICIOS CONTACT CENTER</v>
          </cell>
        </row>
        <row r="1417">
          <cell r="B1417" t="str">
            <v>SECCION SERVICIOS DE CUMPLIMIENTO</v>
          </cell>
        </row>
        <row r="1418">
          <cell r="B1418" t="str">
            <v>SECCION SERVICIOS DE IMPLEMENTACION DEMA</v>
          </cell>
        </row>
        <row r="1419">
          <cell r="B1419" t="str">
            <v>SECCION SERVICIOS DE PAGO</v>
          </cell>
        </row>
        <row r="1420">
          <cell r="B1420" t="str">
            <v>SECCION SERVICIOS DE PAGOS</v>
          </cell>
        </row>
        <row r="1421">
          <cell r="B1421" t="str">
            <v>SECCION SERVICIOS DE RECAUDO</v>
          </cell>
        </row>
        <row r="1422">
          <cell r="B1422" t="str">
            <v>SECCION SERVICIOS IMPLEMENTACIONES PROPI</v>
          </cell>
        </row>
        <row r="1423">
          <cell r="B1423" t="str">
            <v>SECCION SERVICIOS INTERNET Y MOVILIDAD</v>
          </cell>
        </row>
        <row r="1424">
          <cell r="B1424" t="str">
            <v>SECCION SERVICIOS REGIONAL  ANTIOQUIA</v>
          </cell>
        </row>
        <row r="1425">
          <cell r="B1425" t="str">
            <v>SECCION SERVICIOS REGIONAL  CARIBE</v>
          </cell>
        </row>
        <row r="1426">
          <cell r="B1426" t="str">
            <v>SECCION SERVICIOS REGIONAL BOGOTA</v>
          </cell>
        </row>
        <row r="1427">
          <cell r="B1427" t="str">
            <v>SECCION SERVICIOS REGIONAL SUR</v>
          </cell>
        </row>
        <row r="1428">
          <cell r="B1428" t="str">
            <v>SECCION SERVICIOS SE MERCADEO SUFI</v>
          </cell>
        </row>
        <row r="1429">
          <cell r="B1429" t="str">
            <v>SECCION SERVICIOS VOZ Y VIDEO</v>
          </cell>
        </row>
        <row r="1430">
          <cell r="B1430" t="str">
            <v>SECCION SERVICIOS Y RELACIONES</v>
          </cell>
        </row>
        <row r="1431">
          <cell r="B1431" t="str">
            <v>SECCION SOLUCIONES DE TI LEASING</v>
          </cell>
        </row>
        <row r="1432">
          <cell r="B1432" t="str">
            <v>SECCION SOLUCIONES DE TI MIT</v>
          </cell>
        </row>
        <row r="1433">
          <cell r="B1433" t="str">
            <v>SECCION SOLUCIONES DEL PASIVO</v>
          </cell>
        </row>
        <row r="1434">
          <cell r="B1434" t="str">
            <v>SECCION SOLUCIONES TI FONDOS INVERSION</v>
          </cell>
        </row>
        <row r="1435">
          <cell r="B1435" t="str">
            <v>SECCION SOPORTE EN SITIO</v>
          </cell>
        </row>
        <row r="1436">
          <cell r="B1436" t="str">
            <v>SECCION SOPORTE EN SITIO Y LOGISTICA</v>
          </cell>
        </row>
        <row r="1437">
          <cell r="B1437" t="str">
            <v>SECCION TELEFONICA</v>
          </cell>
        </row>
        <row r="1438">
          <cell r="B1438" t="str">
            <v>SECCION TI FACTORING</v>
          </cell>
        </row>
        <row r="1439">
          <cell r="B1439" t="str">
            <v>SECCION VALORACION</v>
          </cell>
        </row>
        <row r="1440">
          <cell r="B1440" t="str">
            <v>SEGMENTOS BANCA PERSONAS Y PYMES</v>
          </cell>
        </row>
        <row r="1441">
          <cell r="B1441" t="str">
            <v>SEGURIDAD Y CUMPLIMIENTO</v>
          </cell>
        </row>
        <row r="1442">
          <cell r="B1442" t="str">
            <v>SELECCION Y DESARROLLO BOGOTA</v>
          </cell>
        </row>
        <row r="1443">
          <cell r="B1443" t="str">
            <v>SELECCION Y DESARROLLO CARIBE</v>
          </cell>
        </row>
        <row r="1444">
          <cell r="B1444" t="str">
            <v>SELECCION Y DESARROLLO CENTRO</v>
          </cell>
        </row>
        <row r="1445">
          <cell r="B1445" t="str">
            <v>SELECCION Y DESARROLLO SUR</v>
          </cell>
        </row>
        <row r="1446">
          <cell r="B1446" t="str">
            <v>SERVICIO EN SUC CENTRO META</v>
          </cell>
        </row>
        <row r="1447">
          <cell r="B1447" t="str">
            <v>SERVICIO SUC ANT ROTATIVO BCA EMPRESAS</v>
          </cell>
        </row>
        <row r="1448">
          <cell r="B1448" t="str">
            <v>SERVICIO SUC ANT ROTATIVO BCA EMPRESAS 2</v>
          </cell>
        </row>
        <row r="1449">
          <cell r="B1449" t="str">
            <v>SERVICIO SUC ANT ROTATIVO ZONA CENTRO</v>
          </cell>
        </row>
        <row r="1450">
          <cell r="B1450" t="str">
            <v>SERVICIO SUC ANTIOQUIA  METROPOLITANA</v>
          </cell>
        </row>
        <row r="1451">
          <cell r="B1451" t="str">
            <v>SERVICIO SUC ANTIOQUIA  NORTE</v>
          </cell>
        </row>
        <row r="1452">
          <cell r="B1452" t="str">
            <v>SERVICIO SUC ANTIOQUIA  PERIFERICA</v>
          </cell>
        </row>
        <row r="1453">
          <cell r="B1453" t="str">
            <v>SERVICIO SUC ANTIOQUIA  VALLE DE ABURRA</v>
          </cell>
        </row>
        <row r="1454">
          <cell r="B1454" t="str">
            <v>SERVICIO SUC ANTIOQUIA CENTRO</v>
          </cell>
        </row>
        <row r="1455">
          <cell r="B1455" t="str">
            <v>SERVICIO SUC ANTIOQUIA GERENCIAMIENTO</v>
          </cell>
        </row>
        <row r="1456">
          <cell r="B1456" t="str">
            <v>SERVICIO SUC ANTIOQUIA OCCIDENTE</v>
          </cell>
        </row>
        <row r="1457">
          <cell r="B1457" t="str">
            <v>SERVICIO SUC ANTIOQUIA POBLADO</v>
          </cell>
        </row>
        <row r="1458">
          <cell r="B1458" t="str">
            <v>SERVICIO SUC ANTIOQUIA SUR</v>
          </cell>
        </row>
        <row r="1459">
          <cell r="B1459" t="str">
            <v>SERVICIO SUC BOGOTA  BANCA EMPRESAS</v>
          </cell>
        </row>
        <row r="1460">
          <cell r="B1460" t="str">
            <v>SERVICIO SUC BOGOTA  CENTRO</v>
          </cell>
        </row>
        <row r="1461">
          <cell r="B1461" t="str">
            <v>SERVICIO SUC BOGOTA  METROPOLITANA</v>
          </cell>
        </row>
        <row r="1462">
          <cell r="B1462" t="str">
            <v>SERVICIO SUC BOGOTA BANCA SUPEMERCADO</v>
          </cell>
        </row>
        <row r="1463">
          <cell r="B1463" t="str">
            <v>SERVICIO SUC BOGOTA INDUSTRIAL</v>
          </cell>
        </row>
        <row r="1464">
          <cell r="B1464" t="str">
            <v>SERVICIO SUC BOGOTA NOROCCIDENTE</v>
          </cell>
        </row>
        <row r="1465">
          <cell r="B1465" t="str">
            <v>SERVICIO SUC BOGOTA NORTE</v>
          </cell>
        </row>
        <row r="1466">
          <cell r="B1466" t="str">
            <v>SERVICIO SUC BOGOTA OCCIDENTE</v>
          </cell>
        </row>
        <row r="1467">
          <cell r="B1467" t="str">
            <v>SERVICIO SUC BOGOTA ORIENTE</v>
          </cell>
        </row>
        <row r="1468">
          <cell r="B1468" t="str">
            <v>SERVICIO SUC BOGOTA SABANA</v>
          </cell>
        </row>
        <row r="1469">
          <cell r="B1469" t="str">
            <v>SERVICIO SUC BOGOTA SUROCCIDENTE</v>
          </cell>
        </row>
        <row r="1470">
          <cell r="B1470" t="str">
            <v>SERVICIO SUC CARIBE ATLANTICO</v>
          </cell>
        </row>
        <row r="1471">
          <cell r="B1471" t="str">
            <v>SERVICIO SUC CARIBE BARRANQUILLA</v>
          </cell>
        </row>
        <row r="1472">
          <cell r="B1472" t="str">
            <v>SERVICIO SUC CARIBE CARTAGENA</v>
          </cell>
        </row>
        <row r="1473">
          <cell r="B1473" t="str">
            <v>SERVICIO SUC CARIBE ROTA SIERRA NEVADA</v>
          </cell>
        </row>
        <row r="1474">
          <cell r="B1474" t="str">
            <v>SERVICIO SUC CARIBE ROTATIVO ATLANTICO</v>
          </cell>
        </row>
        <row r="1475">
          <cell r="B1475" t="str">
            <v>SERVICIO SUC CARIBE ROTATIVO CARTAGENA</v>
          </cell>
        </row>
        <row r="1476">
          <cell r="B1476" t="str">
            <v>SERVICIO SUC CARIBE SIERRA NEVADA</v>
          </cell>
        </row>
        <row r="1477">
          <cell r="B1477" t="str">
            <v>SERVICIO SUC CARIBE SINU Y SABANA</v>
          </cell>
        </row>
        <row r="1478">
          <cell r="B1478" t="str">
            <v>SERVICIO SUC CENTRO BOYACA</v>
          </cell>
        </row>
        <row r="1479">
          <cell r="B1479" t="str">
            <v>SERVICIO SUC CENTRO BUCARAMANGA</v>
          </cell>
        </row>
        <row r="1480">
          <cell r="B1480" t="str">
            <v>SERVICIO SUC CENTRO NTE SANTANDER</v>
          </cell>
        </row>
        <row r="1481">
          <cell r="B1481" t="str">
            <v>SERVICIO SUC CENTRO ROTATIVO TOLIMA</v>
          </cell>
        </row>
        <row r="1482">
          <cell r="B1482" t="str">
            <v>SERVICIO SUC CENTRO SANTANDER</v>
          </cell>
        </row>
        <row r="1483">
          <cell r="B1483" t="str">
            <v>SERVICIO SUC CENTRO SURCOLOMBIANA</v>
          </cell>
        </row>
        <row r="1484">
          <cell r="B1484" t="str">
            <v>SERVICIO SUC CENTRO TOLIMA</v>
          </cell>
        </row>
        <row r="1485">
          <cell r="B1485" t="str">
            <v>SERVICIO SUC ORINOQUIA Y AMAZONIA</v>
          </cell>
        </row>
        <row r="1486">
          <cell r="B1486" t="str">
            <v>SERVICIO SUC ROTATIVO 1 BCA EMPRESA BOG</v>
          </cell>
        </row>
        <row r="1487">
          <cell r="B1487" t="str">
            <v>SERVICIO SUC ROTATIVO 2 BCA EMPRESA BOG</v>
          </cell>
        </row>
        <row r="1488">
          <cell r="B1488" t="str">
            <v>SERVICIO SUC ROTATIVO 3 BCA EMPRESA BOG</v>
          </cell>
        </row>
        <row r="1489">
          <cell r="B1489" t="str">
            <v>SERVICIO SUC ROTATIVO 4 BCA EMPRESA BOG</v>
          </cell>
        </row>
        <row r="1490">
          <cell r="B1490" t="str">
            <v>SERVICIO SUC ROTATIVO 5 BCA EMPRESA BOG</v>
          </cell>
        </row>
        <row r="1491">
          <cell r="B1491" t="str">
            <v>SERVICIO SUC ROTATIVO 6 BCA EMPRESA BOG</v>
          </cell>
        </row>
        <row r="1492">
          <cell r="B1492" t="str">
            <v>SERVICIO SUC SUR CALI NORTE</v>
          </cell>
        </row>
        <row r="1493">
          <cell r="B1493" t="str">
            <v>SERVICIO SUC SUR CALI SUR</v>
          </cell>
        </row>
        <row r="1494">
          <cell r="B1494" t="str">
            <v>SERVICIO SUC SUR CALI Y SUR DEL VALLE</v>
          </cell>
        </row>
        <row r="1495">
          <cell r="B1495" t="str">
            <v>SERVICIO SUC SUR EJE NORTE CALDAS</v>
          </cell>
        </row>
        <row r="1496">
          <cell r="B1496" t="str">
            <v>SERVICIO SUC SUR NARIÑO Y CAUCA</v>
          </cell>
        </row>
        <row r="1497">
          <cell r="B1497" t="str">
            <v>SERVICIO SUC SUR QUINDIO Y VALLE CENTRO</v>
          </cell>
        </row>
        <row r="1498">
          <cell r="B1498" t="str">
            <v>SERVICIO SUC SUR RISARALDA Y VALLE NORTE</v>
          </cell>
        </row>
        <row r="1499">
          <cell r="B1499" t="str">
            <v>SERVICIO SUC SUR ROTATIVO NARIÑO CAUCA 1</v>
          </cell>
        </row>
        <row r="1500">
          <cell r="B1500" t="str">
            <v>SERVICIO SUC SUR ROTATIVO NARIÑO CAUCA 2</v>
          </cell>
        </row>
        <row r="1501">
          <cell r="B1501" t="str">
            <v>SERVICIOS FIDUCIARIOS</v>
          </cell>
        </row>
        <row r="1502">
          <cell r="B1502" t="str">
            <v>SOCIO ESTRATEGICO VIC CONSUMO ESP</v>
          </cell>
        </row>
        <row r="1503">
          <cell r="B1503" t="str">
            <v>SOCIO ESTRATEGICO VIC G.H Y RIESGOS</v>
          </cell>
        </row>
        <row r="1504">
          <cell r="B1504" t="str">
            <v>SOCIO ESTRATEGICO VIC MERK CAPITALES</v>
          </cell>
        </row>
        <row r="1505">
          <cell r="B1505" t="str">
            <v>SOCIO ESTRATEGICO VIC SERV CLIENTES</v>
          </cell>
        </row>
        <row r="1506">
          <cell r="B1506" t="str">
            <v>SOCIO ESTRATEGICO VIC TI Y ADMON</v>
          </cell>
        </row>
        <row r="1507">
          <cell r="B1507" t="str">
            <v>SOCIO ESTRATEGICO VIC UNIDADES DE APOYO</v>
          </cell>
        </row>
        <row r="1508">
          <cell r="B1508" t="str">
            <v>SOLUCIONES CLIENTES</v>
          </cell>
        </row>
        <row r="1509">
          <cell r="B1509" t="str">
            <v>SOLUCIONES INTEGRACION</v>
          </cell>
        </row>
        <row r="1510">
          <cell r="B1510" t="str">
            <v>SOLUCIONES PRODUCTOS Y CANALES</v>
          </cell>
        </row>
        <row r="1511">
          <cell r="B1511" t="str">
            <v>SUB FRENTE FUNCIONAL DE TARJETAS</v>
          </cell>
        </row>
        <row r="1512">
          <cell r="B1512" t="str">
            <v>SUC  DORADO PLAZA DS</v>
          </cell>
        </row>
        <row r="1513">
          <cell r="B1513" t="str">
            <v>SUC 20 DE JULIO</v>
          </cell>
        </row>
        <row r="1514">
          <cell r="B1514" t="str">
            <v>SUC 20 DE JULIO DS</v>
          </cell>
        </row>
        <row r="1515">
          <cell r="B1515" t="str">
            <v>SUC 30 DE AGOSTO</v>
          </cell>
        </row>
        <row r="1516">
          <cell r="B1516" t="str">
            <v>SUC 30 DE AGOSTO DS</v>
          </cell>
        </row>
        <row r="1517">
          <cell r="B1517" t="str">
            <v>SUC 3M DS</v>
          </cell>
        </row>
        <row r="1518">
          <cell r="B1518" t="str">
            <v>SUC ABREGO  DS</v>
          </cell>
        </row>
        <row r="1519">
          <cell r="B1519" t="str">
            <v>SUC ACACIAS</v>
          </cell>
        </row>
        <row r="1520">
          <cell r="B1520" t="str">
            <v>SUC ACACIAS DS</v>
          </cell>
        </row>
        <row r="1521">
          <cell r="B1521" t="str">
            <v>SUC ACOPI CALI</v>
          </cell>
        </row>
        <row r="1522">
          <cell r="B1522" t="str">
            <v>SUC ACOPI CALI DS</v>
          </cell>
        </row>
        <row r="1523">
          <cell r="B1523" t="str">
            <v>SUC AEROPUERTO EL DORADO</v>
          </cell>
        </row>
        <row r="1524">
          <cell r="B1524" t="str">
            <v>SUC AEROPUERTO EL DORADO DS</v>
          </cell>
        </row>
        <row r="1525">
          <cell r="B1525" t="str">
            <v>SUC AEROPUERTO OLAYA</v>
          </cell>
        </row>
        <row r="1526">
          <cell r="B1526" t="str">
            <v>SUC AEROPUERTO OLAYA DS</v>
          </cell>
        </row>
        <row r="1527">
          <cell r="B1527" t="str">
            <v>SUC AEROPUERTO RAFAEL NUÑEZ DS</v>
          </cell>
        </row>
        <row r="1528">
          <cell r="B1528" t="str">
            <v>SUC AGROGRAN</v>
          </cell>
        </row>
        <row r="1529">
          <cell r="B1529" t="str">
            <v>SUC AGROGRAN DS</v>
          </cell>
        </row>
        <row r="1530">
          <cell r="B1530" t="str">
            <v>SUC AGUACHICA</v>
          </cell>
        </row>
        <row r="1531">
          <cell r="B1531" t="str">
            <v>SUC AGUACHICA DS</v>
          </cell>
        </row>
        <row r="1532">
          <cell r="B1532" t="str">
            <v>SUC AGUADAS</v>
          </cell>
        </row>
        <row r="1533">
          <cell r="B1533" t="str">
            <v>SUC AGUADAS DS</v>
          </cell>
        </row>
        <row r="1534">
          <cell r="B1534" t="str">
            <v>SUC AGUAZUL</v>
          </cell>
        </row>
        <row r="1535">
          <cell r="B1535" t="str">
            <v>SUC AGUAZUL DS</v>
          </cell>
        </row>
        <row r="1536">
          <cell r="B1536" t="str">
            <v>SUC AIPE DS</v>
          </cell>
        </row>
        <row r="1537">
          <cell r="B1537" t="str">
            <v>SUC ALAMEDA</v>
          </cell>
        </row>
        <row r="1538">
          <cell r="B1538" t="str">
            <v>SUC ALAMEDA DS</v>
          </cell>
        </row>
        <row r="1539">
          <cell r="B1539" t="str">
            <v>SUC ALAMEDAS DEL SINU</v>
          </cell>
        </row>
        <row r="1540">
          <cell r="B1540" t="str">
            <v>SUC ALAMEDAS DEL SINU DS</v>
          </cell>
        </row>
        <row r="1541">
          <cell r="B1541" t="str">
            <v>SUC ALCALA</v>
          </cell>
        </row>
        <row r="1542">
          <cell r="B1542" t="str">
            <v>SUC ALCALA DS</v>
          </cell>
        </row>
        <row r="1543">
          <cell r="B1543" t="str">
            <v>SUC ALCALDIA ARMENIA</v>
          </cell>
        </row>
        <row r="1544">
          <cell r="B1544" t="str">
            <v>SUC ALCALDIA ARMENIA DS</v>
          </cell>
        </row>
        <row r="1545">
          <cell r="B1545" t="str">
            <v>SUC ALCARAVAN</v>
          </cell>
        </row>
        <row r="1546">
          <cell r="B1546" t="str">
            <v>SUC ALCARAVAN DS</v>
          </cell>
        </row>
        <row r="1547">
          <cell r="B1547" t="str">
            <v>SUC ALIADAS</v>
          </cell>
        </row>
        <row r="1548">
          <cell r="B1548" t="str">
            <v>SUC ALIADAS DS</v>
          </cell>
        </row>
        <row r="1549">
          <cell r="B1549" t="str">
            <v>SUC ALKOSTO PASTO</v>
          </cell>
        </row>
        <row r="1550">
          <cell r="B1550" t="str">
            <v>SUC ALKOSTO PASTO DS</v>
          </cell>
        </row>
        <row r="1551">
          <cell r="B1551" t="str">
            <v>SUC ALMACENTRO</v>
          </cell>
        </row>
        <row r="1552">
          <cell r="B1552" t="str">
            <v>SUC ALMACENTRO DS</v>
          </cell>
        </row>
        <row r="1553">
          <cell r="B1553" t="str">
            <v>SUC ALTAVISTA USME</v>
          </cell>
        </row>
        <row r="1554">
          <cell r="B1554" t="str">
            <v>SUC ALTAVISTA USME DS</v>
          </cell>
        </row>
        <row r="1555">
          <cell r="B1555" t="str">
            <v>SUC ALTO PRADO</v>
          </cell>
        </row>
        <row r="1556">
          <cell r="B1556" t="str">
            <v>SUC ALTO PRADO DS</v>
          </cell>
        </row>
        <row r="1557">
          <cell r="B1557" t="str">
            <v>SUC AMAGA</v>
          </cell>
        </row>
        <row r="1558">
          <cell r="B1558" t="str">
            <v>SUC AMAGA DS</v>
          </cell>
        </row>
        <row r="1559">
          <cell r="B1559" t="str">
            <v>SUC AMBALEMA DS</v>
          </cell>
        </row>
        <row r="1560">
          <cell r="B1560" t="str">
            <v>SUC ANAPOIMA</v>
          </cell>
        </row>
        <row r="1561">
          <cell r="B1561" t="str">
            <v>SUC ANAPOIMA DS</v>
          </cell>
        </row>
        <row r="1562">
          <cell r="B1562" t="str">
            <v>SUC ANDES</v>
          </cell>
        </row>
        <row r="1563">
          <cell r="B1563" t="str">
            <v>SUC ANDES DS</v>
          </cell>
        </row>
        <row r="1564">
          <cell r="B1564" t="str">
            <v>SUC ANSERMA</v>
          </cell>
        </row>
        <row r="1565">
          <cell r="B1565" t="str">
            <v>SUC ANSERMA DS</v>
          </cell>
        </row>
        <row r="1566">
          <cell r="B1566" t="str">
            <v>SUC ANTIGUO COUNTRY</v>
          </cell>
        </row>
        <row r="1567">
          <cell r="B1567" t="str">
            <v>SUC ANTIGUO COUNTRY DS</v>
          </cell>
        </row>
        <row r="1568">
          <cell r="B1568" t="str">
            <v>SUC APARTADO</v>
          </cell>
        </row>
        <row r="1569">
          <cell r="B1569" t="str">
            <v>SUC APARTADO DS</v>
          </cell>
        </row>
        <row r="1570">
          <cell r="B1570" t="str">
            <v>SUC ARAUCA</v>
          </cell>
        </row>
        <row r="1571">
          <cell r="B1571" t="str">
            <v>SUC ARAUCA DS</v>
          </cell>
        </row>
        <row r="1572">
          <cell r="B1572" t="str">
            <v>SUC AREA ANDINA DS</v>
          </cell>
        </row>
        <row r="1573">
          <cell r="B1573" t="str">
            <v>SUC ARJONA</v>
          </cell>
        </row>
        <row r="1574">
          <cell r="B1574" t="str">
            <v>SUC ARMENIA CENTRO</v>
          </cell>
        </row>
        <row r="1575">
          <cell r="B1575" t="str">
            <v>SUC ARMENIA CENTRO DS</v>
          </cell>
        </row>
        <row r="1576">
          <cell r="B1576" t="str">
            <v>SUC ARMENIA NORTE</v>
          </cell>
        </row>
        <row r="1577">
          <cell r="B1577" t="str">
            <v>SUC ARMENIA NORTE DS</v>
          </cell>
        </row>
        <row r="1578">
          <cell r="B1578" t="str">
            <v>SUC ASESORIA Y VENTA LOS SAUCES</v>
          </cell>
        </row>
        <row r="1579">
          <cell r="B1579" t="str">
            <v>SUC ASTROCENTRO</v>
          </cell>
        </row>
        <row r="1580">
          <cell r="B1580" t="str">
            <v>SUC ASTROCENTRO DS</v>
          </cell>
        </row>
        <row r="1581">
          <cell r="B1581" t="str">
            <v>SUC AUTOBANCO CONQUISTADORES DS</v>
          </cell>
        </row>
        <row r="1582">
          <cell r="B1582" t="str">
            <v>SUC AUTOCONAVI CONQUISTADORES DS</v>
          </cell>
        </row>
        <row r="1583">
          <cell r="B1583" t="str">
            <v>SUC AUTONAL DS</v>
          </cell>
        </row>
        <row r="1584">
          <cell r="B1584" t="str">
            <v>SUC AUTOPISTA 184</v>
          </cell>
        </row>
        <row r="1585">
          <cell r="B1585" t="str">
            <v>SUC AUTOPISTA 184 DS</v>
          </cell>
        </row>
        <row r="1586">
          <cell r="B1586" t="str">
            <v>SUC AUTOPISTA 98</v>
          </cell>
        </row>
        <row r="1587">
          <cell r="B1587" t="str">
            <v>SUC AUTOPISTA 98 DS</v>
          </cell>
        </row>
        <row r="1588">
          <cell r="B1588" t="str">
            <v>SUC AUTOSERVICIOS SAN DIEGO DS</v>
          </cell>
        </row>
        <row r="1589">
          <cell r="B1589" t="str">
            <v>SUC AVENIDA 127</v>
          </cell>
        </row>
        <row r="1590">
          <cell r="B1590" t="str">
            <v>SUC AVENIDA 127 DS</v>
          </cell>
        </row>
        <row r="1591">
          <cell r="B1591" t="str">
            <v>SUC AVENIDA 19</v>
          </cell>
        </row>
        <row r="1592">
          <cell r="B1592" t="str">
            <v>SUC AVENIDA 19 DS</v>
          </cell>
        </row>
        <row r="1593">
          <cell r="B1593" t="str">
            <v>SUC AVENIDA 68</v>
          </cell>
        </row>
        <row r="1594">
          <cell r="B1594" t="str">
            <v>SUC AVENIDA 68 DS</v>
          </cell>
        </row>
        <row r="1595">
          <cell r="B1595" t="str">
            <v>SUC AVENIDA 82</v>
          </cell>
        </row>
        <row r="1596">
          <cell r="B1596" t="str">
            <v>SUC AVENIDA 82 DS</v>
          </cell>
        </row>
        <row r="1597">
          <cell r="B1597" t="str">
            <v>SUC AVENIDA BOLIVARIANA</v>
          </cell>
        </row>
        <row r="1598">
          <cell r="B1598" t="str">
            <v>SUC AVENIDA BOLIVARIANA DS</v>
          </cell>
        </row>
        <row r="1599">
          <cell r="B1599" t="str">
            <v>SUC AVENIDA CAÑAS GORDAS</v>
          </cell>
        </row>
        <row r="1600">
          <cell r="B1600" t="str">
            <v>SUC AVENIDA CAÑAS GORDAS DS</v>
          </cell>
        </row>
        <row r="1601">
          <cell r="B1601" t="str">
            <v>SUC AVENIDA CARACAS</v>
          </cell>
        </row>
        <row r="1602">
          <cell r="B1602" t="str">
            <v>SUC AVENIDA CARACAS DS</v>
          </cell>
        </row>
        <row r="1603">
          <cell r="B1603" t="str">
            <v>SUC AVENIDA CERO 2</v>
          </cell>
        </row>
        <row r="1604">
          <cell r="B1604" t="str">
            <v>SUC AVENIDA CERO 2 DS</v>
          </cell>
        </row>
        <row r="1605">
          <cell r="B1605" t="str">
            <v>SUC AVENIDA CHILE</v>
          </cell>
        </row>
        <row r="1606">
          <cell r="B1606" t="str">
            <v>SUC AVENIDA CHILE DS</v>
          </cell>
        </row>
        <row r="1607">
          <cell r="B1607" t="str">
            <v>SUC AVENIDA COLOMBIA</v>
          </cell>
        </row>
        <row r="1608">
          <cell r="B1608" t="str">
            <v>SUC AVENIDA COLOMBIA DS</v>
          </cell>
        </row>
        <row r="1609">
          <cell r="B1609" t="str">
            <v>SUC AVENIDA DE LAS AMERICAS</v>
          </cell>
        </row>
        <row r="1610">
          <cell r="B1610" t="str">
            <v>SUC AVENIDA DE LAS AMERICAS DS</v>
          </cell>
        </row>
        <row r="1611">
          <cell r="B1611" t="str">
            <v>SUC AVENIDA EL POBLADO</v>
          </cell>
        </row>
        <row r="1612">
          <cell r="B1612" t="str">
            <v>SUC AVENIDA EL POBLADO DS</v>
          </cell>
        </row>
        <row r="1613">
          <cell r="B1613" t="str">
            <v>SUC AVENIDA JUNIN</v>
          </cell>
        </row>
        <row r="1614">
          <cell r="B1614" t="str">
            <v>SUC AVENIDA JUNIN DS</v>
          </cell>
        </row>
        <row r="1615">
          <cell r="B1615" t="str">
            <v>SUC AVENIDA KENNEDY</v>
          </cell>
        </row>
        <row r="1616">
          <cell r="B1616" t="str">
            <v>SUC AVENIDA KENNEDY DS</v>
          </cell>
        </row>
        <row r="1617">
          <cell r="B1617" t="str">
            <v>SUC AVENIDA LAS VEGAS</v>
          </cell>
        </row>
        <row r="1618">
          <cell r="B1618" t="str">
            <v>SUC AVENIDA LAS VEGAS DS</v>
          </cell>
        </row>
        <row r="1619">
          <cell r="B1619" t="str">
            <v>SUC AVENIDA LIBERTADOR BUCARAMANGA</v>
          </cell>
        </row>
        <row r="1620">
          <cell r="B1620" t="str">
            <v>SUC AVENIDA LIBERTADOR BUCARAMANGA DS</v>
          </cell>
        </row>
        <row r="1621">
          <cell r="B1621" t="str">
            <v>SUC AVENIDA NUTIBARA</v>
          </cell>
        </row>
        <row r="1622">
          <cell r="B1622" t="str">
            <v>SUC AVENIDA NUTIBARA DS</v>
          </cell>
        </row>
        <row r="1623">
          <cell r="B1623" t="str">
            <v>SUC AVENIDA ORIENTAL</v>
          </cell>
        </row>
        <row r="1624">
          <cell r="B1624" t="str">
            <v>SUC AVENIDA ORIENTAL DS</v>
          </cell>
        </row>
        <row r="1625">
          <cell r="B1625" t="str">
            <v>SUC AVENIDA PEPE SIERRA</v>
          </cell>
        </row>
        <row r="1626">
          <cell r="B1626" t="str">
            <v>SUC AVENIDA PEPE SIERRA DS</v>
          </cell>
        </row>
        <row r="1627">
          <cell r="B1627" t="str">
            <v>SUC AVENIDA ROOSVELT</v>
          </cell>
        </row>
        <row r="1628">
          <cell r="B1628" t="str">
            <v>SUC AVENIDA ROOSVELT DS</v>
          </cell>
        </row>
        <row r="1629">
          <cell r="B1629" t="str">
            <v>SUC AVENIDA SAN MARTIN</v>
          </cell>
        </row>
        <row r="1630">
          <cell r="B1630" t="str">
            <v>SUC AVENIDA SAN MARTIN DS</v>
          </cell>
        </row>
        <row r="1631">
          <cell r="B1631" t="str">
            <v>SUC AVENIDA SANTANDER</v>
          </cell>
        </row>
        <row r="1632">
          <cell r="B1632" t="str">
            <v>SUC AVENIDA SANTANDER DS</v>
          </cell>
        </row>
        <row r="1633">
          <cell r="B1633" t="str">
            <v>SUC AVENIDA SEXTA BOGOTA</v>
          </cell>
        </row>
        <row r="1634">
          <cell r="B1634" t="str">
            <v>SUC AVENIDA SEXTA BOGOTA DS</v>
          </cell>
        </row>
        <row r="1635">
          <cell r="B1635" t="str">
            <v>SUC AVENIDA SUBA 106</v>
          </cell>
        </row>
        <row r="1636">
          <cell r="B1636" t="str">
            <v>SUC AVENIDA SUBA 106 DS</v>
          </cell>
        </row>
        <row r="1637">
          <cell r="B1637" t="str">
            <v>SUC AYAPEL DS</v>
          </cell>
        </row>
        <row r="1638">
          <cell r="B1638" t="str">
            <v>SUC BANCA COLOMBIA AVENIDA CHILE</v>
          </cell>
        </row>
        <row r="1639">
          <cell r="B1639" t="str">
            <v>SUC BANCA COLOMBIA AVENIDA CHILE DS</v>
          </cell>
        </row>
        <row r="1640">
          <cell r="B1640" t="str">
            <v>SUC BANCA COLOMBIA BARRANQUILLA</v>
          </cell>
        </row>
        <row r="1641">
          <cell r="B1641" t="str">
            <v>SUC BANCA COLOMBIA BARRANQUILLA DS</v>
          </cell>
        </row>
        <row r="1642">
          <cell r="B1642" t="str">
            <v>SUC BANCA COLOMBIA BUCARAMANGA</v>
          </cell>
        </row>
        <row r="1643">
          <cell r="B1643" t="str">
            <v>SUC BANCA COLOMBIA BUCARAMANGA DS</v>
          </cell>
        </row>
        <row r="1644">
          <cell r="B1644" t="str">
            <v>SUC BANCA COLOMBIA CALLE 122 DS</v>
          </cell>
        </row>
        <row r="1645">
          <cell r="B1645" t="str">
            <v>SUC BANCA COLOMBIA CAMINO REAL</v>
          </cell>
        </row>
        <row r="1646">
          <cell r="B1646" t="str">
            <v>SUC BANCA COLOMBIA CAMINO REAL DS</v>
          </cell>
        </row>
        <row r="1647">
          <cell r="B1647" t="str">
            <v>SUC BANCA COLOMBIA CARTAGENA</v>
          </cell>
        </row>
        <row r="1648">
          <cell r="B1648" t="str">
            <v>SUC BANCA COLOMBIA CARTAGENA DS</v>
          </cell>
        </row>
        <row r="1649">
          <cell r="B1649" t="str">
            <v>SUC BANCA COLOMBIA DIEZ</v>
          </cell>
        </row>
        <row r="1650">
          <cell r="B1650" t="str">
            <v>SUC BANCA COLOMBIA DIEZ DS</v>
          </cell>
        </row>
        <row r="1651">
          <cell r="B1651" t="str">
            <v>SUC BANCA COLOMBIA GRANADA CALI</v>
          </cell>
        </row>
        <row r="1652">
          <cell r="B1652" t="str">
            <v>SUC BANCA COLOMBIA GRANADA CALI DS</v>
          </cell>
        </row>
        <row r="1653">
          <cell r="B1653" t="str">
            <v>SUC BANCA COLOMBIA LA CABRERA</v>
          </cell>
        </row>
        <row r="1654">
          <cell r="B1654" t="str">
            <v>SUC BANCA COLOMBIA LA CABRERA DS</v>
          </cell>
        </row>
        <row r="1655">
          <cell r="B1655" t="str">
            <v>SUC BANCA COLOMBIA MANIZALES</v>
          </cell>
        </row>
        <row r="1656">
          <cell r="B1656" t="str">
            <v>SUC BANCA COLOMBIA MANIZALES DS</v>
          </cell>
        </row>
        <row r="1657">
          <cell r="B1657" t="str">
            <v>SUC BANCA COLOMBIA MUSEO NACIONAL</v>
          </cell>
        </row>
        <row r="1658">
          <cell r="B1658" t="str">
            <v>SUC BANCA COLOMBIA MUSEO NACIONAL DS</v>
          </cell>
        </row>
        <row r="1659">
          <cell r="B1659" t="str">
            <v>SUC BANCA COLOMBIA OVIEDO</v>
          </cell>
        </row>
        <row r="1660">
          <cell r="B1660" t="str">
            <v>SUC BANCA COLOMBIA OVIEDO  DS</v>
          </cell>
        </row>
        <row r="1661">
          <cell r="B1661" t="str">
            <v>SUC BANCA COLOMBIA PARQUE SURA</v>
          </cell>
        </row>
        <row r="1662">
          <cell r="B1662" t="str">
            <v>SUC BANCA COLOMBIA PARQUE SURA DS</v>
          </cell>
        </row>
        <row r="1663">
          <cell r="B1663" t="str">
            <v>SUC BANCA COLOMBIA PEREIRA</v>
          </cell>
        </row>
        <row r="1664">
          <cell r="B1664" t="str">
            <v>SUC BANCA COLOMBIA PEREIRA DS</v>
          </cell>
        </row>
        <row r="1665">
          <cell r="B1665" t="str">
            <v>SUC BANCA COLOMBIA SALITRE</v>
          </cell>
        </row>
        <row r="1666">
          <cell r="B1666" t="str">
            <v>SUC BANCA COLOMBIA SALITRE DS</v>
          </cell>
        </row>
        <row r="1667">
          <cell r="B1667" t="str">
            <v>SUC BANCA COLOMBIA SAN FERNANDO PLAZA</v>
          </cell>
        </row>
        <row r="1668">
          <cell r="B1668" t="str">
            <v>SUC BANCA COLOMBIA SANTA PAULA</v>
          </cell>
        </row>
        <row r="1669">
          <cell r="B1669" t="str">
            <v>SUC BANCA COLOMBIA SANTA PAULA DS</v>
          </cell>
        </row>
        <row r="1670">
          <cell r="B1670" t="str">
            <v>SUC BANCA COLOMBIA WORLD TRADE CENTER</v>
          </cell>
        </row>
        <row r="1671">
          <cell r="B1671" t="str">
            <v>SUC BANCA COLOMBIA WORLD TRADE CENTER DS</v>
          </cell>
        </row>
        <row r="1672">
          <cell r="B1672" t="str">
            <v>SUC BANCA ESPECIALIZADA ANTIOQUIA DS</v>
          </cell>
        </row>
        <row r="1673">
          <cell r="B1673" t="str">
            <v>SUC BANCA ESPECIALIZADA BARRANQUILLA DS</v>
          </cell>
        </row>
        <row r="1674">
          <cell r="B1674" t="str">
            <v>SUC BANCA ESPECIALIZADA BOGOTA DS</v>
          </cell>
        </row>
        <row r="1675">
          <cell r="B1675" t="str">
            <v>SUC BANCA ESPECIALIZADA CALI  DS</v>
          </cell>
        </row>
        <row r="1676">
          <cell r="B1676" t="str">
            <v>SUC BANCA ESPECIALIZADA CARIBE DS</v>
          </cell>
        </row>
        <row r="1677">
          <cell r="B1677" t="str">
            <v>SUC BANCA ESPECIALIZADA CARTAGENA DS</v>
          </cell>
        </row>
        <row r="1678">
          <cell r="B1678" t="str">
            <v>SUC BANCA ESPECIALIZADA SUR DS</v>
          </cell>
        </row>
        <row r="1679">
          <cell r="B1679" t="str">
            <v>SUC BANCA PREFERENCIAL AVENIDA CHILE</v>
          </cell>
        </row>
        <row r="1680">
          <cell r="B1680" t="str">
            <v>SUC BANCA PREFERENCIAL BARRANQUILLA</v>
          </cell>
        </row>
        <row r="1681">
          <cell r="B1681" t="str">
            <v>SUC BANCA PREFERENCIAL SAN FERNANDO PLAZ</v>
          </cell>
        </row>
        <row r="1682">
          <cell r="B1682" t="str">
            <v>SUC BANCA PREFERENCIAL WORLD TRADE CENTE</v>
          </cell>
        </row>
        <row r="1683">
          <cell r="B1683" t="str">
            <v>SUC BANCA PRIVADA ANTIOQUIA DS</v>
          </cell>
        </row>
        <row r="1684">
          <cell r="B1684" t="str">
            <v>SUC BANCA PRIVADA BOGOTA DS</v>
          </cell>
        </row>
        <row r="1685">
          <cell r="B1685" t="str">
            <v>SUC BANCA PRIVADA BUCARAMANGA VALORES</v>
          </cell>
        </row>
        <row r="1686">
          <cell r="B1686" t="str">
            <v>SUC BANCA PRIVADA CALI DS</v>
          </cell>
        </row>
        <row r="1687">
          <cell r="B1687" t="str">
            <v>SUC BARANOA DS</v>
          </cell>
        </row>
        <row r="1688">
          <cell r="B1688" t="str">
            <v>SUC BARBOSA</v>
          </cell>
        </row>
        <row r="1689">
          <cell r="B1689" t="str">
            <v>SUC BARBOSA DS</v>
          </cell>
        </row>
        <row r="1690">
          <cell r="B1690" t="str">
            <v>SUC BARBOSA SANTANDER</v>
          </cell>
        </row>
        <row r="1691">
          <cell r="B1691" t="str">
            <v>SUC BARBOSA SANTANDER DS</v>
          </cell>
        </row>
        <row r="1692">
          <cell r="B1692" t="str">
            <v>SUC BARRANCABERMEJA</v>
          </cell>
        </row>
        <row r="1693">
          <cell r="B1693" t="str">
            <v>SUC BARRANCABERMEJA DS</v>
          </cell>
        </row>
        <row r="1694">
          <cell r="B1694" t="str">
            <v>SUC BARRANQUILLA</v>
          </cell>
        </row>
        <row r="1695">
          <cell r="B1695" t="str">
            <v>SUC BARRANQUILLA DS</v>
          </cell>
        </row>
        <row r="1696">
          <cell r="B1696" t="str">
            <v>SUC BARRIO 7 DE AGOSTO</v>
          </cell>
        </row>
        <row r="1697">
          <cell r="B1697" t="str">
            <v>SUC BARRIO 7 DE AGOSTO DS</v>
          </cell>
        </row>
        <row r="1698">
          <cell r="B1698" t="str">
            <v>SUC BARRIO ALQUERIA</v>
          </cell>
        </row>
        <row r="1699">
          <cell r="B1699" t="str">
            <v>SUC BARRIO ALQUERIA DS</v>
          </cell>
        </row>
        <row r="1700">
          <cell r="B1700" t="str">
            <v>SUC BARRIO CUBA</v>
          </cell>
        </row>
        <row r="1701">
          <cell r="B1701" t="str">
            <v>SUC BARRIO CUBA DS</v>
          </cell>
        </row>
        <row r="1702">
          <cell r="B1702" t="str">
            <v>SUC BARRIO RESTREPO</v>
          </cell>
        </row>
        <row r="1703">
          <cell r="B1703" t="str">
            <v>SUC BARRIO RESTREPO DS</v>
          </cell>
        </row>
        <row r="1704">
          <cell r="B1704" t="str">
            <v>SUC BARRIO RICAURTE</v>
          </cell>
        </row>
        <row r="1705">
          <cell r="B1705" t="str">
            <v>SUC BARRIO RICAURTE DS</v>
          </cell>
        </row>
        <row r="1706">
          <cell r="B1706" t="str">
            <v>SUC BARRIO SANTA LUCIA</v>
          </cell>
        </row>
        <row r="1707">
          <cell r="B1707" t="str">
            <v>SUC BARRIO SANTA LUCIA DS</v>
          </cell>
        </row>
        <row r="1708">
          <cell r="B1708" t="str">
            <v>SUC BARRIO SANTANDER</v>
          </cell>
        </row>
        <row r="1709">
          <cell r="B1709" t="str">
            <v>SUC BARRIO SANTANDER DS</v>
          </cell>
        </row>
        <row r="1710">
          <cell r="B1710" t="str">
            <v>SUC BARRIO TRISTE</v>
          </cell>
        </row>
        <row r="1711">
          <cell r="B1711" t="str">
            <v>SUC BARRIO TRISTE DS</v>
          </cell>
        </row>
        <row r="1712">
          <cell r="B1712" t="str">
            <v>SUC BARRIOS UNIDOS</v>
          </cell>
        </row>
        <row r="1713">
          <cell r="B1713" t="str">
            <v>SUC BARRIOS UNIDOS DS</v>
          </cell>
        </row>
        <row r="1714">
          <cell r="B1714" t="str">
            <v>SUC BAVARIA ARMENIA DS</v>
          </cell>
        </row>
        <row r="1715">
          <cell r="B1715" t="str">
            <v>SUC BAVARIA BUCARAMANGA DS</v>
          </cell>
        </row>
        <row r="1716">
          <cell r="B1716" t="str">
            <v>SUC BAVARIA CARTAGENA DS</v>
          </cell>
        </row>
        <row r="1717">
          <cell r="B1717" t="str">
            <v>SUC BAVARIA CUCUTA DS</v>
          </cell>
        </row>
        <row r="1718">
          <cell r="B1718" t="str">
            <v>SUC BAVARIA DUITAMA DS</v>
          </cell>
        </row>
        <row r="1719">
          <cell r="B1719" t="str">
            <v>SUC BAVARIA GIRARDOT DS</v>
          </cell>
        </row>
        <row r="1720">
          <cell r="B1720" t="str">
            <v>SUC BAVARIA LEONA DS</v>
          </cell>
        </row>
        <row r="1721">
          <cell r="B1721" t="str">
            <v>SUC BAVARIA NEIVA DS</v>
          </cell>
        </row>
        <row r="1722">
          <cell r="B1722" t="str">
            <v>SUC BAVARIA SANTA MARTA DS</v>
          </cell>
        </row>
        <row r="1723">
          <cell r="B1723" t="str">
            <v>SUC BAVARIA VALLEDUPAR DS</v>
          </cell>
        </row>
        <row r="1724">
          <cell r="B1724" t="str">
            <v>SUC BAVARIA YUMBO DS</v>
          </cell>
        </row>
        <row r="1725">
          <cell r="B1725" t="str">
            <v>SUC BAYER AVENIDA LAS AMERICAS DS</v>
          </cell>
        </row>
        <row r="1726">
          <cell r="B1726" t="str">
            <v>SUC BAZAR ALSACIA</v>
          </cell>
        </row>
        <row r="1727">
          <cell r="B1727" t="str">
            <v>SUC BAZAR ALSACIA DS</v>
          </cell>
        </row>
        <row r="1728">
          <cell r="B1728" t="str">
            <v>SUC BCA PREF SAN FERNANDO PLAZA DS</v>
          </cell>
        </row>
        <row r="1729">
          <cell r="B1729" t="str">
            <v>SUC BELEN</v>
          </cell>
        </row>
        <row r="1730">
          <cell r="B1730" t="str">
            <v>SUC BELEN DE UMBRIA</v>
          </cell>
        </row>
        <row r="1731">
          <cell r="B1731" t="str">
            <v>SUC BELEN DE UMBRIA DS</v>
          </cell>
        </row>
        <row r="1732">
          <cell r="B1732" t="str">
            <v>SUC BELEN DS</v>
          </cell>
        </row>
        <row r="1733">
          <cell r="B1733" t="str">
            <v>SUC BELEN PARQUE</v>
          </cell>
        </row>
        <row r="1734">
          <cell r="B1734" t="str">
            <v>SUC BELEN PARQUE DS</v>
          </cell>
        </row>
        <row r="1735">
          <cell r="B1735" t="str">
            <v>SUC BELLA SUIZA</v>
          </cell>
        </row>
        <row r="1736">
          <cell r="B1736" t="str">
            <v>SUC BELLA SUIZA DS</v>
          </cell>
        </row>
        <row r="1737">
          <cell r="B1737" t="str">
            <v>SUC BELLO CENTRO CCIAL</v>
          </cell>
        </row>
        <row r="1738">
          <cell r="B1738" t="str">
            <v>SUC BELLO CENTRO CCIAL DS</v>
          </cell>
        </row>
        <row r="1739">
          <cell r="B1739" t="str">
            <v>SUC BETANIA DS</v>
          </cell>
        </row>
        <row r="1740">
          <cell r="B1740" t="str">
            <v>SUC BOCAGRANDE</v>
          </cell>
        </row>
        <row r="1741">
          <cell r="B1741" t="str">
            <v>SUC BOCAGRANDE DS</v>
          </cell>
        </row>
        <row r="1742">
          <cell r="B1742" t="str">
            <v>SUC BOJACA DS</v>
          </cell>
        </row>
        <row r="1743">
          <cell r="B1743" t="str">
            <v>SUC BOSA</v>
          </cell>
        </row>
        <row r="1744">
          <cell r="B1744" t="str">
            <v>SUC BOSA DS</v>
          </cell>
        </row>
        <row r="1745">
          <cell r="B1745" t="str">
            <v>SUC BOSCONIA</v>
          </cell>
        </row>
        <row r="1746">
          <cell r="B1746" t="str">
            <v>SUC BOSCONIA DS</v>
          </cell>
        </row>
        <row r="1747">
          <cell r="B1747" t="str">
            <v>SUC BOULEVAR ENVIGADO</v>
          </cell>
        </row>
        <row r="1748">
          <cell r="B1748" t="str">
            <v>SUC BOULEVAR ENVIGADO DS</v>
          </cell>
        </row>
        <row r="1749">
          <cell r="B1749" t="str">
            <v>SUC BUCARAMANGA</v>
          </cell>
        </row>
        <row r="1750">
          <cell r="B1750" t="str">
            <v>SUC BUCARAMANGA DS</v>
          </cell>
        </row>
        <row r="1751">
          <cell r="B1751" t="str">
            <v>SUC BUENAVENTURA</v>
          </cell>
        </row>
        <row r="1752">
          <cell r="B1752" t="str">
            <v>SUC BUENAVENTURA DS</v>
          </cell>
        </row>
        <row r="1753">
          <cell r="B1753" t="str">
            <v>SUC BUENAVISTA DEL SINU  DS</v>
          </cell>
        </row>
        <row r="1754">
          <cell r="B1754" t="str">
            <v>SUC BUENAVISTA DS</v>
          </cell>
        </row>
        <row r="1755">
          <cell r="B1755" t="str">
            <v>SUC BUENAVISTA II</v>
          </cell>
        </row>
        <row r="1756">
          <cell r="B1756" t="str">
            <v>SUC BUENOS AIRES</v>
          </cell>
        </row>
        <row r="1757">
          <cell r="B1757" t="str">
            <v>SUC BUENOS AIRES DS</v>
          </cell>
        </row>
        <row r="1758">
          <cell r="B1758" t="str">
            <v>SUC BUGA</v>
          </cell>
        </row>
        <row r="1759">
          <cell r="B1759" t="str">
            <v>SUC BUGA DS</v>
          </cell>
        </row>
        <row r="1760">
          <cell r="B1760" t="str">
            <v>SUC BUGALAGRANDE</v>
          </cell>
        </row>
        <row r="1761">
          <cell r="B1761" t="str">
            <v>SUC BUGALAGRANDE DS</v>
          </cell>
        </row>
        <row r="1762">
          <cell r="B1762" t="str">
            <v>SUC BUGANVILES</v>
          </cell>
        </row>
        <row r="1763">
          <cell r="B1763" t="str">
            <v>SUC BUGANVILES DS</v>
          </cell>
        </row>
        <row r="1764">
          <cell r="B1764" t="str">
            <v>SUC BULEVAR 54</v>
          </cell>
        </row>
        <row r="1765">
          <cell r="B1765" t="str">
            <v>SUC BULEVAR 54 DS</v>
          </cell>
        </row>
        <row r="1766">
          <cell r="B1766" t="str">
            <v>SUC CABECERA</v>
          </cell>
        </row>
        <row r="1767">
          <cell r="B1767" t="str">
            <v>SUC CABECERA DEL LLANO</v>
          </cell>
        </row>
        <row r="1768">
          <cell r="B1768" t="str">
            <v>SUC CABECERA DEL LLANO DS</v>
          </cell>
        </row>
        <row r="1769">
          <cell r="B1769" t="str">
            <v>SUC CABECERA DS</v>
          </cell>
        </row>
        <row r="1770">
          <cell r="B1770" t="str">
            <v>SUC CACIQUE</v>
          </cell>
        </row>
        <row r="1771">
          <cell r="B1771" t="str">
            <v>SUC CACIQUE DS</v>
          </cell>
        </row>
        <row r="1772">
          <cell r="B1772" t="str">
            <v>SUC CAICEDONIA</v>
          </cell>
        </row>
        <row r="1773">
          <cell r="B1773" t="str">
            <v>SUC CAICEDONIA DS</v>
          </cell>
        </row>
        <row r="1774">
          <cell r="B1774" t="str">
            <v>SUC CAJA RESTREPO DS</v>
          </cell>
        </row>
        <row r="1775">
          <cell r="B1775" t="str">
            <v>SUC CAJAMARCA</v>
          </cell>
        </row>
        <row r="1776">
          <cell r="B1776" t="str">
            <v>SUC CAJAMARCA DS</v>
          </cell>
        </row>
        <row r="1777">
          <cell r="B1777" t="str">
            <v>SUC CAJICA</v>
          </cell>
        </row>
        <row r="1778">
          <cell r="B1778" t="str">
            <v>SUC CAJICA DS</v>
          </cell>
        </row>
        <row r="1779">
          <cell r="B1779" t="str">
            <v>SUC CALARCA</v>
          </cell>
        </row>
        <row r="1780">
          <cell r="B1780" t="str">
            <v>SUC CALARCA DS</v>
          </cell>
        </row>
        <row r="1781">
          <cell r="B1781" t="str">
            <v>SUC CALASANZ</v>
          </cell>
        </row>
        <row r="1782">
          <cell r="B1782" t="str">
            <v>SUC CALASANZ DS</v>
          </cell>
        </row>
        <row r="1783">
          <cell r="B1783" t="str">
            <v>SUC CALDAS PARQUE</v>
          </cell>
        </row>
        <row r="1784">
          <cell r="B1784" t="str">
            <v>SUC CALDAS PARQUE DS</v>
          </cell>
        </row>
        <row r="1785">
          <cell r="B1785" t="str">
            <v>SUC CALI</v>
          </cell>
        </row>
        <row r="1786">
          <cell r="B1786" t="str">
            <v>SUC CALI DS</v>
          </cell>
        </row>
        <row r="1787">
          <cell r="B1787" t="str">
            <v>SUC CALIMA</v>
          </cell>
        </row>
        <row r="1788">
          <cell r="B1788" t="str">
            <v>SUC CALIMA DS</v>
          </cell>
        </row>
        <row r="1789">
          <cell r="B1789" t="str">
            <v>SUC CALLE  80</v>
          </cell>
        </row>
        <row r="1790">
          <cell r="B1790" t="str">
            <v>SUC CALLE 10</v>
          </cell>
        </row>
        <row r="1791">
          <cell r="B1791" t="str">
            <v>SUC CALLE 10 DS</v>
          </cell>
        </row>
        <row r="1792">
          <cell r="B1792" t="str">
            <v>SUC CALLE 100</v>
          </cell>
        </row>
        <row r="1793">
          <cell r="B1793" t="str">
            <v>SUC CALLE 100 DS</v>
          </cell>
        </row>
        <row r="1794">
          <cell r="B1794" t="str">
            <v>SUC CALLE 101</v>
          </cell>
        </row>
        <row r="1795">
          <cell r="B1795" t="str">
            <v>SUC CALLE 101 DS</v>
          </cell>
        </row>
        <row r="1796">
          <cell r="B1796" t="str">
            <v>SUC CALLE 122</v>
          </cell>
        </row>
        <row r="1797">
          <cell r="B1797" t="str">
            <v>SUC CALLE 122 DS</v>
          </cell>
        </row>
        <row r="1798">
          <cell r="B1798" t="str">
            <v>SUC CALLE 13 - 2</v>
          </cell>
        </row>
        <row r="1799">
          <cell r="B1799" t="str">
            <v>SUC CALLE 13 - 2 DS</v>
          </cell>
        </row>
        <row r="1800">
          <cell r="B1800" t="str">
            <v>SUC CALLE 140</v>
          </cell>
        </row>
        <row r="1801">
          <cell r="B1801" t="str">
            <v>SUC CALLE 140 DS</v>
          </cell>
        </row>
        <row r="1802">
          <cell r="B1802" t="str">
            <v>SUC CALLE 18</v>
          </cell>
        </row>
        <row r="1803">
          <cell r="B1803" t="str">
            <v>SUC CALLE 18 DS</v>
          </cell>
        </row>
        <row r="1804">
          <cell r="B1804" t="str">
            <v>SUC CALLE 24</v>
          </cell>
        </row>
        <row r="1805">
          <cell r="B1805" t="str">
            <v>SUC CALLE 24 DS</v>
          </cell>
        </row>
        <row r="1806">
          <cell r="B1806" t="str">
            <v>SUC CALLE 29</v>
          </cell>
        </row>
        <row r="1807">
          <cell r="B1807" t="str">
            <v>SUC CALLE 29 DS</v>
          </cell>
        </row>
        <row r="1808">
          <cell r="B1808" t="str">
            <v>SUC CALLE 53</v>
          </cell>
        </row>
        <row r="1809">
          <cell r="B1809" t="str">
            <v>SUC CALLE 53 DS</v>
          </cell>
        </row>
        <row r="1810">
          <cell r="B1810" t="str">
            <v>SUC CALLE 57</v>
          </cell>
        </row>
        <row r="1811">
          <cell r="B1811" t="str">
            <v>SUC CALLE 57 DS</v>
          </cell>
        </row>
        <row r="1812">
          <cell r="B1812" t="str">
            <v>SUC CALLE 58</v>
          </cell>
        </row>
        <row r="1813">
          <cell r="B1813" t="str">
            <v>SUC CALLE 58 DS</v>
          </cell>
        </row>
        <row r="1814">
          <cell r="B1814" t="str">
            <v>SUC CALLE 70</v>
          </cell>
        </row>
        <row r="1815">
          <cell r="B1815" t="str">
            <v>SUC CALLE 70 DS</v>
          </cell>
        </row>
        <row r="1816">
          <cell r="B1816" t="str">
            <v>SUC CALLE 76</v>
          </cell>
        </row>
        <row r="1817">
          <cell r="B1817" t="str">
            <v>SUC CALLE 76 DS</v>
          </cell>
        </row>
        <row r="1818">
          <cell r="B1818" t="str">
            <v>SUC CALLE 79</v>
          </cell>
        </row>
        <row r="1819">
          <cell r="B1819" t="str">
            <v>SUC CALLE 79 DS</v>
          </cell>
        </row>
        <row r="1820">
          <cell r="B1820" t="str">
            <v>SUC CALLE 80 DS</v>
          </cell>
        </row>
        <row r="1821">
          <cell r="B1821" t="str">
            <v>SUC CALLE 84</v>
          </cell>
        </row>
        <row r="1822">
          <cell r="B1822" t="str">
            <v>SUC CALLE 84 DS</v>
          </cell>
        </row>
        <row r="1823">
          <cell r="B1823" t="str">
            <v>SUC CALLE 87</v>
          </cell>
        </row>
        <row r="1824">
          <cell r="B1824" t="str">
            <v>SUC CALLE 87 DS</v>
          </cell>
        </row>
        <row r="1825">
          <cell r="B1825" t="str">
            <v>SUC CALLE 92</v>
          </cell>
        </row>
        <row r="1826">
          <cell r="B1826" t="str">
            <v>SUC CALLE 92 DS</v>
          </cell>
        </row>
        <row r="1827">
          <cell r="B1827" t="str">
            <v>SUC CALLE CATORCE</v>
          </cell>
        </row>
        <row r="1828">
          <cell r="B1828" t="str">
            <v>SUC CALLE CATORCE DS</v>
          </cell>
        </row>
        <row r="1829">
          <cell r="B1829" t="str">
            <v>SUC CALLE NUEVA</v>
          </cell>
        </row>
        <row r="1830">
          <cell r="B1830" t="str">
            <v>SUC CALLE NUEVA DS</v>
          </cell>
        </row>
        <row r="1831">
          <cell r="B1831" t="str">
            <v>SUC CALLE ONCE</v>
          </cell>
        </row>
        <row r="1832">
          <cell r="B1832" t="str">
            <v>SUC CALLE ONCE DS</v>
          </cell>
        </row>
        <row r="1833">
          <cell r="B1833" t="str">
            <v>SUC CALLE PRIMERA</v>
          </cell>
        </row>
        <row r="1834">
          <cell r="B1834" t="str">
            <v>SUC CALLE PRIMERA DS</v>
          </cell>
        </row>
        <row r="1835">
          <cell r="B1835" t="str">
            <v>SUC CAMINO REAL DS</v>
          </cell>
        </row>
        <row r="1836">
          <cell r="B1836" t="str">
            <v>SUC CAMPANARIO POPAYAN</v>
          </cell>
        </row>
        <row r="1837">
          <cell r="B1837" t="str">
            <v>SUC CAMPANARIO POPAYAN DS</v>
          </cell>
        </row>
        <row r="1838">
          <cell r="B1838" t="str">
            <v>SUC CAMPOALEGRE</v>
          </cell>
        </row>
        <row r="1839">
          <cell r="B1839" t="str">
            <v>SUC CAMPOALEGRE DS</v>
          </cell>
        </row>
        <row r="1840">
          <cell r="B1840" t="str">
            <v>SUC CAÑAVERAL</v>
          </cell>
        </row>
        <row r="1841">
          <cell r="B1841" t="str">
            <v>SUC CAÑAVERAL DS</v>
          </cell>
        </row>
        <row r="1842">
          <cell r="B1842" t="str">
            <v>SUC CARABOBO</v>
          </cell>
        </row>
        <row r="1843">
          <cell r="B1843" t="str">
            <v>SUC CARABOBO DS</v>
          </cell>
        </row>
        <row r="1844">
          <cell r="B1844" t="str">
            <v>SUC CAREPA</v>
          </cell>
        </row>
        <row r="1845">
          <cell r="B1845" t="str">
            <v>SUC CAREPA DS</v>
          </cell>
        </row>
        <row r="1846">
          <cell r="B1846" t="str">
            <v>SUC CARIBE</v>
          </cell>
        </row>
        <row r="1847">
          <cell r="B1847" t="str">
            <v>SUC CARIBE DS</v>
          </cell>
        </row>
        <row r="1848">
          <cell r="B1848" t="str">
            <v>SUC CARIBE PLAZA</v>
          </cell>
        </row>
        <row r="1849">
          <cell r="B1849" t="str">
            <v>SUC CARIBE PLAZA DS</v>
          </cell>
        </row>
        <row r="1850">
          <cell r="B1850" t="str">
            <v>SUC CARREFOUR BARRANQUILLA</v>
          </cell>
        </row>
        <row r="1851">
          <cell r="B1851" t="str">
            <v>SUC CARREFOUR BARRANQUILLA DS</v>
          </cell>
        </row>
        <row r="1852">
          <cell r="B1852" t="str">
            <v>SUC CARREFOUR LA 65</v>
          </cell>
        </row>
        <row r="1853">
          <cell r="B1853" t="str">
            <v>SUC CARREFOUR LA 65 DS</v>
          </cell>
        </row>
        <row r="1854">
          <cell r="B1854" t="str">
            <v>SUC CARREFOUR LAS VEGAS</v>
          </cell>
        </row>
        <row r="1855">
          <cell r="B1855" t="str">
            <v>SUC CARREFOUR LAS VEGAS DS</v>
          </cell>
        </row>
        <row r="1856">
          <cell r="B1856" t="str">
            <v>SUC CARRERA 100</v>
          </cell>
        </row>
        <row r="1857">
          <cell r="B1857" t="str">
            <v>SUC CARRERA 100 DS</v>
          </cell>
        </row>
        <row r="1858">
          <cell r="B1858" t="str">
            <v>SUC CARRERA 23</v>
          </cell>
        </row>
        <row r="1859">
          <cell r="B1859" t="str">
            <v>SUC CARRERA 23 DS</v>
          </cell>
        </row>
        <row r="1860">
          <cell r="B1860" t="str">
            <v>SUC CARRERA 26</v>
          </cell>
        </row>
        <row r="1861">
          <cell r="B1861" t="str">
            <v>SUC CARRERA 26 DS</v>
          </cell>
        </row>
        <row r="1862">
          <cell r="B1862" t="str">
            <v>SUC CARRERA 70</v>
          </cell>
        </row>
        <row r="1863">
          <cell r="B1863" t="str">
            <v>SUC CARRERA 70 DS</v>
          </cell>
        </row>
        <row r="1864">
          <cell r="B1864" t="str">
            <v>SUC CARRERA 80</v>
          </cell>
        </row>
        <row r="1865">
          <cell r="B1865" t="str">
            <v>SUC CARRERA 80 DS</v>
          </cell>
        </row>
        <row r="1866">
          <cell r="B1866" t="str">
            <v>SUC CARRERA DECIMA</v>
          </cell>
        </row>
        <row r="1867">
          <cell r="B1867" t="str">
            <v>SUC CARRERA DECIMA DS</v>
          </cell>
        </row>
        <row r="1868">
          <cell r="B1868" t="str">
            <v>SUC CARRERA OCTAVA</v>
          </cell>
        </row>
        <row r="1869">
          <cell r="B1869" t="str">
            <v>SUC CARRERA OCTAVA DS</v>
          </cell>
        </row>
        <row r="1870">
          <cell r="B1870" t="str">
            <v>SUC CARRERA PRIMERA</v>
          </cell>
        </row>
        <row r="1871">
          <cell r="B1871" t="str">
            <v>SUC CARRERA PRIMERA DS</v>
          </cell>
        </row>
        <row r="1872">
          <cell r="B1872" t="str">
            <v>SUC CARRERA TERCERA</v>
          </cell>
        </row>
        <row r="1873">
          <cell r="B1873" t="str">
            <v>SUC CARRERA TERCERA DS</v>
          </cell>
        </row>
        <row r="1874">
          <cell r="B1874" t="str">
            <v>SUC CARTAGENA</v>
          </cell>
        </row>
        <row r="1875">
          <cell r="B1875" t="str">
            <v>SUC CARTAGENA DS</v>
          </cell>
        </row>
        <row r="1876">
          <cell r="B1876" t="str">
            <v>SUC CARTAGO</v>
          </cell>
        </row>
        <row r="1877">
          <cell r="B1877" t="str">
            <v>SUC CARTAGO DS</v>
          </cell>
        </row>
        <row r="1878">
          <cell r="B1878" t="str">
            <v>SUC CARULLA ALHAMBRA</v>
          </cell>
        </row>
        <row r="1879">
          <cell r="B1879" t="str">
            <v>SUC CARULLA ALHAMBRA DS</v>
          </cell>
        </row>
        <row r="1880">
          <cell r="B1880" t="str">
            <v>SUC CARULLA CALLE 82</v>
          </cell>
        </row>
        <row r="1881">
          <cell r="B1881" t="str">
            <v>SUC CARULLA CALLE 82 DS</v>
          </cell>
        </row>
        <row r="1882">
          <cell r="B1882" t="str">
            <v>SUC CARULLA CENTRO CHIA</v>
          </cell>
        </row>
        <row r="1883">
          <cell r="B1883" t="str">
            <v>SUC CARULLA CENTRO CHIA DS</v>
          </cell>
        </row>
        <row r="1884">
          <cell r="B1884" t="str">
            <v>SUC CARULLA MALL LLANOGRANDE DS</v>
          </cell>
        </row>
        <row r="1885">
          <cell r="B1885" t="str">
            <v>SUC CARULLA PABLO VI</v>
          </cell>
        </row>
        <row r="1886">
          <cell r="B1886" t="str">
            <v>SUC CARULLA PABLO VI DS</v>
          </cell>
        </row>
        <row r="1887">
          <cell r="B1887" t="str">
            <v>SUC CARULLA PEPE SIERRA</v>
          </cell>
        </row>
        <row r="1888">
          <cell r="B1888" t="str">
            <v>SUC CARULLA PEPE SIERRA DS</v>
          </cell>
        </row>
        <row r="1889">
          <cell r="B1889" t="str">
            <v>SUC CARULLA PLAZA AMERICA DS</v>
          </cell>
        </row>
        <row r="1890">
          <cell r="B1890" t="str">
            <v>SUC CARULLA PRADO DS</v>
          </cell>
        </row>
        <row r="1891">
          <cell r="B1891" t="str">
            <v>SUC CARULLA SAN LUCAS</v>
          </cell>
        </row>
        <row r="1892">
          <cell r="B1892" t="str">
            <v>SUC CARULLA SAN LUCAS DS</v>
          </cell>
        </row>
        <row r="1893">
          <cell r="B1893" t="str">
            <v>SUC CARVAJAL BOGOTA DS</v>
          </cell>
        </row>
        <row r="1894">
          <cell r="B1894" t="str">
            <v>SUC CARVAJAL SANTA MONICA DS</v>
          </cell>
        </row>
        <row r="1895">
          <cell r="B1895" t="str">
            <v>SUC CATEDRAL</v>
          </cell>
        </row>
        <row r="1896">
          <cell r="B1896" t="str">
            <v>SUC CATEDRAL DS</v>
          </cell>
        </row>
        <row r="1897">
          <cell r="B1897" t="str">
            <v>SUC CAUCASIA</v>
          </cell>
        </row>
        <row r="1898">
          <cell r="B1898" t="str">
            <v>SUC CAUCASIA DS</v>
          </cell>
        </row>
        <row r="1899">
          <cell r="B1899" t="str">
            <v>SUC CEDRITOS</v>
          </cell>
        </row>
        <row r="1900">
          <cell r="B1900" t="str">
            <v>SUC CEDRITOS DS</v>
          </cell>
        </row>
        <row r="1901">
          <cell r="B1901" t="str">
            <v>SUC CEDRO BOLIVAR</v>
          </cell>
        </row>
        <row r="1902">
          <cell r="B1902" t="str">
            <v>SUC CEDRO BOLIVAR DS</v>
          </cell>
        </row>
        <row r="1903">
          <cell r="B1903" t="str">
            <v>SUC CENTRAL DE ABASTOS B/MANGA</v>
          </cell>
        </row>
        <row r="1904">
          <cell r="B1904" t="str">
            <v>SUC CENTRAL DE ABASTOS B/MANGA DS</v>
          </cell>
        </row>
        <row r="1905">
          <cell r="B1905" t="str">
            <v>SUC CENTRAL DE ABASTOS BARRANQUILLA DS</v>
          </cell>
        </row>
        <row r="1906">
          <cell r="B1906" t="str">
            <v>SUC CENTRAL DE ABASTOS BOGOTA DS</v>
          </cell>
        </row>
        <row r="1907">
          <cell r="B1907" t="str">
            <v>SUC CENTRAL DE ABASTOS MEDELLIN</v>
          </cell>
        </row>
        <row r="1908">
          <cell r="B1908" t="str">
            <v>SUC CENTRAL DE ABASTOS MEDELLIN DS</v>
          </cell>
        </row>
        <row r="1909">
          <cell r="B1909" t="str">
            <v>SUC CENTRO</v>
          </cell>
        </row>
        <row r="1910">
          <cell r="B1910" t="str">
            <v>SUC CENTRO 93</v>
          </cell>
        </row>
        <row r="1911">
          <cell r="B1911" t="str">
            <v>SUC CENTRO 93 DS</v>
          </cell>
        </row>
        <row r="1912">
          <cell r="B1912" t="str">
            <v>SUC CENTRO BUCARAMANGA</v>
          </cell>
        </row>
        <row r="1913">
          <cell r="B1913" t="str">
            <v>SUC CENTRO BUCARAMANGA DS</v>
          </cell>
        </row>
        <row r="1914">
          <cell r="B1914" t="str">
            <v>SUC CENTRO CCIAL ANDINO</v>
          </cell>
        </row>
        <row r="1915">
          <cell r="B1915" t="str">
            <v>SUC CENTRO CCIAL ANDINO DS</v>
          </cell>
        </row>
        <row r="1916">
          <cell r="B1916" t="str">
            <v>SUC CENTRO CCIAL ATLANTIS DS</v>
          </cell>
        </row>
        <row r="1917">
          <cell r="B1917" t="str">
            <v>SUC CENTRO CCIAL HAYUELOS</v>
          </cell>
        </row>
        <row r="1918">
          <cell r="B1918" t="str">
            <v>SUC CENTRO CCIAL HAYUELOS DS</v>
          </cell>
        </row>
        <row r="1919">
          <cell r="B1919" t="str">
            <v>SUC CENTRO CCIAL MAYORCA</v>
          </cell>
        </row>
        <row r="1920">
          <cell r="B1920" t="str">
            <v>SUC CENTRO CCIAL MAYORCA DS</v>
          </cell>
        </row>
        <row r="1921">
          <cell r="B1921" t="str">
            <v>SUC CENTRO CCIAL PALATINO</v>
          </cell>
        </row>
        <row r="1922">
          <cell r="B1922" t="str">
            <v>SUC CENTRO CCIAL PALATINO DS</v>
          </cell>
        </row>
        <row r="1923">
          <cell r="B1923" t="str">
            <v>SUC CENTRO CCIAL PLAZA DS</v>
          </cell>
        </row>
        <row r="1924">
          <cell r="B1924" t="str">
            <v>SUC CENTRO CCIAL PUENTE LARGO</v>
          </cell>
        </row>
        <row r="1925">
          <cell r="B1925" t="str">
            <v>SUC CENTRO CCIAL PUENTE LARGO DS</v>
          </cell>
        </row>
        <row r="1926">
          <cell r="B1926" t="str">
            <v>SUC CENTRO CCIAL SALITRE PLAZA DS</v>
          </cell>
        </row>
        <row r="1927">
          <cell r="B1927" t="str">
            <v>SUC CENTRO CCIAL SANTA BARBARA</v>
          </cell>
        </row>
        <row r="1928">
          <cell r="B1928" t="str">
            <v>SUC CENTRO CCIAL SANTA BARBARA DS</v>
          </cell>
        </row>
        <row r="1929">
          <cell r="B1929" t="str">
            <v>SUC CENTRO CCIAL SANTA FE BOGOTA</v>
          </cell>
        </row>
        <row r="1930">
          <cell r="B1930" t="str">
            <v>SUC CENTRO CCIAL SANTA FE BOGOTA DS</v>
          </cell>
        </row>
        <row r="1931">
          <cell r="B1931" t="str">
            <v>SUC CENTRO CCIAL UNICO</v>
          </cell>
        </row>
        <row r="1932">
          <cell r="B1932" t="str">
            <v>SUC CENTRO CCIAL UNICO DS</v>
          </cell>
        </row>
        <row r="1933">
          <cell r="B1933" t="str">
            <v>SUC CENTRO COLON</v>
          </cell>
        </row>
        <row r="1934">
          <cell r="B1934" t="str">
            <v>SUC CENTRO COLON DS</v>
          </cell>
        </row>
        <row r="1935">
          <cell r="B1935" t="str">
            <v>SUC CENTRO COLTEJER</v>
          </cell>
        </row>
        <row r="1936">
          <cell r="B1936" t="str">
            <v>SUC CENTRO COLTEJER DS</v>
          </cell>
        </row>
        <row r="1937">
          <cell r="B1937" t="str">
            <v>SUC CENTRO COMERCIAL  SAN ANTONIO</v>
          </cell>
        </row>
        <row r="1938">
          <cell r="B1938" t="str">
            <v>SUC CENTRO COMERCIAL ATLANTIS</v>
          </cell>
        </row>
        <row r="1939">
          <cell r="B1939" t="str">
            <v>SUC CENTRO COMERCIAL SAN ANTONIO DS</v>
          </cell>
        </row>
        <row r="1940">
          <cell r="B1940" t="str">
            <v>SUC CENTRO COMERCIAL SANTAFE MEDELLIN</v>
          </cell>
        </row>
        <row r="1941">
          <cell r="B1941" t="str">
            <v>SUC CENTRO COMERCIAL SANTAFE MEDELLIN DS</v>
          </cell>
        </row>
        <row r="1942">
          <cell r="B1942" t="str">
            <v>SUC CENTRO COMERCIAL UNICO PASTO</v>
          </cell>
        </row>
        <row r="1943">
          <cell r="B1943" t="str">
            <v>SUC CENTRO COMERCIAL UNICO PASTO DS</v>
          </cell>
        </row>
        <row r="1944">
          <cell r="B1944" t="str">
            <v>SUC CENTRO DE LA CONFECCION</v>
          </cell>
        </row>
        <row r="1945">
          <cell r="B1945" t="str">
            <v>SUC CENTRO DE LA CONFECCION DS</v>
          </cell>
        </row>
        <row r="1946">
          <cell r="B1946" t="str">
            <v>SUC CENTRO DE PAGOS APARTADO DS</v>
          </cell>
        </row>
        <row r="1947">
          <cell r="B1947" t="str">
            <v>SUC CENTRO DE PAGOS AVENIDA QUINTA DS</v>
          </cell>
        </row>
        <row r="1948">
          <cell r="B1948" t="str">
            <v>SUC CENTRO DE PAGOS BARRANCABERMEJA DS</v>
          </cell>
        </row>
        <row r="1949">
          <cell r="B1949" t="str">
            <v>SUC CENTRO DE PAGOS BELLO DS</v>
          </cell>
        </row>
        <row r="1950">
          <cell r="B1950" t="str">
            <v>SUC CENTRO DE PAGOS BUCARAMANGA DS</v>
          </cell>
        </row>
        <row r="1951">
          <cell r="B1951" t="str">
            <v>SUC CENTRO DE PAGOS BUENAVENTURA DS</v>
          </cell>
        </row>
        <row r="1952">
          <cell r="B1952" t="str">
            <v>SUC CENTRO DE PAGOS CABECERA DS</v>
          </cell>
        </row>
        <row r="1953">
          <cell r="B1953" t="str">
            <v>SUC CENTRO DE PAGOS CALI SUR DS</v>
          </cell>
        </row>
        <row r="1954">
          <cell r="B1954" t="str">
            <v>SUC CENTRO DE PAGOS CALLE 18 DS</v>
          </cell>
        </row>
        <row r="1955">
          <cell r="B1955" t="str">
            <v>SUC CENTRO DE PAGOS CALLE 72 DS</v>
          </cell>
        </row>
        <row r="1956">
          <cell r="B1956" t="str">
            <v>SUC CENTRO DE PAGOS CARTAGO DS</v>
          </cell>
        </row>
        <row r="1957">
          <cell r="B1957" t="str">
            <v>SUC CENTRO DE PAGOS COLTEJER DS</v>
          </cell>
        </row>
        <row r="1958">
          <cell r="B1958" t="str">
            <v>SUC CENTRO DE PAGOS CUCUTA DS</v>
          </cell>
        </row>
        <row r="1959">
          <cell r="B1959" t="str">
            <v>SUC CENTRO DE PAGOS FONTIBON DS</v>
          </cell>
        </row>
        <row r="1960">
          <cell r="B1960" t="str">
            <v>SUC CENTRO DE PAGOS GUAYABAL DS</v>
          </cell>
        </row>
        <row r="1961">
          <cell r="B1961" t="str">
            <v>SUC CENTRO DE PAGOS ISLA OVIEDO DS</v>
          </cell>
        </row>
        <row r="1962">
          <cell r="B1962" t="str">
            <v>SUC CENTRO DE PAGOS ITAGUI DS</v>
          </cell>
        </row>
        <row r="1963">
          <cell r="B1963" t="str">
            <v>SUC CENTRO DE PAGOS LA  93 DS</v>
          </cell>
        </row>
        <row r="1964">
          <cell r="B1964" t="str">
            <v>SUC CENTRO DE PAGOS LA AMERICA DS</v>
          </cell>
        </row>
        <row r="1965">
          <cell r="B1965" t="str">
            <v>SUC CENTRO DE PAGOS LA CASTELLANA DS</v>
          </cell>
        </row>
        <row r="1966">
          <cell r="B1966" t="str">
            <v>SUC CENTRO DE PAGOS MANIZALES DS</v>
          </cell>
        </row>
        <row r="1967">
          <cell r="B1967" t="str">
            <v>SUC CENTRO DE PAGOS MAYORISTA DS</v>
          </cell>
        </row>
        <row r="1968">
          <cell r="B1968" t="str">
            <v>SUC CENTRO DE PAGOS MODELIA DS</v>
          </cell>
        </row>
        <row r="1969">
          <cell r="B1969" t="str">
            <v>SUC CENTRO DE PAGOS MONTERIA DS</v>
          </cell>
        </row>
        <row r="1970">
          <cell r="B1970" t="str">
            <v>SUC CENTRO DE PAGOS MONTERREY  DS</v>
          </cell>
        </row>
        <row r="1971">
          <cell r="B1971" t="str">
            <v>SUC CENTRO DE PAGOS NEIVA DS</v>
          </cell>
        </row>
        <row r="1972">
          <cell r="B1972" t="str">
            <v>SUC CENTRO DE PAGOS OCCIDENTE DS</v>
          </cell>
        </row>
        <row r="1973">
          <cell r="B1973" t="str">
            <v>SUC CENTRO DE PAGOS PALMIRA DS</v>
          </cell>
        </row>
        <row r="1974">
          <cell r="B1974" t="str">
            <v>SUC CENTRO DE PAGOS PASTO DS</v>
          </cell>
        </row>
        <row r="1975">
          <cell r="B1975" t="str">
            <v>SUC CENTRO DE PAGOS POBLADO DS</v>
          </cell>
        </row>
        <row r="1976">
          <cell r="B1976" t="str">
            <v>SUC CENTRO DE PAGOS POPAYAN DS</v>
          </cell>
        </row>
        <row r="1977">
          <cell r="B1977" t="str">
            <v>SUC CENTRO DE PAGOS RIONEGRO DS</v>
          </cell>
        </row>
        <row r="1978">
          <cell r="B1978" t="str">
            <v>SUC CENTRO DE PAGOS SAN MARTIN DS</v>
          </cell>
        </row>
        <row r="1979">
          <cell r="B1979" t="str">
            <v>SUC CENTRO DE PAGOS SANTA MARTA DS</v>
          </cell>
        </row>
        <row r="1980">
          <cell r="B1980" t="str">
            <v>SUC CENTRO DE PAGOS SUBAZAR DS</v>
          </cell>
        </row>
        <row r="1981">
          <cell r="B1981" t="str">
            <v>SUC CENTRO DE PAGOS TEMPO DS</v>
          </cell>
        </row>
        <row r="1982">
          <cell r="B1982" t="str">
            <v>SUC CENTRO DE PAGOS UNICENTRO BOGOTA DS</v>
          </cell>
        </row>
        <row r="1983">
          <cell r="B1983" t="str">
            <v>SUC CENTRO DE PAGOS VALLEDUPAR DS</v>
          </cell>
        </row>
        <row r="1984">
          <cell r="B1984" t="str">
            <v>SUC CENTRO DE PAGOS VILLAVICENCIO DS</v>
          </cell>
        </row>
        <row r="1985">
          <cell r="B1985" t="str">
            <v>SUC CENTRO DISTRITAL</v>
          </cell>
        </row>
        <row r="1986">
          <cell r="B1986" t="str">
            <v>SUC CENTRO DISTRITAL DS</v>
          </cell>
        </row>
        <row r="1987">
          <cell r="B1987" t="str">
            <v>SUC CENTRO DS</v>
          </cell>
        </row>
        <row r="1988">
          <cell r="B1988" t="str">
            <v>SUC CENTRO FINANCIERO</v>
          </cell>
        </row>
        <row r="1989">
          <cell r="B1989" t="str">
            <v>SUC CENTRO FINANCIERO DS</v>
          </cell>
        </row>
        <row r="1990">
          <cell r="B1990" t="str">
            <v>SUC CENTRO INDUSTRIAL</v>
          </cell>
        </row>
        <row r="1991">
          <cell r="B1991" t="str">
            <v>SUC CENTRO INDUSTRIAL DS</v>
          </cell>
        </row>
        <row r="1992">
          <cell r="B1992" t="str">
            <v>SUC CENTRO INTERNACIONAL</v>
          </cell>
        </row>
        <row r="1993">
          <cell r="B1993" t="str">
            <v>SUC CENTRO INTERNACIONAL DS</v>
          </cell>
        </row>
        <row r="1994">
          <cell r="B1994" t="str">
            <v>SUC CENTRO INTERNACIONAL FIDUC DS</v>
          </cell>
        </row>
        <row r="1995">
          <cell r="B1995" t="str">
            <v>SUC CENTRO MAYOR</v>
          </cell>
        </row>
        <row r="1996">
          <cell r="B1996" t="str">
            <v>SUC CENTRO MAYOR DS</v>
          </cell>
        </row>
        <row r="1997">
          <cell r="B1997" t="str">
            <v>SUC CENTRO NACIONAL DEL AHORRO DS</v>
          </cell>
        </row>
        <row r="1998">
          <cell r="B1998" t="str">
            <v>SUC CENTROSUR</v>
          </cell>
        </row>
        <row r="1999">
          <cell r="B1999" t="str">
            <v>SUC CENTROSUR DS</v>
          </cell>
        </row>
        <row r="2000">
          <cell r="B2000" t="str">
            <v>SUC CERETE</v>
          </cell>
        </row>
        <row r="2001">
          <cell r="B2001" t="str">
            <v>SUC CERETE DS</v>
          </cell>
        </row>
        <row r="2002">
          <cell r="B2002" t="str">
            <v>SUC CERRITO</v>
          </cell>
        </row>
        <row r="2003">
          <cell r="B2003" t="str">
            <v>SUC CERRITO DS</v>
          </cell>
        </row>
        <row r="2004">
          <cell r="B2004" t="str">
            <v>SUC CERVUNION DS</v>
          </cell>
        </row>
        <row r="2005">
          <cell r="B2005" t="str">
            <v>SUC CHAPARRAL</v>
          </cell>
        </row>
        <row r="2006">
          <cell r="B2006" t="str">
            <v>SUC CHAPARRAL DS</v>
          </cell>
        </row>
        <row r="2007">
          <cell r="B2007" t="str">
            <v>SUC CHAPINERO</v>
          </cell>
        </row>
        <row r="2008">
          <cell r="B2008" t="str">
            <v>SUC CHAPINERO DS</v>
          </cell>
        </row>
        <row r="2009">
          <cell r="B2009" t="str">
            <v>SUC CHARALA</v>
          </cell>
        </row>
        <row r="2010">
          <cell r="B2010" t="str">
            <v>SUC CHARALA DS</v>
          </cell>
        </row>
        <row r="2011">
          <cell r="B2011" t="str">
            <v>SUC CHIA</v>
          </cell>
        </row>
        <row r="2012">
          <cell r="B2012" t="str">
            <v>SUC CHIA DS</v>
          </cell>
        </row>
        <row r="2013">
          <cell r="B2013" t="str">
            <v>SUC CHICO 94</v>
          </cell>
        </row>
        <row r="2014">
          <cell r="B2014" t="str">
            <v>SUC CHICO 94 DS</v>
          </cell>
        </row>
        <row r="2015">
          <cell r="B2015" t="str">
            <v>SUC CHIGORODO</v>
          </cell>
        </row>
        <row r="2016">
          <cell r="B2016" t="str">
            <v>SUC CHIGORODO DS</v>
          </cell>
        </row>
        <row r="2017">
          <cell r="B2017" t="str">
            <v>SUC CHINCHINA</v>
          </cell>
        </row>
        <row r="2018">
          <cell r="B2018" t="str">
            <v>SUC CHINCHINA DS</v>
          </cell>
        </row>
        <row r="2019">
          <cell r="B2019" t="str">
            <v>SUC CHINU</v>
          </cell>
        </row>
        <row r="2020">
          <cell r="B2020" t="str">
            <v>SUC CHIPICHAPE</v>
          </cell>
        </row>
        <row r="2021">
          <cell r="B2021" t="str">
            <v>SUC CHIPICHAPE DS</v>
          </cell>
        </row>
        <row r="2022">
          <cell r="B2022" t="str">
            <v>SUC CHIQUINQUIRA</v>
          </cell>
        </row>
        <row r="2023">
          <cell r="B2023" t="str">
            <v>SUC CHIQUINQUIRA DS</v>
          </cell>
        </row>
        <row r="2024">
          <cell r="B2024" t="str">
            <v>SUC CIENAGA</v>
          </cell>
        </row>
        <row r="2025">
          <cell r="B2025" t="str">
            <v>SUC CIENAGA DE ORO DS</v>
          </cell>
        </row>
        <row r="2026">
          <cell r="B2026" t="str">
            <v>SUC CIENAGA DS</v>
          </cell>
        </row>
        <row r="2027">
          <cell r="B2027" t="str">
            <v>SUC CIRCUNVALAR PEREIRA</v>
          </cell>
        </row>
        <row r="2028">
          <cell r="B2028" t="str">
            <v>SUC CIRCUNVALAR PEREIRA DS</v>
          </cell>
        </row>
        <row r="2029">
          <cell r="B2029" t="str">
            <v>SUC CITY PLAZA</v>
          </cell>
        </row>
        <row r="2030">
          <cell r="B2030" t="str">
            <v>SUC CITY PLAZA DS</v>
          </cell>
        </row>
        <row r="2031">
          <cell r="B2031" t="str">
            <v>SUC CIUDAD BOLIVAR</v>
          </cell>
        </row>
        <row r="2032">
          <cell r="B2032" t="str">
            <v>SUC CIUDAD BOLIVAR DS</v>
          </cell>
        </row>
        <row r="2033">
          <cell r="B2033" t="str">
            <v>SUC CIUDAD JARDIN</v>
          </cell>
        </row>
        <row r="2034">
          <cell r="B2034" t="str">
            <v>SUC CIUDAD JARDIN DS</v>
          </cell>
        </row>
        <row r="2035">
          <cell r="B2035" t="str">
            <v>SUC CIUDAD KENNEDY</v>
          </cell>
        </row>
        <row r="2036">
          <cell r="B2036" t="str">
            <v>SUC CIUDAD KENNEDY DS</v>
          </cell>
        </row>
        <row r="2037">
          <cell r="B2037" t="str">
            <v>SUC CIUDAD SALITRE 2</v>
          </cell>
        </row>
        <row r="2038">
          <cell r="B2038" t="str">
            <v>SUC CIUDAD SALITRE 2 DS</v>
          </cell>
        </row>
        <row r="2039">
          <cell r="B2039" t="str">
            <v>SUC CLINICA SOMER DS</v>
          </cell>
        </row>
        <row r="2040">
          <cell r="B2040" t="str">
            <v>SUC CODABAS</v>
          </cell>
        </row>
        <row r="2041">
          <cell r="B2041" t="str">
            <v>SUC CODABAS DS</v>
          </cell>
        </row>
        <row r="2042">
          <cell r="B2042" t="str">
            <v>SUC COLINA CAMPESTRE</v>
          </cell>
        </row>
        <row r="2043">
          <cell r="B2043" t="str">
            <v>SUC COLINA CAMPESTRE DS</v>
          </cell>
        </row>
        <row r="2044">
          <cell r="B2044" t="str">
            <v>SUC COLMOTORES DS</v>
          </cell>
        </row>
        <row r="2045">
          <cell r="B2045" t="str">
            <v>SUC COLTABACO</v>
          </cell>
        </row>
        <row r="2046">
          <cell r="B2046" t="str">
            <v>SUC COLTABACO DS</v>
          </cell>
        </row>
        <row r="2047">
          <cell r="B2047" t="str">
            <v>SUC COMPAÑIA COLOMBIANA AUTOMOTRIZ DS</v>
          </cell>
        </row>
        <row r="2048">
          <cell r="B2048" t="str">
            <v>SUC CONCORDIA</v>
          </cell>
        </row>
        <row r="2049">
          <cell r="B2049" t="str">
            <v>SUC CONCORDIA DS</v>
          </cell>
        </row>
        <row r="2050">
          <cell r="B2050" t="str">
            <v>SUC CONSUMO EL PEDREGAL DS</v>
          </cell>
        </row>
        <row r="2051">
          <cell r="B2051" t="str">
            <v>SUC CONSUMO ITAGUI DS</v>
          </cell>
        </row>
        <row r="2052">
          <cell r="B2052" t="str">
            <v>SUC CONTADOR</v>
          </cell>
        </row>
        <row r="2053">
          <cell r="B2053" t="str">
            <v>SUC CONTADOR DS</v>
          </cell>
        </row>
        <row r="2054">
          <cell r="B2054" t="str">
            <v>SUC CONTECAR DS</v>
          </cell>
        </row>
        <row r="2055">
          <cell r="B2055" t="str">
            <v>SUC COPACABANA</v>
          </cell>
        </row>
        <row r="2056">
          <cell r="B2056" t="str">
            <v>SUC COPACABANA DS</v>
          </cell>
        </row>
        <row r="2057">
          <cell r="B2057" t="str">
            <v>SUC CORABASTOS</v>
          </cell>
        </row>
        <row r="2058">
          <cell r="B2058" t="str">
            <v>SUC CORABASTOS DS</v>
          </cell>
        </row>
        <row r="2059">
          <cell r="B2059" t="str">
            <v>SUC COROZAL</v>
          </cell>
        </row>
        <row r="2060">
          <cell r="B2060" t="str">
            <v>SUC COROZAL DS</v>
          </cell>
        </row>
        <row r="2061">
          <cell r="B2061" t="str">
            <v>SUC COSMOCENTRO</v>
          </cell>
        </row>
        <row r="2062">
          <cell r="B2062" t="str">
            <v>SUC COSMOCENTRO DS</v>
          </cell>
        </row>
        <row r="2063">
          <cell r="B2063" t="str">
            <v>SUC COTA</v>
          </cell>
        </row>
        <row r="2064">
          <cell r="B2064" t="str">
            <v>SUC COTA DS</v>
          </cell>
        </row>
        <row r="2065">
          <cell r="B2065" t="str">
            <v>SUC COUNTRY PLAZA</v>
          </cell>
        </row>
        <row r="2066">
          <cell r="B2066" t="str">
            <v>SUC COUNTRY PLAZA DS</v>
          </cell>
        </row>
        <row r="2067">
          <cell r="B2067" t="str">
            <v>SUC COVEÑAS DS</v>
          </cell>
        </row>
        <row r="2068">
          <cell r="B2068" t="str">
            <v>SUC CUCUTA</v>
          </cell>
        </row>
        <row r="2069">
          <cell r="B2069" t="str">
            <v>SUC CUCUTA DS</v>
          </cell>
        </row>
        <row r="2070">
          <cell r="B2070" t="str">
            <v>SUC CUMARAL</v>
          </cell>
        </row>
        <row r="2071">
          <cell r="B2071" t="str">
            <v>SUC DANN CARLTON</v>
          </cell>
        </row>
        <row r="2072">
          <cell r="B2072" t="str">
            <v>SUC DANN CARLTON BARRANQUILLA</v>
          </cell>
        </row>
        <row r="2073">
          <cell r="B2073" t="str">
            <v>SUC DANN CARLTON BARRANQUILLA DS</v>
          </cell>
        </row>
        <row r="2074">
          <cell r="B2074" t="str">
            <v>SUC DANN CARLTON DS</v>
          </cell>
        </row>
        <row r="2075">
          <cell r="B2075" t="str">
            <v>SUC DEPARTAMENTO DE CUNDINAMARCA CTRO DS</v>
          </cell>
        </row>
        <row r="2076">
          <cell r="B2076" t="str">
            <v>SUC DEPARTAMENTO DE CUNDINAMARCA NORT DS</v>
          </cell>
        </row>
        <row r="2077">
          <cell r="B2077" t="str">
            <v>SUC DEPARTAMENTO DE CUNDINAMARCA SUR DS</v>
          </cell>
        </row>
        <row r="2078">
          <cell r="B2078" t="str">
            <v>SUC DIAGONAL SANTANDER</v>
          </cell>
        </row>
        <row r="2079">
          <cell r="B2079" t="str">
            <v>SUC DIAGONAL SANTANDER DS</v>
          </cell>
        </row>
        <row r="2080">
          <cell r="B2080" t="str">
            <v>SUC DICENTE MEDELLIN DS</v>
          </cell>
        </row>
        <row r="2081">
          <cell r="B2081" t="str">
            <v>SUC DIVER PLAZA</v>
          </cell>
        </row>
        <row r="2082">
          <cell r="B2082" t="str">
            <v>SUC DIVER PLAZA DS</v>
          </cell>
        </row>
        <row r="2083">
          <cell r="B2083" t="str">
            <v>SUC DIVISAS LEY SANTA MARTA</v>
          </cell>
        </row>
        <row r="2084">
          <cell r="B2084" t="str">
            <v>SUC DONMATIAS</v>
          </cell>
        </row>
        <row r="2085">
          <cell r="B2085" t="str">
            <v>SUC DONMATIAS DS</v>
          </cell>
        </row>
        <row r="2086">
          <cell r="B2086" t="str">
            <v>SUC DORADO PLAZA</v>
          </cell>
        </row>
        <row r="2087">
          <cell r="B2087" t="str">
            <v>SUC DOSQUEBRADAS</v>
          </cell>
        </row>
        <row r="2088">
          <cell r="B2088" t="str">
            <v>SUC DOSQUEBRADAS DS</v>
          </cell>
        </row>
        <row r="2089">
          <cell r="B2089" t="str">
            <v>SUC DUITAMA</v>
          </cell>
        </row>
        <row r="2090">
          <cell r="B2090" t="str">
            <v>SUC DUITAMA DS</v>
          </cell>
        </row>
        <row r="2091">
          <cell r="B2091" t="str">
            <v>SUC EAFIT</v>
          </cell>
        </row>
        <row r="2092">
          <cell r="B2092" t="str">
            <v>SUC EAFIT DS</v>
          </cell>
        </row>
        <row r="2093">
          <cell r="B2093" t="str">
            <v>SUC ECOPETROL</v>
          </cell>
        </row>
        <row r="2094">
          <cell r="B2094" t="str">
            <v>SUC ECOPETROL DS</v>
          </cell>
        </row>
        <row r="2095">
          <cell r="B2095" t="str">
            <v>SUC ECOPETROL NEIVA DS</v>
          </cell>
        </row>
        <row r="2096">
          <cell r="B2096" t="str">
            <v>SUC EDIFICIO COLONIAL</v>
          </cell>
        </row>
        <row r="2097">
          <cell r="B2097" t="str">
            <v>SUC EDIFICIO COLONIAL DS</v>
          </cell>
        </row>
        <row r="2098">
          <cell r="B2098" t="str">
            <v>SUC EDIFICIO EMPRESAS PUBLICAS DS</v>
          </cell>
        </row>
        <row r="2099">
          <cell r="B2099" t="str">
            <v>SUC EDIFICIO LARA</v>
          </cell>
        </row>
        <row r="2100">
          <cell r="B2100" t="str">
            <v>SUC EDIFICIO LARA DS</v>
          </cell>
        </row>
        <row r="2101">
          <cell r="B2101" t="str">
            <v>SUC EL BAGRE DS</v>
          </cell>
        </row>
        <row r="2102">
          <cell r="B2102" t="str">
            <v>SUC EL BORDO CAUCA DS</v>
          </cell>
        </row>
        <row r="2103">
          <cell r="B2103" t="str">
            <v>SUC EL BOSQUE</v>
          </cell>
        </row>
        <row r="2104">
          <cell r="B2104" t="str">
            <v>SUC EL BOSQUE DS</v>
          </cell>
        </row>
        <row r="2105">
          <cell r="B2105" t="str">
            <v>SUC EL CABLE</v>
          </cell>
        </row>
        <row r="2106">
          <cell r="B2106" t="str">
            <v>SUC EL CABLE DS</v>
          </cell>
        </row>
        <row r="2107">
          <cell r="B2107" t="str">
            <v>SUC EL CAN</v>
          </cell>
        </row>
        <row r="2108">
          <cell r="B2108" t="str">
            <v>SUC EL CAN DS</v>
          </cell>
        </row>
        <row r="2109">
          <cell r="B2109" t="str">
            <v>SUC EL CARMEN DE VIBORAL</v>
          </cell>
        </row>
        <row r="2110">
          <cell r="B2110" t="str">
            <v>SUC EL CARMEN DE VIBORAL DS</v>
          </cell>
        </row>
        <row r="2111">
          <cell r="B2111" t="str">
            <v>SUC EL CERREJON DS</v>
          </cell>
        </row>
        <row r="2112">
          <cell r="B2112" t="str">
            <v>SUC EL DIFICIL</v>
          </cell>
        </row>
        <row r="2113">
          <cell r="B2113" t="str">
            <v>SUC EL DIFICIL DS</v>
          </cell>
        </row>
        <row r="2114">
          <cell r="B2114" t="str">
            <v>SUC EL GUAMO</v>
          </cell>
        </row>
        <row r="2115">
          <cell r="B2115" t="str">
            <v>SUC EL GUAMO DS</v>
          </cell>
        </row>
        <row r="2116">
          <cell r="B2116" t="str">
            <v>SUC EL LAGO</v>
          </cell>
        </row>
        <row r="2117">
          <cell r="B2117" t="str">
            <v>SUC EL LAGO DS</v>
          </cell>
        </row>
        <row r="2118">
          <cell r="B2118" t="str">
            <v>SUC EL LIMONAR PREMIER</v>
          </cell>
        </row>
        <row r="2119">
          <cell r="B2119" t="str">
            <v>SUC EL LIMONAR PREMIER DS</v>
          </cell>
        </row>
        <row r="2120">
          <cell r="B2120" t="str">
            <v>SUC EL PEÑOL DS</v>
          </cell>
        </row>
        <row r="2121">
          <cell r="B2121" t="str">
            <v>SUC EL RODADERO</v>
          </cell>
        </row>
        <row r="2122">
          <cell r="B2122" t="str">
            <v>SUC EL RODADERO DS</v>
          </cell>
        </row>
        <row r="2123">
          <cell r="B2123" t="str">
            <v>SUC EL ROSAL</v>
          </cell>
        </row>
        <row r="2124">
          <cell r="B2124" t="str">
            <v>SUC EL ROSAL DS</v>
          </cell>
        </row>
        <row r="2125">
          <cell r="B2125" t="str">
            <v>SUC EL TESORO</v>
          </cell>
        </row>
        <row r="2126">
          <cell r="B2126" t="str">
            <v>SUC EL TESORO DS</v>
          </cell>
        </row>
        <row r="2127">
          <cell r="B2127" t="str">
            <v>SUC EL TRONCAL</v>
          </cell>
        </row>
        <row r="2128">
          <cell r="B2128" t="str">
            <v>SUC EL TRONCAL DS</v>
          </cell>
        </row>
        <row r="2129">
          <cell r="B2129" t="str">
            <v>SUC EL VIRREY</v>
          </cell>
        </row>
        <row r="2130">
          <cell r="B2130" t="str">
            <v>SUC EL VIRREY DS</v>
          </cell>
        </row>
        <row r="2131">
          <cell r="B2131" t="str">
            <v>SUC EMBOTELLADORA ROMAN MONTERIA DS</v>
          </cell>
        </row>
        <row r="2132">
          <cell r="B2132" t="str">
            <v>SUC EMCALI 14 DS</v>
          </cell>
        </row>
        <row r="2133">
          <cell r="B2133" t="str">
            <v>SUC EMCALI CENTRO DS</v>
          </cell>
        </row>
        <row r="2134">
          <cell r="B2134" t="str">
            <v>SUC EMCALI COSMOCENTRO DS</v>
          </cell>
        </row>
        <row r="2135">
          <cell r="B2135" t="str">
            <v>SUC EMCALI DS</v>
          </cell>
        </row>
        <row r="2136">
          <cell r="B2136" t="str">
            <v>SUC EMCALI LA RIVIERA</v>
          </cell>
        </row>
        <row r="2137">
          <cell r="B2137" t="str">
            <v>SUC EMCALI YUMBO DS</v>
          </cell>
        </row>
        <row r="2138">
          <cell r="B2138" t="str">
            <v>SUC ENTRERRIOS</v>
          </cell>
        </row>
        <row r="2139">
          <cell r="B2139" t="str">
            <v>SUC ENTRERRIOS DS</v>
          </cell>
        </row>
        <row r="2140">
          <cell r="B2140" t="str">
            <v>SUC ENVIGADO</v>
          </cell>
        </row>
        <row r="2141">
          <cell r="B2141" t="str">
            <v>SUC ENVIGADO DS</v>
          </cell>
        </row>
        <row r="2142">
          <cell r="B2142" t="str">
            <v>SUC ESPINAL</v>
          </cell>
        </row>
        <row r="2143">
          <cell r="B2143" t="str">
            <v>SUC ESPINAL DS</v>
          </cell>
        </row>
        <row r="2144">
          <cell r="B2144" t="str">
            <v>SUC ESTADIO</v>
          </cell>
        </row>
        <row r="2145">
          <cell r="B2145" t="str">
            <v>SUC ESTADIO DS</v>
          </cell>
        </row>
        <row r="2146">
          <cell r="B2146" t="str">
            <v>SUC ETB VILLAVICENCIO DS</v>
          </cell>
        </row>
        <row r="2147">
          <cell r="B2147" t="str">
            <v>SUC EXITO 80</v>
          </cell>
        </row>
        <row r="2148">
          <cell r="B2148" t="str">
            <v>SUC EXITO 80 DS</v>
          </cell>
        </row>
        <row r="2149">
          <cell r="B2149" t="str">
            <v>SUC EXITO BARRANQUILLA</v>
          </cell>
        </row>
        <row r="2150">
          <cell r="B2150" t="str">
            <v>SUC EXITO BARRANQUILLA DS</v>
          </cell>
        </row>
        <row r="2151">
          <cell r="B2151" t="str">
            <v>SUC EXITO BELLO</v>
          </cell>
        </row>
        <row r="2152">
          <cell r="B2152" t="str">
            <v>SUC EXITO BELLO DS</v>
          </cell>
        </row>
        <row r="2153">
          <cell r="B2153" t="str">
            <v>SUC EXITO BOSA</v>
          </cell>
        </row>
        <row r="2154">
          <cell r="B2154" t="str">
            <v>SUC EXITO BOSA DS</v>
          </cell>
        </row>
        <row r="2155">
          <cell r="B2155" t="str">
            <v>SUC EXITO BUCARAMANGA</v>
          </cell>
        </row>
        <row r="2156">
          <cell r="B2156" t="str">
            <v>SUC EXITO BUCARAMANGA 2 DS</v>
          </cell>
        </row>
        <row r="2157">
          <cell r="B2157" t="str">
            <v>SUC EXITO BUCARAMANGA DS</v>
          </cell>
        </row>
        <row r="2158">
          <cell r="B2158" t="str">
            <v>SUC EXITO CALLE 80</v>
          </cell>
        </row>
        <row r="2159">
          <cell r="B2159" t="str">
            <v>SUC EXITO CALLE 80 DS</v>
          </cell>
        </row>
        <row r="2160">
          <cell r="B2160" t="str">
            <v>SUC EXITO CAÑAVERAL</v>
          </cell>
        </row>
        <row r="2161">
          <cell r="B2161" t="str">
            <v>SUC EXITO CAÑAVERAL DS</v>
          </cell>
        </row>
        <row r="2162">
          <cell r="B2162" t="str">
            <v>SUC EXITO COLINA CAMPESTRE</v>
          </cell>
        </row>
        <row r="2163">
          <cell r="B2163" t="str">
            <v>SUC EXITO COLINA CAMPESTRE 2 DS</v>
          </cell>
        </row>
        <row r="2164">
          <cell r="B2164" t="str">
            <v>SUC EXITO COLINA CAMPESTRE DS</v>
          </cell>
        </row>
        <row r="2165">
          <cell r="B2165" t="str">
            <v>SUC EXITO COLOMBIA</v>
          </cell>
        </row>
        <row r="2166">
          <cell r="B2166" t="str">
            <v>SUC EXITO COLOMBIA 2 DS</v>
          </cell>
        </row>
        <row r="2167">
          <cell r="B2167" t="str">
            <v>SUC EXITO COLOMBIA DS</v>
          </cell>
        </row>
        <row r="2168">
          <cell r="B2168" t="str">
            <v>SUC EXITO COUNTRY</v>
          </cell>
        </row>
        <row r="2169">
          <cell r="B2169" t="str">
            <v>SUC EXITO COUNTRY 2 DS</v>
          </cell>
        </row>
        <row r="2170">
          <cell r="B2170" t="str">
            <v>SUC EXITO COUNTRY DS</v>
          </cell>
        </row>
        <row r="2171">
          <cell r="B2171" t="str">
            <v>SUC EXITO DE LAS AMERICAS</v>
          </cell>
        </row>
        <row r="2172">
          <cell r="B2172" t="str">
            <v>SUC EXITO DE LAS AMERICAS DS</v>
          </cell>
        </row>
        <row r="2173">
          <cell r="B2173" t="str">
            <v>SUC EXITO ENVIGADO</v>
          </cell>
        </row>
        <row r="2174">
          <cell r="B2174" t="str">
            <v>SUC EXITO ENVIGADO 2 DS</v>
          </cell>
        </row>
        <row r="2175">
          <cell r="B2175" t="str">
            <v>SUC EXITO ENVIGADO DS</v>
          </cell>
        </row>
        <row r="2176">
          <cell r="B2176" t="str">
            <v>SUC EXITO FONTIBON</v>
          </cell>
        </row>
        <row r="2177">
          <cell r="B2177" t="str">
            <v>SUC EXITO FONTIBON DS</v>
          </cell>
        </row>
        <row r="2178">
          <cell r="B2178" t="str">
            <v>SUC EXITO IBAGUE</v>
          </cell>
        </row>
        <row r="2179">
          <cell r="B2179" t="str">
            <v>SUC EXITO IBAGUE DS</v>
          </cell>
        </row>
        <row r="2180">
          <cell r="B2180" t="str">
            <v>SUC EXITO ITAGUI</v>
          </cell>
        </row>
        <row r="2181">
          <cell r="B2181" t="str">
            <v>SUC EXITO ITAGUI DS</v>
          </cell>
        </row>
        <row r="2182">
          <cell r="B2182" t="str">
            <v>SUC EXITO LA AMERICA DS</v>
          </cell>
        </row>
        <row r="2183">
          <cell r="B2183" t="str">
            <v>SUC EXITO LA FLORA</v>
          </cell>
        </row>
        <row r="2184">
          <cell r="B2184" t="str">
            <v>SUC EXITO LA FLORA 2</v>
          </cell>
        </row>
        <row r="2185">
          <cell r="B2185" t="str">
            <v>SUC EXITO LA FLORA 2 DS</v>
          </cell>
        </row>
        <row r="2186">
          <cell r="B2186" t="str">
            <v>SUC EXITO LA FLORA DS</v>
          </cell>
        </row>
        <row r="2187">
          <cell r="B2187" t="str">
            <v>SUC EXITO LAURELES</v>
          </cell>
        </row>
        <row r="2188">
          <cell r="B2188" t="str">
            <v>SUC EXITO LAURELES 2</v>
          </cell>
        </row>
        <row r="2189">
          <cell r="B2189" t="str">
            <v>SUC EXITO LAURELES DS</v>
          </cell>
        </row>
        <row r="2190">
          <cell r="B2190" t="str">
            <v>SUC EXITO NEIVA</v>
          </cell>
        </row>
        <row r="2191">
          <cell r="B2191" t="str">
            <v>SUC EXITO NEIVA DS</v>
          </cell>
        </row>
        <row r="2192">
          <cell r="B2192" t="str">
            <v>SUC EXITO NORTE</v>
          </cell>
        </row>
        <row r="2193">
          <cell r="B2193" t="str">
            <v>SUC EXITO NORTE DS</v>
          </cell>
        </row>
        <row r="2194">
          <cell r="B2194" t="str">
            <v>SUC EXITO PASTO</v>
          </cell>
        </row>
        <row r="2195">
          <cell r="B2195" t="str">
            <v>SUC EXITO PASTO DS</v>
          </cell>
        </row>
        <row r="2196">
          <cell r="B2196" t="str">
            <v>SUC EXITO PEREIRA</v>
          </cell>
        </row>
        <row r="2197">
          <cell r="B2197" t="str">
            <v>SUC EXITO PEREIRA DS</v>
          </cell>
        </row>
        <row r="2198">
          <cell r="B2198" t="str">
            <v>SUC EXITO POBLADO</v>
          </cell>
        </row>
        <row r="2199">
          <cell r="B2199" t="str">
            <v>SUC EXITO POBLADO 2 DS</v>
          </cell>
        </row>
        <row r="2200">
          <cell r="B2200" t="str">
            <v>SUC EXITO POBLADO DS</v>
          </cell>
        </row>
        <row r="2201">
          <cell r="B2201" t="str">
            <v>SUC EXITO POPAYAN</v>
          </cell>
        </row>
        <row r="2202">
          <cell r="B2202" t="str">
            <v>SUC EXITO POPAYAN DS</v>
          </cell>
        </row>
        <row r="2203">
          <cell r="B2203" t="str">
            <v>SUC EXITO SALITRE</v>
          </cell>
        </row>
        <row r="2204">
          <cell r="B2204" t="str">
            <v>SUC EXITO SALITRE DS</v>
          </cell>
        </row>
        <row r="2205">
          <cell r="B2205" t="str">
            <v>SUC EXITO SAN FERNANDO</v>
          </cell>
        </row>
        <row r="2206">
          <cell r="B2206" t="str">
            <v>SUC EXITO SAN FERNANDO 2</v>
          </cell>
        </row>
        <row r="2207">
          <cell r="B2207" t="str">
            <v>SUC EXITO SAN FERNANDO 2 DS</v>
          </cell>
        </row>
        <row r="2208">
          <cell r="B2208" t="str">
            <v>SUC EXITO SAN FERNANDO DS</v>
          </cell>
        </row>
        <row r="2209">
          <cell r="B2209" t="str">
            <v>SUC EXITO SAN IGNACIO DS</v>
          </cell>
        </row>
        <row r="2210">
          <cell r="B2210" t="str">
            <v>SUC EXITO SUBA</v>
          </cell>
        </row>
        <row r="2211">
          <cell r="B2211" t="str">
            <v>SUC EXITO SUBA 2 DS</v>
          </cell>
        </row>
        <row r="2212">
          <cell r="B2212" t="str">
            <v>SUC EXITO SUBA DS</v>
          </cell>
        </row>
        <row r="2213">
          <cell r="B2213" t="str">
            <v>SUC EXITO UNICENTRO</v>
          </cell>
        </row>
        <row r="2214">
          <cell r="B2214" t="str">
            <v>SUC EXITO UNICENTRO DS</v>
          </cell>
        </row>
        <row r="2215">
          <cell r="B2215" t="str">
            <v>SUC EXITO VILLAVICENCIO</v>
          </cell>
        </row>
        <row r="2216">
          <cell r="B2216" t="str">
            <v>SUC EXITO VILLAVICENCIO DS</v>
          </cell>
        </row>
        <row r="2217">
          <cell r="B2217" t="str">
            <v>SUC EXTENSION UNICENTRO BOGOTA DS</v>
          </cell>
        </row>
        <row r="2218">
          <cell r="B2218" t="str">
            <v>SUC FACATATIVA</v>
          </cell>
        </row>
        <row r="2219">
          <cell r="B2219" t="str">
            <v>SUC FACATATIVA DS</v>
          </cell>
        </row>
        <row r="2220">
          <cell r="B2220" t="str">
            <v>SUC FANALCA DS</v>
          </cell>
        </row>
        <row r="2221">
          <cell r="B2221" t="str">
            <v>SUC FIDUCIARIA BARRANQUILLA DS</v>
          </cell>
        </row>
        <row r="2222">
          <cell r="B2222" t="str">
            <v>SUC FIDUCIARIA CALI DS</v>
          </cell>
        </row>
        <row r="2223">
          <cell r="B2223" t="str">
            <v>SUC FIDUCIARIA OVIEDO DS</v>
          </cell>
        </row>
        <row r="2224">
          <cell r="B2224" t="str">
            <v>SUC FLORENCIA</v>
          </cell>
        </row>
        <row r="2225">
          <cell r="B2225" t="str">
            <v>SUC FLORENCIA DS</v>
          </cell>
        </row>
        <row r="2226">
          <cell r="B2226" t="str">
            <v>SUC FLORESTA</v>
          </cell>
        </row>
        <row r="2227">
          <cell r="B2227" t="str">
            <v>SUC FLORESTA DS</v>
          </cell>
        </row>
        <row r="2228">
          <cell r="B2228" t="str">
            <v>SUC FLORIDA</v>
          </cell>
        </row>
        <row r="2229">
          <cell r="B2229" t="str">
            <v>SUC FLORIDA BLANCA</v>
          </cell>
        </row>
        <row r="2230">
          <cell r="B2230" t="str">
            <v>SUC FLORIDA BLANCA DS</v>
          </cell>
        </row>
        <row r="2231">
          <cell r="B2231" t="str">
            <v>SUC FLORIDA DS</v>
          </cell>
        </row>
        <row r="2232">
          <cell r="B2232" t="str">
            <v>SUC FONDO NACIONAL DEL AHORRO DS</v>
          </cell>
        </row>
        <row r="2233">
          <cell r="B2233" t="str">
            <v>SUC FONSECA</v>
          </cell>
        </row>
        <row r="2234">
          <cell r="B2234" t="str">
            <v>SUC FONSECA  DS</v>
          </cell>
        </row>
        <row r="2235">
          <cell r="B2235" t="str">
            <v>SUC FONTIBON</v>
          </cell>
        </row>
        <row r="2236">
          <cell r="B2236" t="str">
            <v>SUC FONTIBON CARRERA 100</v>
          </cell>
        </row>
        <row r="2237">
          <cell r="B2237" t="str">
            <v>SUC FONTIBON CARRERA 100 DS</v>
          </cell>
        </row>
        <row r="2238">
          <cell r="B2238" t="str">
            <v>SUC FONTIBON DS</v>
          </cell>
        </row>
        <row r="2239">
          <cell r="B2239" t="str">
            <v>SUC FREDONIA</v>
          </cell>
        </row>
        <row r="2240">
          <cell r="B2240" t="str">
            <v>SUC FREDONIA DS</v>
          </cell>
        </row>
        <row r="2241">
          <cell r="B2241" t="str">
            <v>SUC FRESNO</v>
          </cell>
        </row>
        <row r="2242">
          <cell r="B2242" t="str">
            <v>SUC FRESNO DS</v>
          </cell>
        </row>
        <row r="2243">
          <cell r="B2243" t="str">
            <v>SUC FRIGORIFICO DS</v>
          </cell>
        </row>
        <row r="2244">
          <cell r="B2244" t="str">
            <v>SUC FUNDADORES MANIZALES</v>
          </cell>
        </row>
        <row r="2245">
          <cell r="B2245" t="str">
            <v>SUC FUNDADORES MANIZALES DS</v>
          </cell>
        </row>
        <row r="2246">
          <cell r="B2246" t="str">
            <v>SUC FUNZA</v>
          </cell>
        </row>
        <row r="2247">
          <cell r="B2247" t="str">
            <v>SUC FUNZA DS</v>
          </cell>
        </row>
        <row r="2248">
          <cell r="B2248" t="str">
            <v>SUC FUSAGASUGA</v>
          </cell>
        </row>
        <row r="2249">
          <cell r="B2249" t="str">
            <v>SUC FUSAGASUGA DS</v>
          </cell>
        </row>
        <row r="2250">
          <cell r="B2250" t="str">
            <v>SUC GACHANCIPA DS</v>
          </cell>
        </row>
        <row r="2251">
          <cell r="B2251" t="str">
            <v>SUC GAITAN</v>
          </cell>
        </row>
        <row r="2252">
          <cell r="B2252" t="str">
            <v>SUC GAITAN DS</v>
          </cell>
        </row>
        <row r="2253">
          <cell r="B2253" t="str">
            <v>SUC GALAPA DS</v>
          </cell>
        </row>
        <row r="2254">
          <cell r="B2254" t="str">
            <v>SUC GALERIAS</v>
          </cell>
        </row>
        <row r="2255">
          <cell r="B2255" t="str">
            <v>SUC GALERIAS DS</v>
          </cell>
        </row>
        <row r="2256">
          <cell r="B2256" t="str">
            <v>SUC GARAGOA</v>
          </cell>
        </row>
        <row r="2257">
          <cell r="B2257" t="str">
            <v>SUC GARAGOA DS</v>
          </cell>
        </row>
        <row r="2258">
          <cell r="B2258" t="str">
            <v>SUC GARZON</v>
          </cell>
        </row>
        <row r="2259">
          <cell r="B2259" t="str">
            <v>SUC GARZON DS</v>
          </cell>
        </row>
        <row r="2260">
          <cell r="B2260" t="str">
            <v>SUC GIGANTE DS</v>
          </cell>
        </row>
        <row r="2261">
          <cell r="B2261" t="str">
            <v>SUC GIRARDOT 2</v>
          </cell>
        </row>
        <row r="2262">
          <cell r="B2262" t="str">
            <v>SUC GIRARDOT 2 DS</v>
          </cell>
        </row>
        <row r="2263">
          <cell r="B2263" t="str">
            <v>SUC GIRARDOTA</v>
          </cell>
        </row>
        <row r="2264">
          <cell r="B2264" t="str">
            <v>SUC GIRARDOTA DS</v>
          </cell>
        </row>
        <row r="2265">
          <cell r="B2265" t="str">
            <v>SUC GIRON</v>
          </cell>
        </row>
        <row r="2266">
          <cell r="B2266" t="str">
            <v>SUC GIRON DS</v>
          </cell>
        </row>
        <row r="2267">
          <cell r="B2267" t="str">
            <v>SUC GRAN ESTACION</v>
          </cell>
        </row>
        <row r="2268">
          <cell r="B2268" t="str">
            <v>SUC GRAN ESTACION DS</v>
          </cell>
        </row>
        <row r="2269">
          <cell r="B2269" t="str">
            <v>SUC GRANADA CALI</v>
          </cell>
        </row>
        <row r="2270">
          <cell r="B2270" t="str">
            <v>SUC GRANADA CALI DS</v>
          </cell>
        </row>
        <row r="2271">
          <cell r="B2271" t="str">
            <v>SUC GRANADA META</v>
          </cell>
        </row>
        <row r="2272">
          <cell r="B2272" t="str">
            <v>SUC GRANADA META DS</v>
          </cell>
        </row>
        <row r="2273">
          <cell r="B2273" t="str">
            <v>SUC GRANCENTRO</v>
          </cell>
        </row>
        <row r="2274">
          <cell r="B2274" t="str">
            <v>SUC GRANCENTRO DS</v>
          </cell>
        </row>
        <row r="2275">
          <cell r="B2275" t="str">
            <v>SUC GUACHENE</v>
          </cell>
        </row>
        <row r="2276">
          <cell r="B2276" t="str">
            <v>SUC GUACHETA DS</v>
          </cell>
        </row>
        <row r="2277">
          <cell r="B2277" t="str">
            <v>SUC GUARNE</v>
          </cell>
        </row>
        <row r="2278">
          <cell r="B2278" t="str">
            <v>SUC GUARNE DS</v>
          </cell>
        </row>
        <row r="2279">
          <cell r="B2279" t="str">
            <v>SUC GUASCA DS</v>
          </cell>
        </row>
        <row r="2280">
          <cell r="B2280" t="str">
            <v>SUC GUATAPURI</v>
          </cell>
        </row>
        <row r="2281">
          <cell r="B2281" t="str">
            <v>SUC GUATAPURI DS</v>
          </cell>
        </row>
        <row r="2282">
          <cell r="B2282" t="str">
            <v>SUC GUAYABAL</v>
          </cell>
        </row>
        <row r="2283">
          <cell r="B2283" t="str">
            <v>SUC GUAYABAL DS</v>
          </cell>
        </row>
        <row r="2284">
          <cell r="B2284" t="str">
            <v>SUC GUAYAQUIL</v>
          </cell>
        </row>
        <row r="2285">
          <cell r="B2285" t="str">
            <v>SUC GUAYAQUIL DS</v>
          </cell>
        </row>
        <row r="2286">
          <cell r="B2286" t="str">
            <v>SUC HATONUEVO DS</v>
          </cell>
        </row>
        <row r="2287">
          <cell r="B2287" t="str">
            <v>SUC HINO MOTORS DS</v>
          </cell>
        </row>
        <row r="2288">
          <cell r="B2288" t="str">
            <v>SUC HONDA</v>
          </cell>
        </row>
        <row r="2289">
          <cell r="B2289" t="str">
            <v>SUC HONDA DS</v>
          </cell>
        </row>
        <row r="2290">
          <cell r="B2290" t="str">
            <v>SUC HOSPITAL GENERAL DS</v>
          </cell>
        </row>
        <row r="2291">
          <cell r="B2291" t="str">
            <v>SUC HOSPITAL PABLO TOBON URIBE</v>
          </cell>
        </row>
        <row r="2292">
          <cell r="B2292" t="str">
            <v>SUC HOSPITAL PABLO TOBON URIBE DS</v>
          </cell>
        </row>
        <row r="2293">
          <cell r="B2293" t="str">
            <v>SUC HOTEL TEQUENDAMA</v>
          </cell>
        </row>
        <row r="2294">
          <cell r="B2294" t="str">
            <v>SUC HOTEL TEQUENDAMA DS</v>
          </cell>
        </row>
        <row r="2295">
          <cell r="B2295" t="str">
            <v>SUC IBAGUE</v>
          </cell>
        </row>
        <row r="2296">
          <cell r="B2296" t="str">
            <v>SUC IBAGUE DS</v>
          </cell>
        </row>
        <row r="2297">
          <cell r="B2297" t="str">
            <v>SUC INDEGA BOGOTA NORTE DS</v>
          </cell>
        </row>
        <row r="2298">
          <cell r="B2298" t="str">
            <v>SUC INDEGA BOGOTA SUR DS</v>
          </cell>
        </row>
        <row r="2299">
          <cell r="B2299" t="str">
            <v>SUC INDEGA GIRARDOT DS</v>
          </cell>
        </row>
        <row r="2300">
          <cell r="B2300" t="str">
            <v>SUC INDEGA PASTO DS</v>
          </cell>
        </row>
        <row r="2301">
          <cell r="B2301" t="str">
            <v>SUC IPIALES</v>
          </cell>
        </row>
        <row r="2302">
          <cell r="B2302" t="str">
            <v>SUC IPIALES DS</v>
          </cell>
        </row>
        <row r="2303">
          <cell r="B2303" t="str">
            <v>SUC ISA DS</v>
          </cell>
        </row>
        <row r="2304">
          <cell r="B2304" t="str">
            <v>SUC ITAGUI</v>
          </cell>
        </row>
        <row r="2305">
          <cell r="B2305" t="str">
            <v>SUC ITAGUI DS</v>
          </cell>
        </row>
        <row r="2306">
          <cell r="B2306" t="str">
            <v>SUC ITAGUI PARQUE</v>
          </cell>
        </row>
        <row r="2307">
          <cell r="B2307" t="str">
            <v>SUC ITAGUI PARQUE DS</v>
          </cell>
        </row>
        <row r="2308">
          <cell r="B2308" t="str">
            <v>SUC IWANA</v>
          </cell>
        </row>
        <row r="2309">
          <cell r="B2309" t="str">
            <v>SUC IWANA DS</v>
          </cell>
        </row>
        <row r="2310">
          <cell r="B2310" t="str">
            <v>SUC JAMUNDI</v>
          </cell>
        </row>
        <row r="2311">
          <cell r="B2311" t="str">
            <v>SUC JAMUNDI DS</v>
          </cell>
        </row>
        <row r="2312">
          <cell r="B2312" t="str">
            <v>SUC JARDIN DS</v>
          </cell>
        </row>
        <row r="2313">
          <cell r="B2313" t="str">
            <v>SUC JARDIN PLAZA</v>
          </cell>
        </row>
        <row r="2314">
          <cell r="B2314" t="str">
            <v>SUC JARDIN PLAZA DS</v>
          </cell>
        </row>
        <row r="2315">
          <cell r="B2315" t="str">
            <v>SUC JAVERIANA DS</v>
          </cell>
        </row>
        <row r="2316">
          <cell r="B2316" t="str">
            <v>SUC JOHNSON &amp; JOHNSON YUMBO DS</v>
          </cell>
        </row>
        <row r="2317">
          <cell r="B2317" t="str">
            <v>SUC JORGE TADEO LOZANO DS</v>
          </cell>
        </row>
        <row r="2318">
          <cell r="B2318" t="str">
            <v>SUC LA 14 VALLE DEL LILI</v>
          </cell>
        </row>
        <row r="2319">
          <cell r="B2319" t="str">
            <v>SUC LA 14 VALLE DEL LILI DS</v>
          </cell>
        </row>
        <row r="2320">
          <cell r="B2320" t="str">
            <v>SUC LA AGUACATALA</v>
          </cell>
        </row>
        <row r="2321">
          <cell r="B2321" t="str">
            <v>SUC LA AGUACATALA DS</v>
          </cell>
        </row>
        <row r="2322">
          <cell r="B2322" t="str">
            <v>SUC LA AMERICA</v>
          </cell>
        </row>
        <row r="2323">
          <cell r="B2323" t="str">
            <v>SUC LA AMERICA DS</v>
          </cell>
        </row>
        <row r="2324">
          <cell r="B2324" t="str">
            <v>SUC LA CALERA</v>
          </cell>
        </row>
        <row r="2325">
          <cell r="B2325" t="str">
            <v>SUC LA CALERA DS</v>
          </cell>
        </row>
        <row r="2326">
          <cell r="B2326" t="str">
            <v>SUC LA CANDELARIA</v>
          </cell>
        </row>
        <row r="2327">
          <cell r="B2327" t="str">
            <v>SUC LA CANDELARIA DS</v>
          </cell>
        </row>
        <row r="2328">
          <cell r="B2328" t="str">
            <v>SUC LA CAROLINA  UNICENTRO</v>
          </cell>
        </row>
        <row r="2329">
          <cell r="B2329" t="str">
            <v>SUC LA CAROLINA UNICENTRO DS</v>
          </cell>
        </row>
        <row r="2330">
          <cell r="B2330" t="str">
            <v>SUC LA CEJA</v>
          </cell>
        </row>
        <row r="2331">
          <cell r="B2331" t="str">
            <v>SUC LA CEJA DS</v>
          </cell>
        </row>
        <row r="2332">
          <cell r="B2332" t="str">
            <v>SUC LA DORADA</v>
          </cell>
        </row>
        <row r="2333">
          <cell r="B2333" t="str">
            <v>SUC LA DORADA DS</v>
          </cell>
        </row>
        <row r="2334">
          <cell r="B2334" t="str">
            <v>SUC LA ERMITA</v>
          </cell>
        </row>
        <row r="2335">
          <cell r="B2335" t="str">
            <v>SUC LA ERMITA DS</v>
          </cell>
        </row>
        <row r="2336">
          <cell r="B2336" t="str">
            <v>SUC LA ESTRELLA</v>
          </cell>
        </row>
        <row r="2337">
          <cell r="B2337" t="str">
            <v>SUC LA ESTRELLA DS</v>
          </cell>
        </row>
        <row r="2338">
          <cell r="B2338" t="str">
            <v>SUC LA FLORA</v>
          </cell>
        </row>
        <row r="2339">
          <cell r="B2339" t="str">
            <v>SUC LA FLORA DS</v>
          </cell>
        </row>
        <row r="2340">
          <cell r="B2340" t="str">
            <v>SUC LA FRONTERA</v>
          </cell>
        </row>
        <row r="2341">
          <cell r="B2341" t="str">
            <v>SUC LA FRONTERA DS</v>
          </cell>
        </row>
        <row r="2342">
          <cell r="B2342" t="str">
            <v>SUC LA GUACATALA</v>
          </cell>
        </row>
        <row r="2343">
          <cell r="B2343" t="str">
            <v>SUC LA HERRADURA</v>
          </cell>
        </row>
        <row r="2344">
          <cell r="B2344" t="str">
            <v>SUC LA HERRADURA DS</v>
          </cell>
        </row>
        <row r="2345">
          <cell r="B2345" t="str">
            <v>SUC LA LOMA DS</v>
          </cell>
        </row>
        <row r="2346">
          <cell r="B2346" t="str">
            <v>SUC LA LUNA</v>
          </cell>
        </row>
        <row r="2347">
          <cell r="B2347" t="str">
            <v>SUC LA LUNA DS</v>
          </cell>
        </row>
        <row r="2348">
          <cell r="B2348" t="str">
            <v>SUC LA MESA</v>
          </cell>
        </row>
        <row r="2349">
          <cell r="B2349" t="str">
            <v>SUC LA MESA DS</v>
          </cell>
        </row>
        <row r="2350">
          <cell r="B2350" t="str">
            <v>SUC LA MOTA</v>
          </cell>
        </row>
        <row r="2351">
          <cell r="B2351" t="str">
            <v>SUC LA MOTA DS</v>
          </cell>
        </row>
        <row r="2352">
          <cell r="B2352" t="str">
            <v>SUC LA PLATA</v>
          </cell>
        </row>
        <row r="2353">
          <cell r="B2353" t="str">
            <v>SUC LA PLATA DS</v>
          </cell>
        </row>
        <row r="2354">
          <cell r="B2354" t="str">
            <v>SUC LA PLAYA</v>
          </cell>
        </row>
        <row r="2355">
          <cell r="B2355" t="str">
            <v>SUC LA PLAYA DS</v>
          </cell>
        </row>
        <row r="2356">
          <cell r="B2356" t="str">
            <v>SUC LA PORCIUNCULA</v>
          </cell>
        </row>
        <row r="2357">
          <cell r="B2357" t="str">
            <v>SUC LA PORCIUNCULA DS</v>
          </cell>
        </row>
        <row r="2358">
          <cell r="B2358" t="str">
            <v>SUC LA QUINTA</v>
          </cell>
        </row>
        <row r="2359">
          <cell r="B2359" t="str">
            <v>SUC LA QUINTA DS</v>
          </cell>
        </row>
        <row r="2360">
          <cell r="B2360" t="str">
            <v>SUC LA RIVIERA</v>
          </cell>
        </row>
        <row r="2361">
          <cell r="B2361" t="str">
            <v>SUC LA RIVIERA DS</v>
          </cell>
        </row>
        <row r="2362">
          <cell r="B2362" t="str">
            <v>SUC LA SABANA DS</v>
          </cell>
        </row>
        <row r="2363">
          <cell r="B2363" t="str">
            <v>SUC LA SALLE</v>
          </cell>
        </row>
        <row r="2364">
          <cell r="B2364" t="str">
            <v>SUC LA SALLE  DS</v>
          </cell>
        </row>
        <row r="2365">
          <cell r="B2365" t="str">
            <v>SUC LA SEVILLANA</v>
          </cell>
        </row>
        <row r="2366">
          <cell r="B2366" t="str">
            <v>SUC LA SEVILLANA DS</v>
          </cell>
        </row>
        <row r="2367">
          <cell r="B2367" t="str">
            <v>SUC LA SOLEDAD BOGOTA</v>
          </cell>
        </row>
        <row r="2368">
          <cell r="B2368" t="str">
            <v>SUC LA SOLEDAD BOGOTA DS</v>
          </cell>
        </row>
        <row r="2369">
          <cell r="B2369" t="str">
            <v>SUC LA UNION</v>
          </cell>
        </row>
        <row r="2370">
          <cell r="B2370" t="str">
            <v>SUC LA UNION ANTIOQUIA</v>
          </cell>
        </row>
        <row r="2371">
          <cell r="B2371" t="str">
            <v>SUC LA UNION ANTIOQUIA DS</v>
          </cell>
        </row>
        <row r="2372">
          <cell r="B2372" t="str">
            <v>SUC LA UNION DS</v>
          </cell>
        </row>
        <row r="2373">
          <cell r="B2373" t="str">
            <v>SUC LA UNION NARI#O</v>
          </cell>
        </row>
        <row r="2374">
          <cell r="B2374" t="str">
            <v>SUC LA UNION NARI#O DS</v>
          </cell>
        </row>
        <row r="2375">
          <cell r="B2375" t="str">
            <v>SUC LA VEGA</v>
          </cell>
        </row>
        <row r="2376">
          <cell r="B2376" t="str">
            <v>SUC LA VEGA DS</v>
          </cell>
        </row>
        <row r="2377">
          <cell r="B2377" t="str">
            <v>SUC LA VICTORIA BARRANQUILLA</v>
          </cell>
        </row>
        <row r="2378">
          <cell r="B2378" t="str">
            <v>SUC LA VICTORIA BARRANQUILLA DS</v>
          </cell>
        </row>
        <row r="2379">
          <cell r="B2379" t="str">
            <v>SUC LAS AGUAS</v>
          </cell>
        </row>
        <row r="2380">
          <cell r="B2380" t="str">
            <v>SUC LAS AGUAS DS</v>
          </cell>
        </row>
        <row r="2381">
          <cell r="B2381" t="str">
            <v>SUC LAS AMERICAS</v>
          </cell>
        </row>
        <row r="2382">
          <cell r="B2382" t="str">
            <v>SUC LAS AMERICAS DS</v>
          </cell>
        </row>
        <row r="2383">
          <cell r="B2383" t="str">
            <v>SUC LAS CRUCES</v>
          </cell>
        </row>
        <row r="2384">
          <cell r="B2384" t="str">
            <v>SUC LAS FERIAS</v>
          </cell>
        </row>
        <row r="2385">
          <cell r="B2385" t="str">
            <v>SUC LAS FERIAS DS</v>
          </cell>
        </row>
        <row r="2386">
          <cell r="B2386" t="str">
            <v>SUC LAS GRANJAS</v>
          </cell>
        </row>
        <row r="2387">
          <cell r="B2387" t="str">
            <v>SUC LAS GRANJAS DS</v>
          </cell>
        </row>
        <row r="2388">
          <cell r="B2388" t="str">
            <v>SUC LAS PALMAS</v>
          </cell>
        </row>
        <row r="2389">
          <cell r="B2389" t="str">
            <v>SUC LAS PALMAS DS</v>
          </cell>
        </row>
        <row r="2390">
          <cell r="B2390" t="str">
            <v>SUC LAS PEÑITAS SINCELEJO</v>
          </cell>
        </row>
        <row r="2391">
          <cell r="B2391" t="str">
            <v>SUC LAS PEÑITAS SINCELEJO DS</v>
          </cell>
        </row>
        <row r="2392">
          <cell r="B2392" t="str">
            <v>SUC LAURELES</v>
          </cell>
        </row>
        <row r="2393">
          <cell r="B2393" t="str">
            <v>SUC LAURELES DS</v>
          </cell>
        </row>
        <row r="2394">
          <cell r="B2394" t="str">
            <v>SUC LEBRIJA</v>
          </cell>
        </row>
        <row r="2395">
          <cell r="B2395" t="str">
            <v>SUC LEBRIJA DS</v>
          </cell>
        </row>
        <row r="2396">
          <cell r="B2396" t="str">
            <v>SUC LETICIA</v>
          </cell>
        </row>
        <row r="2397">
          <cell r="B2397" t="str">
            <v>SUC LETICIA DS</v>
          </cell>
        </row>
        <row r="2398">
          <cell r="B2398" t="str">
            <v>SUC LEY SALITRE DS</v>
          </cell>
        </row>
        <row r="2399">
          <cell r="B2399" t="str">
            <v>SUC LIBANO</v>
          </cell>
        </row>
        <row r="2400">
          <cell r="B2400" t="str">
            <v>SUC LIBANO DS</v>
          </cell>
        </row>
        <row r="2401">
          <cell r="B2401" t="str">
            <v>SUC LIBERTADORES</v>
          </cell>
        </row>
        <row r="2402">
          <cell r="B2402" t="str">
            <v>SUC LIBERTADORES DS</v>
          </cell>
        </row>
        <row r="2403">
          <cell r="B2403" t="str">
            <v>SUC LLANOGRANDE PALMIRA</v>
          </cell>
        </row>
        <row r="2404">
          <cell r="B2404" t="str">
            <v>SUC LLANOGRANDE PALMIRA DS</v>
          </cell>
        </row>
        <row r="2405">
          <cell r="B2405" t="str">
            <v>SUC LOPEZ DE GALARZA</v>
          </cell>
        </row>
        <row r="2406">
          <cell r="B2406" t="str">
            <v>SUC LOPEZ DE GALARZA DS</v>
          </cell>
        </row>
        <row r="2407">
          <cell r="B2407" t="str">
            <v>SUC LORICA</v>
          </cell>
        </row>
        <row r="2408">
          <cell r="B2408" t="str">
            <v>SUC LORICA DS</v>
          </cell>
        </row>
        <row r="2409">
          <cell r="B2409" t="str">
            <v>SUC LOS ALCAZARES</v>
          </cell>
        </row>
        <row r="2410">
          <cell r="B2410" t="str">
            <v>SUC LOS ALCAZARES DS</v>
          </cell>
        </row>
        <row r="2411">
          <cell r="B2411" t="str">
            <v>SUC LOS BONGOS</v>
          </cell>
        </row>
        <row r="2412">
          <cell r="B2412" t="str">
            <v>SUC LOS BONGOS DS</v>
          </cell>
        </row>
        <row r="2413">
          <cell r="B2413" t="str">
            <v>SUC LOS DUJOS</v>
          </cell>
        </row>
        <row r="2414">
          <cell r="B2414" t="str">
            <v>SUC LOS DUJOS DS</v>
          </cell>
        </row>
        <row r="2415">
          <cell r="B2415" t="str">
            <v>SUC LOS MOLINOS</v>
          </cell>
        </row>
        <row r="2416">
          <cell r="B2416" t="str">
            <v>SUC LOS MOLINOS DS</v>
          </cell>
        </row>
        <row r="2417">
          <cell r="B2417" t="str">
            <v>SUC LOS PATIOS</v>
          </cell>
        </row>
        <row r="2418">
          <cell r="B2418" t="str">
            <v>SUC LOURDES DS</v>
          </cell>
        </row>
        <row r="2419">
          <cell r="B2419" t="str">
            <v>SUC MADRID</v>
          </cell>
        </row>
        <row r="2420">
          <cell r="B2420" t="str">
            <v>SUC MADRID DS</v>
          </cell>
        </row>
        <row r="2421">
          <cell r="B2421" t="str">
            <v>SUC MAGANGUE</v>
          </cell>
        </row>
        <row r="2422">
          <cell r="B2422" t="str">
            <v>SUC MAGANGUE DS</v>
          </cell>
        </row>
        <row r="2423">
          <cell r="B2423" t="str">
            <v>SUC MAICAO</v>
          </cell>
        </row>
        <row r="2424">
          <cell r="B2424" t="str">
            <v>SUC MAICAO DS</v>
          </cell>
        </row>
        <row r="2425">
          <cell r="B2425" t="str">
            <v>SUC MAIZARO</v>
          </cell>
        </row>
        <row r="2426">
          <cell r="B2426" t="str">
            <v>SUC MAIZARO DS</v>
          </cell>
        </row>
        <row r="2427">
          <cell r="B2427" t="str">
            <v>SUC MALAGA</v>
          </cell>
        </row>
        <row r="2428">
          <cell r="B2428" t="str">
            <v>SUC MALAGA DS</v>
          </cell>
        </row>
        <row r="2429">
          <cell r="B2429" t="str">
            <v>SUC MALL PLAZA DEL CASTILLO</v>
          </cell>
        </row>
        <row r="2430">
          <cell r="B2430" t="str">
            <v>SUC MALL PLAZA DEL CASTILLO DS</v>
          </cell>
        </row>
        <row r="2431">
          <cell r="B2431" t="str">
            <v>SUC MANAURE DS</v>
          </cell>
        </row>
        <row r="2432">
          <cell r="B2432" t="str">
            <v>SUC MANGA</v>
          </cell>
        </row>
        <row r="2433">
          <cell r="B2433" t="str">
            <v>SUC MANGA DS</v>
          </cell>
        </row>
        <row r="2434">
          <cell r="B2434" t="str">
            <v>SUC MANI DS</v>
          </cell>
        </row>
        <row r="2435">
          <cell r="B2435" t="str">
            <v>SUC MANIZALES</v>
          </cell>
        </row>
        <row r="2436">
          <cell r="B2436" t="str">
            <v>SUC MANIZALES DS</v>
          </cell>
        </row>
        <row r="2437">
          <cell r="B2437" t="str">
            <v>SUC MANRIQUE</v>
          </cell>
        </row>
        <row r="2438">
          <cell r="B2438" t="str">
            <v>SUC MANRIQUE DS</v>
          </cell>
        </row>
        <row r="2439">
          <cell r="B2439" t="str">
            <v>SUC MANSAROVAR DS</v>
          </cell>
        </row>
        <row r="2440">
          <cell r="B2440" t="str">
            <v>SUC MARINILLA</v>
          </cell>
        </row>
        <row r="2441">
          <cell r="B2441" t="str">
            <v>SUC MARINILLA DS</v>
          </cell>
        </row>
        <row r="2442">
          <cell r="B2442" t="str">
            <v>SUC MARIQUITA</v>
          </cell>
        </row>
        <row r="2443">
          <cell r="B2443" t="str">
            <v>SUC MARIQUITA DS</v>
          </cell>
        </row>
        <row r="2444">
          <cell r="B2444" t="str">
            <v>SUC MARLY</v>
          </cell>
        </row>
        <row r="2445">
          <cell r="B2445" t="str">
            <v>SUC MARLY DS</v>
          </cell>
        </row>
        <row r="2446">
          <cell r="B2446" t="str">
            <v>SUC MEGACITY</v>
          </cell>
        </row>
        <row r="2447">
          <cell r="B2447" t="str">
            <v>SUC MEGACITY DS</v>
          </cell>
        </row>
        <row r="2448">
          <cell r="B2448" t="str">
            <v>SUC MEGAMALL</v>
          </cell>
        </row>
        <row r="2449">
          <cell r="B2449" t="str">
            <v>SUC MEGAMALL DS</v>
          </cell>
        </row>
        <row r="2450">
          <cell r="B2450" t="str">
            <v>SUC MELGAR</v>
          </cell>
        </row>
        <row r="2451">
          <cell r="B2451" t="str">
            <v>SUC MELGAR DS</v>
          </cell>
        </row>
        <row r="2452">
          <cell r="B2452" t="str">
            <v>SUC MERCANTIL</v>
          </cell>
        </row>
        <row r="2453">
          <cell r="B2453" t="str">
            <v>SUC MERCANTIL DS</v>
          </cell>
        </row>
        <row r="2454">
          <cell r="B2454" t="str">
            <v>SUC MERCURIO PLAZA</v>
          </cell>
        </row>
        <row r="2455">
          <cell r="B2455" t="str">
            <v>SUC MERCURIO PLAZA DS</v>
          </cell>
        </row>
        <row r="2456">
          <cell r="B2456" t="str">
            <v>SUC METROKIA DS</v>
          </cell>
        </row>
        <row r="2457">
          <cell r="B2457" t="str">
            <v>SUC METROPOLIS</v>
          </cell>
        </row>
        <row r="2458">
          <cell r="B2458" t="str">
            <v>SUC METROPOLIS DS</v>
          </cell>
        </row>
        <row r="2459">
          <cell r="B2459" t="str">
            <v>SUC MILENIO PLAZA</v>
          </cell>
        </row>
        <row r="2460">
          <cell r="B2460" t="str">
            <v>SUC MILENIO PLAZA DS</v>
          </cell>
        </row>
        <row r="2461">
          <cell r="B2461" t="str">
            <v>SUC MINGUEO -DIBULLA DS</v>
          </cell>
        </row>
        <row r="2462">
          <cell r="B2462" t="str">
            <v>SUC MIRAMAR</v>
          </cell>
        </row>
        <row r="2463">
          <cell r="B2463" t="str">
            <v>SUC MIRAMAR DS</v>
          </cell>
        </row>
        <row r="2464">
          <cell r="B2464" t="str">
            <v>SUC MIRANDA CAUCA DS</v>
          </cell>
        </row>
        <row r="2465">
          <cell r="B2465" t="str">
            <v>SUC MIX VIA 40</v>
          </cell>
        </row>
        <row r="2466">
          <cell r="B2466" t="str">
            <v>SUC MIX VIA 40 DS</v>
          </cell>
        </row>
        <row r="2467">
          <cell r="B2467" t="str">
            <v>SUC MODELIA</v>
          </cell>
        </row>
        <row r="2468">
          <cell r="B2468" t="str">
            <v>SUC MODELIA DS</v>
          </cell>
        </row>
        <row r="2469">
          <cell r="B2469" t="str">
            <v>SUC MONOMEROS DS</v>
          </cell>
        </row>
        <row r="2470">
          <cell r="B2470" t="str">
            <v>SUC MONTELIBANO</v>
          </cell>
        </row>
        <row r="2471">
          <cell r="B2471" t="str">
            <v>SUC MONTELIBANO DS</v>
          </cell>
        </row>
        <row r="2472">
          <cell r="B2472" t="str">
            <v>SUC MONTENEGRO</v>
          </cell>
        </row>
        <row r="2473">
          <cell r="B2473" t="str">
            <v>SUC MONTENEGRO DS</v>
          </cell>
        </row>
        <row r="2474">
          <cell r="B2474" t="str">
            <v>SUC MONTERIA</v>
          </cell>
        </row>
        <row r="2475">
          <cell r="B2475" t="str">
            <v>SUC MONTERIA DS</v>
          </cell>
        </row>
        <row r="2476">
          <cell r="B2476" t="str">
            <v>SUC MONTEVIDEO</v>
          </cell>
        </row>
        <row r="2477">
          <cell r="B2477" t="str">
            <v>SUC MONTEVIDEO DS</v>
          </cell>
        </row>
        <row r="2478">
          <cell r="B2478" t="str">
            <v>SUC MORATO</v>
          </cell>
        </row>
        <row r="2479">
          <cell r="B2479" t="str">
            <v>SUC MORATO DS</v>
          </cell>
        </row>
        <row r="2480">
          <cell r="B2480" t="str">
            <v>SUC MORICHAL DS</v>
          </cell>
        </row>
        <row r="2481">
          <cell r="B2481" t="str">
            <v>SUC MORICHAL PLAZA</v>
          </cell>
        </row>
        <row r="2482">
          <cell r="B2482" t="str">
            <v>SUC MOSQUERA</v>
          </cell>
        </row>
        <row r="2483">
          <cell r="B2483" t="str">
            <v>SUC MOSQUERA DS</v>
          </cell>
        </row>
        <row r="2484">
          <cell r="B2484" t="str">
            <v>SUC MUELLES DEL BOSQUE DS</v>
          </cell>
        </row>
        <row r="2485">
          <cell r="B2485" t="str">
            <v>SUC MULTICENTRO IBAGUE</v>
          </cell>
        </row>
        <row r="2486">
          <cell r="B2486" t="str">
            <v>SUC MULTICENTRO IBAGUE 2 DS</v>
          </cell>
        </row>
        <row r="2487">
          <cell r="B2487" t="str">
            <v>SUC MULTICENTRO IBAGUE DS</v>
          </cell>
        </row>
        <row r="2488">
          <cell r="B2488" t="str">
            <v>SUC MULTIPLAZA DRIVE</v>
          </cell>
        </row>
        <row r="2489">
          <cell r="B2489" t="str">
            <v>SUC MULTIPLAZA DRIVE DS</v>
          </cell>
        </row>
        <row r="2490">
          <cell r="B2490" t="str">
            <v>SUC MUNICIPIO DE MEDELLIN DS</v>
          </cell>
        </row>
        <row r="2491">
          <cell r="B2491" t="str">
            <v>SUC MURILLO</v>
          </cell>
        </row>
        <row r="2492">
          <cell r="B2492" t="str">
            <v>SUC MURILLO DS</v>
          </cell>
        </row>
        <row r="2493">
          <cell r="B2493" t="str">
            <v>SUC NECOCLI DS</v>
          </cell>
        </row>
        <row r="2494">
          <cell r="B2494" t="str">
            <v>SUC NEIVA</v>
          </cell>
        </row>
        <row r="2495">
          <cell r="B2495" t="str">
            <v>SUC NEIVA DS</v>
          </cell>
        </row>
        <row r="2496">
          <cell r="B2496" t="str">
            <v>SUC NEMOCON</v>
          </cell>
        </row>
        <row r="2497">
          <cell r="B2497" t="str">
            <v>SUC NEMOCON DS</v>
          </cell>
        </row>
        <row r="2498">
          <cell r="B2498" t="str">
            <v>SUC NISSAN DS</v>
          </cell>
        </row>
        <row r="2499">
          <cell r="B2499" t="str">
            <v>SUC NIZA</v>
          </cell>
        </row>
        <row r="2500">
          <cell r="B2500" t="str">
            <v>SUC NIZA DS</v>
          </cell>
        </row>
        <row r="2501">
          <cell r="B2501" t="str">
            <v>SUC NORMANDIA</v>
          </cell>
        </row>
        <row r="2502">
          <cell r="B2502" t="str">
            <v>SUC NORMANDIA DS</v>
          </cell>
        </row>
        <row r="2503">
          <cell r="B2503" t="str">
            <v>SUC OCANA</v>
          </cell>
        </row>
        <row r="2504">
          <cell r="B2504" t="str">
            <v>SUC OCANA DS</v>
          </cell>
        </row>
        <row r="2505">
          <cell r="B2505" t="str">
            <v>SUC OCEAN MALL</v>
          </cell>
        </row>
        <row r="2506">
          <cell r="B2506" t="str">
            <v>SUC OCEAN MALL DS</v>
          </cell>
        </row>
        <row r="2507">
          <cell r="B2507" t="str">
            <v>SUC OESTE</v>
          </cell>
        </row>
        <row r="2508">
          <cell r="B2508" t="str">
            <v>SUC OESTE DS</v>
          </cell>
        </row>
        <row r="2509">
          <cell r="B2509" t="str">
            <v>SUC OLAYA HERRERA B/QUILLA</v>
          </cell>
        </row>
        <row r="2510">
          <cell r="B2510" t="str">
            <v>SUC OLAYA HERRERA B/QUILLA DS</v>
          </cell>
        </row>
        <row r="2511">
          <cell r="B2511" t="str">
            <v>SUC OLIMPICA</v>
          </cell>
        </row>
        <row r="2512">
          <cell r="B2512" t="str">
            <v>SUC OLIMPICA CARABOBO DS</v>
          </cell>
        </row>
        <row r="2513">
          <cell r="B2513" t="str">
            <v>SUC OLIMPICA DS</v>
          </cell>
        </row>
        <row r="2514">
          <cell r="B2514" t="str">
            <v>SUC OLIMPICA LA 76</v>
          </cell>
        </row>
        <row r="2515">
          <cell r="B2515" t="str">
            <v>SUC OLIMPICA LA 76 DS</v>
          </cell>
        </row>
        <row r="2516">
          <cell r="B2516" t="str">
            <v>SUC OPAIN DS</v>
          </cell>
        </row>
        <row r="2517">
          <cell r="B2517" t="str">
            <v>SUC ORIP CALI DS</v>
          </cell>
        </row>
        <row r="2518">
          <cell r="B2518" t="str">
            <v>SUC ORIP MEDELLIN NORTE DS</v>
          </cell>
        </row>
        <row r="2519">
          <cell r="B2519" t="str">
            <v>SUC ORIP MEDELLIN SUR DS</v>
          </cell>
        </row>
        <row r="2520">
          <cell r="B2520" t="str">
            <v>SUC OROCUE DS</v>
          </cell>
        </row>
        <row r="2521">
          <cell r="B2521" t="str">
            <v>SUC OTRABANDA</v>
          </cell>
        </row>
        <row r="2522">
          <cell r="B2522" t="str">
            <v>SUC OTRABANDA DS</v>
          </cell>
        </row>
        <row r="2523">
          <cell r="B2523" t="str">
            <v>SUC OVIEDO</v>
          </cell>
        </row>
        <row r="2524">
          <cell r="B2524" t="str">
            <v>SUC OVIEDO CENTRO CCIAL</v>
          </cell>
        </row>
        <row r="2525">
          <cell r="B2525" t="str">
            <v>SUC OVIEDO CENTRO CCIAL DS</v>
          </cell>
        </row>
        <row r="2526">
          <cell r="B2526" t="str">
            <v>SUC OVIEDO DS</v>
          </cell>
        </row>
        <row r="2527">
          <cell r="B2527" t="str">
            <v>SUC PACHO</v>
          </cell>
        </row>
        <row r="2528">
          <cell r="B2528" t="str">
            <v>SUC PACHO DS</v>
          </cell>
        </row>
        <row r="2529">
          <cell r="B2529" t="str">
            <v>SUC PAIPA</v>
          </cell>
        </row>
        <row r="2530">
          <cell r="B2530" t="str">
            <v>SUC PAIPA DS</v>
          </cell>
        </row>
        <row r="2531">
          <cell r="B2531" t="str">
            <v>SUC PALERMO DS</v>
          </cell>
        </row>
        <row r="2532">
          <cell r="B2532" t="str">
            <v>SUC PALMETTO</v>
          </cell>
        </row>
        <row r="2533">
          <cell r="B2533" t="str">
            <v>SUC PALMETTO DS</v>
          </cell>
        </row>
        <row r="2534">
          <cell r="B2534" t="str">
            <v>SUC PALMIRA</v>
          </cell>
        </row>
        <row r="2535">
          <cell r="B2535" t="str">
            <v>SUC PALMIRA DS</v>
          </cell>
        </row>
        <row r="2536">
          <cell r="B2536" t="str">
            <v>SUC PALOQUEMAO</v>
          </cell>
        </row>
        <row r="2537">
          <cell r="B2537" t="str">
            <v>SUC PALOQUEMAO DS</v>
          </cell>
        </row>
        <row r="2538">
          <cell r="B2538" t="str">
            <v>SUC PAMPLONA SANTANDER</v>
          </cell>
        </row>
        <row r="2539">
          <cell r="B2539" t="str">
            <v>SUC PAMPLONA SANTANDER DS</v>
          </cell>
        </row>
        <row r="2540">
          <cell r="B2540" t="str">
            <v>SUC PANAMCO COLOMBIA IBAGUE DS</v>
          </cell>
        </row>
        <row r="2541">
          <cell r="B2541" t="str">
            <v>SUC PANAMCO COLOMBIA MEDELLIN DS</v>
          </cell>
        </row>
        <row r="2542">
          <cell r="B2542" t="str">
            <v>SUC PANAMERICANA</v>
          </cell>
        </row>
        <row r="2543">
          <cell r="B2543" t="str">
            <v>SUC PANAMERICANA DS</v>
          </cell>
        </row>
        <row r="2544">
          <cell r="B2544" t="str">
            <v>SUC PARALELO 108</v>
          </cell>
        </row>
        <row r="2545">
          <cell r="B2545" t="str">
            <v>SUC PARALELO 108 DS</v>
          </cell>
        </row>
        <row r="2546">
          <cell r="B2546" t="str">
            <v>SUC PARK WAY</v>
          </cell>
        </row>
        <row r="2547">
          <cell r="B2547" t="str">
            <v>SUC PARK WAY DS</v>
          </cell>
        </row>
        <row r="2548">
          <cell r="B2548" t="str">
            <v>SUC PARQUE ARBOLEDA</v>
          </cell>
        </row>
        <row r="2549">
          <cell r="B2549" t="str">
            <v>SUC PARQUE ARBOLEDA DS</v>
          </cell>
        </row>
        <row r="2550">
          <cell r="B2550" t="str">
            <v>SUC PARQUE BOLIVAR</v>
          </cell>
        </row>
        <row r="2551">
          <cell r="B2551" t="str">
            <v>SUC PARQUE BOLIVAR DS</v>
          </cell>
        </row>
        <row r="2552">
          <cell r="B2552" t="str">
            <v>SUC PARQUE CONCORDIA</v>
          </cell>
        </row>
        <row r="2553">
          <cell r="B2553" t="str">
            <v>SUC PARQUE CONCORDIA DS</v>
          </cell>
        </row>
        <row r="2554">
          <cell r="B2554" t="str">
            <v>SUC PARQUE MURILLO TORO</v>
          </cell>
        </row>
        <row r="2555">
          <cell r="B2555" t="str">
            <v>SUC PARQUE MURILLO TORO DS</v>
          </cell>
        </row>
        <row r="2556">
          <cell r="B2556" t="str">
            <v>SUC PARQUE WASHINGTON</v>
          </cell>
        </row>
        <row r="2557">
          <cell r="B2557" t="str">
            <v>SUC PARQUE WASHINGTON DS</v>
          </cell>
        </row>
        <row r="2558">
          <cell r="B2558" t="str">
            <v>SUC PASEO BOLIVAR</v>
          </cell>
        </row>
        <row r="2559">
          <cell r="B2559" t="str">
            <v>SUC PASEO BOLIVAR DS</v>
          </cell>
        </row>
        <row r="2560">
          <cell r="B2560" t="str">
            <v>SUC PASEO DEL COMERCIO</v>
          </cell>
        </row>
        <row r="2561">
          <cell r="B2561" t="str">
            <v>SUC PASEO DEL COMERCIO DS</v>
          </cell>
        </row>
        <row r="2562">
          <cell r="B2562" t="str">
            <v>SUC PASEO DEL POBLADO</v>
          </cell>
        </row>
        <row r="2563">
          <cell r="B2563" t="str">
            <v>SUC PASEO DEL POBLADO DS</v>
          </cell>
        </row>
        <row r="2564">
          <cell r="B2564" t="str">
            <v>SUC PASEO LA CASTELLANA</v>
          </cell>
        </row>
        <row r="2565">
          <cell r="B2565" t="str">
            <v>SUC PASEO LA CASTELLANA DS</v>
          </cell>
        </row>
        <row r="2566">
          <cell r="B2566" t="str">
            <v>SUC PASO ANCHO</v>
          </cell>
        </row>
        <row r="2567">
          <cell r="B2567" t="str">
            <v>SUC PASO ANCHO DS</v>
          </cell>
        </row>
        <row r="2568">
          <cell r="B2568" t="str">
            <v>SUC PASTO</v>
          </cell>
        </row>
        <row r="2569">
          <cell r="B2569" t="str">
            <v>SUC PASTO DS</v>
          </cell>
        </row>
        <row r="2570">
          <cell r="B2570" t="str">
            <v>SUC PAZ  DE ARIPORO</v>
          </cell>
        </row>
        <row r="2571">
          <cell r="B2571" t="str">
            <v>SUC PAZ  DE ARIPORO DS</v>
          </cell>
        </row>
        <row r="2572">
          <cell r="B2572" t="str">
            <v>SUC PEREIRA</v>
          </cell>
        </row>
        <row r="2573">
          <cell r="B2573" t="str">
            <v>SUC PEREIRA DS</v>
          </cell>
        </row>
        <row r="2574">
          <cell r="B2574" t="str">
            <v>SUC PIEDECUESTA</v>
          </cell>
        </row>
        <row r="2575">
          <cell r="B2575" t="str">
            <v>SUC PIEDECUESTA DS</v>
          </cell>
        </row>
        <row r="2576">
          <cell r="B2576" t="str">
            <v>SUC PITALITO</v>
          </cell>
        </row>
        <row r="2577">
          <cell r="B2577" t="str">
            <v>SUC PITALITO DS</v>
          </cell>
        </row>
        <row r="2578">
          <cell r="B2578" t="str">
            <v>SUC PLANETA RICA</v>
          </cell>
        </row>
        <row r="2579">
          <cell r="B2579" t="str">
            <v>SUC PLANETA RICA DS</v>
          </cell>
        </row>
        <row r="2580">
          <cell r="B2580" t="str">
            <v>SUC PLATO</v>
          </cell>
        </row>
        <row r="2581">
          <cell r="B2581" t="str">
            <v>SUC PLATO DS</v>
          </cell>
        </row>
        <row r="2582">
          <cell r="B2582" t="str">
            <v>SUC PLAZA CAYCEDO</v>
          </cell>
        </row>
        <row r="2583">
          <cell r="B2583" t="str">
            <v>SUC PLAZA CAYCEDO DS</v>
          </cell>
        </row>
        <row r="2584">
          <cell r="B2584" t="str">
            <v>SUC PLAZA DE BOLIVAR</v>
          </cell>
        </row>
        <row r="2585">
          <cell r="B2585" t="str">
            <v>SUC PLAZA DE BOLIVAR ARMENIA</v>
          </cell>
        </row>
        <row r="2586">
          <cell r="B2586" t="str">
            <v>SUC PLAZA DE BOLIVAR ARMENIA DS</v>
          </cell>
        </row>
        <row r="2587">
          <cell r="B2587" t="str">
            <v>SUC PLAZA DE BOLIVAR DS</v>
          </cell>
        </row>
        <row r="2588">
          <cell r="B2588" t="str">
            <v>SUC PLAZA DE BOLIVAR PEREIRA</v>
          </cell>
        </row>
        <row r="2589">
          <cell r="B2589" t="str">
            <v>SUC PLAZA DE BOLIVAR PEREIRA DS</v>
          </cell>
        </row>
        <row r="2590">
          <cell r="B2590" t="str">
            <v>SUC PLAZA DE FERIAS</v>
          </cell>
        </row>
        <row r="2591">
          <cell r="B2591" t="str">
            <v>SUC PLAZA DE FERIAS DS</v>
          </cell>
        </row>
        <row r="2592">
          <cell r="B2592" t="str">
            <v>SUC PLAZA DE FLORES</v>
          </cell>
        </row>
        <row r="2593">
          <cell r="B2593" t="str">
            <v>SUC PLAZA DE FLORES DS</v>
          </cell>
        </row>
        <row r="2594">
          <cell r="B2594" t="str">
            <v>SUC PLAZA DE LA ADUANA</v>
          </cell>
        </row>
        <row r="2595">
          <cell r="B2595" t="str">
            <v>SUC PLAZA DE LA ADUANA DS</v>
          </cell>
        </row>
        <row r="2596">
          <cell r="B2596" t="str">
            <v>SUC PLAZA DE LAS AMERICAS</v>
          </cell>
        </row>
        <row r="2597">
          <cell r="B2597" t="str">
            <v>SUC PLAZA DE LAS AMERICAS DS</v>
          </cell>
        </row>
        <row r="2598">
          <cell r="B2598" t="str">
            <v>SUC PLAZA DE MERCADO MANIZALES</v>
          </cell>
        </row>
        <row r="2599">
          <cell r="B2599" t="str">
            <v>SUC PLAZA DE MERCADO MANIZALES DS</v>
          </cell>
        </row>
        <row r="2600">
          <cell r="B2600" t="str">
            <v>SUC PLAZA DE MERCADO MONTERIA</v>
          </cell>
        </row>
        <row r="2601">
          <cell r="B2601" t="str">
            <v>SUC PLAZA DE MERCADO MONTERIA DS</v>
          </cell>
        </row>
        <row r="2602">
          <cell r="B2602" t="str">
            <v>SUC PLAZA DEL RIO</v>
          </cell>
        </row>
        <row r="2603">
          <cell r="B2603" t="str">
            <v>SUC PLAZA DEL RIO DS</v>
          </cell>
        </row>
        <row r="2604">
          <cell r="B2604" t="str">
            <v>SUC PLAZA ESPAÑA</v>
          </cell>
        </row>
        <row r="2605">
          <cell r="B2605" t="str">
            <v>SUC PLAZA ESPAÑA DS</v>
          </cell>
        </row>
        <row r="2606">
          <cell r="B2606" t="str">
            <v>SUC PLAZA MAYOR</v>
          </cell>
        </row>
        <row r="2607">
          <cell r="B2607" t="str">
            <v>SUC PLAZA MAYOR DS</v>
          </cell>
        </row>
        <row r="2608">
          <cell r="B2608" t="str">
            <v>SUC PLAZA MINORISTA</v>
          </cell>
        </row>
        <row r="2609">
          <cell r="B2609" t="str">
            <v>SUC PLAZA MINORISTA DS</v>
          </cell>
        </row>
        <row r="2610">
          <cell r="B2610" t="str">
            <v>SUC PLAZAS DEL BOSQUE</v>
          </cell>
        </row>
        <row r="2611">
          <cell r="B2611" t="str">
            <v>SUC PLAZAS DEL BOSQUE DS</v>
          </cell>
        </row>
        <row r="2612">
          <cell r="B2612" t="str">
            <v>SUC PLAZOLETA</v>
          </cell>
        </row>
        <row r="2613">
          <cell r="B2613" t="str">
            <v>SUC PLAZOLETA DS</v>
          </cell>
        </row>
        <row r="2614">
          <cell r="B2614" t="str">
            <v>SUC POLO CLUB</v>
          </cell>
        </row>
        <row r="2615">
          <cell r="B2615" t="str">
            <v>SUC POLO CLUB DS</v>
          </cell>
        </row>
        <row r="2616">
          <cell r="B2616" t="str">
            <v>SUC POMONA SAN LUCAS DS</v>
          </cell>
        </row>
        <row r="2617">
          <cell r="B2617" t="str">
            <v>SUC POPAYAN</v>
          </cell>
        </row>
        <row r="2618">
          <cell r="B2618" t="str">
            <v>SUC POPAYAN DS</v>
          </cell>
        </row>
        <row r="2619">
          <cell r="B2619" t="str">
            <v>SUC PORTAL DE LA 80 - 2</v>
          </cell>
        </row>
        <row r="2620">
          <cell r="B2620" t="str">
            <v>SUC PORTAL DE LA 80 - 2 DS</v>
          </cell>
        </row>
        <row r="2621">
          <cell r="B2621" t="str">
            <v>SUC PORTAL DEL PRADO</v>
          </cell>
        </row>
        <row r="2622">
          <cell r="B2622" t="str">
            <v>SUC PORTAL DEL PRADO DS</v>
          </cell>
        </row>
        <row r="2623">
          <cell r="B2623" t="str">
            <v>SUC PRADERA</v>
          </cell>
        </row>
        <row r="2624">
          <cell r="B2624" t="str">
            <v>SUC PRADERA DS</v>
          </cell>
        </row>
        <row r="2625">
          <cell r="B2625" t="str">
            <v>SUC PRADO PLAZA</v>
          </cell>
        </row>
        <row r="2626">
          <cell r="B2626" t="str">
            <v>SUC PRADO PLAZA DS</v>
          </cell>
        </row>
        <row r="2627">
          <cell r="B2627" t="str">
            <v>SUC PRADOS DEL NORTE</v>
          </cell>
        </row>
        <row r="2628">
          <cell r="B2628" t="str">
            <v>SUC PRADOS DEL NORTE DS</v>
          </cell>
        </row>
        <row r="2629">
          <cell r="B2629" t="str">
            <v>SUC PREMIUN PLAZA</v>
          </cell>
        </row>
        <row r="2630">
          <cell r="B2630" t="str">
            <v>SUC PREMIUN PLAZA DS</v>
          </cell>
        </row>
        <row r="2631">
          <cell r="B2631" t="str">
            <v>SUC PROFESIONALES</v>
          </cell>
        </row>
        <row r="2632">
          <cell r="B2632" t="str">
            <v>SUC PROFESIONALES DS</v>
          </cell>
        </row>
        <row r="2633">
          <cell r="B2633" t="str">
            <v>SUC PUEBLO NUEVO</v>
          </cell>
        </row>
        <row r="2634">
          <cell r="B2634" t="str">
            <v>SUC PUEBLO NUEVO DS</v>
          </cell>
        </row>
        <row r="2635">
          <cell r="B2635" t="str">
            <v>SUC PUENTE ARANDA</v>
          </cell>
        </row>
        <row r="2636">
          <cell r="B2636" t="str">
            <v>SUC PUENTE ARANDA DS</v>
          </cell>
        </row>
        <row r="2637">
          <cell r="B2637" t="str">
            <v>SUC PUENTE LARGO</v>
          </cell>
        </row>
        <row r="2638">
          <cell r="B2638" t="str">
            <v>SUC PUENTE LARGO DS</v>
          </cell>
        </row>
        <row r="2639">
          <cell r="B2639" t="str">
            <v>SUC PUERTA DEL RIO</v>
          </cell>
        </row>
        <row r="2640">
          <cell r="B2640" t="str">
            <v>SUC PUERTA DEL RIO DS</v>
          </cell>
        </row>
        <row r="2641">
          <cell r="B2641" t="str">
            <v>SUC PUERTA GRANDE</v>
          </cell>
        </row>
        <row r="2642">
          <cell r="B2642" t="str">
            <v>SUC PUERTA GRANDE DS</v>
          </cell>
        </row>
        <row r="2643">
          <cell r="B2643" t="str">
            <v>SUC PUERTO ASIS</v>
          </cell>
        </row>
        <row r="2644">
          <cell r="B2644" t="str">
            <v>SUC PUERTO ASIS DS</v>
          </cell>
        </row>
        <row r="2645">
          <cell r="B2645" t="str">
            <v>SUC PUERTO BERRIO</v>
          </cell>
        </row>
        <row r="2646">
          <cell r="B2646" t="str">
            <v>SUC PUERTO BERRIO DS</v>
          </cell>
        </row>
        <row r="2647">
          <cell r="B2647" t="str">
            <v>SUC PUERTO BOYACA</v>
          </cell>
        </row>
        <row r="2648">
          <cell r="B2648" t="str">
            <v>SUC PUERTO BOYACA DS</v>
          </cell>
        </row>
        <row r="2649">
          <cell r="B2649" t="str">
            <v>SUC PUERTO GAITAN</v>
          </cell>
        </row>
        <row r="2650">
          <cell r="B2650" t="str">
            <v>SUC PUERTO GAITAN DS</v>
          </cell>
        </row>
        <row r="2651">
          <cell r="B2651" t="str">
            <v>SUC PUERTO LOPEZ</v>
          </cell>
        </row>
        <row r="2652">
          <cell r="B2652" t="str">
            <v>SUC PUERTO LOPEZ DS</v>
          </cell>
        </row>
        <row r="2653">
          <cell r="B2653" t="str">
            <v>SUC PUERTO NARE DS</v>
          </cell>
        </row>
        <row r="2654">
          <cell r="B2654" t="str">
            <v>SUC PUERTO SALGAR</v>
          </cell>
        </row>
        <row r="2655">
          <cell r="B2655" t="str">
            <v>SUC PUERTO SALGAR DS</v>
          </cell>
        </row>
        <row r="2656">
          <cell r="B2656" t="str">
            <v>SUC PUNTO CLAVE</v>
          </cell>
        </row>
        <row r="2657">
          <cell r="B2657" t="str">
            <v>SUC PUNTO CLAVE DS</v>
          </cell>
        </row>
        <row r="2658">
          <cell r="B2658" t="str">
            <v>SUC PUNTO DE LA ORIENTAL</v>
          </cell>
        </row>
        <row r="2659">
          <cell r="B2659" t="str">
            <v>SUC PUNTO DE LA ORIENTAL DS</v>
          </cell>
        </row>
        <row r="2660">
          <cell r="B2660" t="str">
            <v>SUC PURIFICACION</v>
          </cell>
        </row>
        <row r="2661">
          <cell r="B2661" t="str">
            <v>SUC PURIFICACION DS</v>
          </cell>
        </row>
        <row r="2662">
          <cell r="B2662" t="str">
            <v>SUC QUEBRADA SECA</v>
          </cell>
        </row>
        <row r="2663">
          <cell r="B2663" t="str">
            <v>SUC QUEBRADA SECA DS</v>
          </cell>
        </row>
        <row r="2664">
          <cell r="B2664" t="str">
            <v>SUC QUIBDO</v>
          </cell>
        </row>
        <row r="2665">
          <cell r="B2665" t="str">
            <v>SUC QUIBDO DS</v>
          </cell>
        </row>
        <row r="2666">
          <cell r="B2666" t="str">
            <v>SUC QUIMBAYA</v>
          </cell>
        </row>
        <row r="2667">
          <cell r="B2667" t="str">
            <v>SUC QUIMBAYA DS</v>
          </cell>
        </row>
        <row r="2668">
          <cell r="B2668" t="str">
            <v>SUC QUINTA AVENIDA</v>
          </cell>
        </row>
        <row r="2669">
          <cell r="B2669" t="str">
            <v>SUC QUINTA AVENIDA DS</v>
          </cell>
        </row>
        <row r="2670">
          <cell r="B2670" t="str">
            <v>SUC QUINTA CAMACHO</v>
          </cell>
        </row>
        <row r="2671">
          <cell r="B2671" t="str">
            <v>SUC QUINTA CAMACHO DS</v>
          </cell>
        </row>
        <row r="2672">
          <cell r="B2672" t="str">
            <v>SUC QUIRIGUA</v>
          </cell>
        </row>
        <row r="2673">
          <cell r="B2673" t="str">
            <v>SUC QUIRIGUA DS</v>
          </cell>
        </row>
        <row r="2674">
          <cell r="B2674" t="str">
            <v>SUC RAMIRIQUI DS</v>
          </cell>
        </row>
        <row r="2675">
          <cell r="B2675" t="str">
            <v>SUC RETIRO DS</v>
          </cell>
        </row>
        <row r="2676">
          <cell r="B2676" t="str">
            <v>SUC RIOHACHA</v>
          </cell>
        </row>
        <row r="2677">
          <cell r="B2677" t="str">
            <v>SUC RIOHACHA DS</v>
          </cell>
        </row>
        <row r="2678">
          <cell r="B2678" t="str">
            <v>SUC RIONEGRO</v>
          </cell>
        </row>
        <row r="2679">
          <cell r="B2679" t="str">
            <v>SUC RIONEGRO DS</v>
          </cell>
        </row>
        <row r="2680">
          <cell r="B2680" t="str">
            <v>SUC RIONEGRO PARQUE</v>
          </cell>
        </row>
        <row r="2681">
          <cell r="B2681" t="str">
            <v>SUC RIONEGRO PARQUE DS</v>
          </cell>
        </row>
        <row r="2682">
          <cell r="B2682" t="str">
            <v>SUC RIOSUCIO</v>
          </cell>
        </row>
        <row r="2683">
          <cell r="B2683" t="str">
            <v>SUC RIOSUCIO DS</v>
          </cell>
        </row>
        <row r="2684">
          <cell r="B2684" t="str">
            <v>SUC ROCHE DS</v>
          </cell>
        </row>
        <row r="2685">
          <cell r="B2685" t="str">
            <v>SUC ROLDANILLO</v>
          </cell>
        </row>
        <row r="2686">
          <cell r="B2686" t="str">
            <v>SUC ROLDANILLO DS</v>
          </cell>
        </row>
        <row r="2687">
          <cell r="B2687" t="str">
            <v>SUC SABANA NORTE CHIA</v>
          </cell>
        </row>
        <row r="2688">
          <cell r="B2688" t="str">
            <v>SUC SABANA NORTE CHIA DS</v>
          </cell>
        </row>
        <row r="2689">
          <cell r="B2689" t="str">
            <v>SUC SABANALARGA</v>
          </cell>
        </row>
        <row r="2690">
          <cell r="B2690" t="str">
            <v>SUC SABANALARGA DS</v>
          </cell>
        </row>
        <row r="2691">
          <cell r="B2691" t="str">
            <v>SUC SABANETA</v>
          </cell>
        </row>
        <row r="2692">
          <cell r="B2692" t="str">
            <v>SUC SABANETA AVES MARIA</v>
          </cell>
        </row>
        <row r="2693">
          <cell r="B2693" t="str">
            <v>SUC SABANETA AVES MARIA DS</v>
          </cell>
        </row>
        <row r="2694">
          <cell r="B2694" t="str">
            <v>SUC SABANETA DS</v>
          </cell>
        </row>
        <row r="2695">
          <cell r="B2695" t="str">
            <v>SUC SAHAGUN</v>
          </cell>
        </row>
        <row r="2696">
          <cell r="B2696" t="str">
            <v>SUC SAHAGUN DS</v>
          </cell>
        </row>
        <row r="2697">
          <cell r="B2697" t="str">
            <v>SUC SALDANA</v>
          </cell>
        </row>
        <row r="2698">
          <cell r="B2698" t="str">
            <v>SUC SALDANA DS</v>
          </cell>
        </row>
        <row r="2699">
          <cell r="B2699" t="str">
            <v>SUC SALGAR</v>
          </cell>
        </row>
        <row r="2700">
          <cell r="B2700" t="str">
            <v>SUC SALGAR DS</v>
          </cell>
        </row>
        <row r="2701">
          <cell r="B2701" t="str">
            <v>SUC SALITRE</v>
          </cell>
        </row>
        <row r="2702">
          <cell r="B2702" t="str">
            <v>SUC SALITRE DS</v>
          </cell>
        </row>
        <row r="2703">
          <cell r="B2703" t="str">
            <v>SUC SALITRE PLAZA</v>
          </cell>
        </row>
        <row r="2704">
          <cell r="B2704" t="str">
            <v>SUC SALITRE PLAZA AUTOSERVICIOS DS</v>
          </cell>
        </row>
        <row r="2705">
          <cell r="B2705" t="str">
            <v>SUC SALITRE PLAZA DS</v>
          </cell>
        </row>
        <row r="2706">
          <cell r="B2706" t="str">
            <v>SUC SAMACA</v>
          </cell>
        </row>
        <row r="2707">
          <cell r="B2707" t="str">
            <v>SUC SAMACA DS</v>
          </cell>
        </row>
        <row r="2708">
          <cell r="B2708" t="str">
            <v>SUC SAMPER MENDOZA</v>
          </cell>
        </row>
        <row r="2709">
          <cell r="B2709" t="str">
            <v>SUC SAMPER MENDOZA DS</v>
          </cell>
        </row>
        <row r="2710">
          <cell r="B2710" t="str">
            <v>SUC SAN ANDRES</v>
          </cell>
        </row>
        <row r="2711">
          <cell r="B2711" t="str">
            <v>SUC SAN ANDRES DS</v>
          </cell>
        </row>
        <row r="2712">
          <cell r="B2712" t="str">
            <v>SUC SAN CANCIO</v>
          </cell>
        </row>
        <row r="2713">
          <cell r="B2713" t="str">
            <v>SUC SAN CANCIO DS</v>
          </cell>
        </row>
        <row r="2714">
          <cell r="B2714" t="str">
            <v>SUC SAN DIEGO</v>
          </cell>
        </row>
        <row r="2715">
          <cell r="B2715" t="str">
            <v>SUC SAN DIEGO DS</v>
          </cell>
        </row>
        <row r="2716">
          <cell r="B2716" t="str">
            <v>SUC SAN FERNANDO</v>
          </cell>
        </row>
        <row r="2717">
          <cell r="B2717" t="str">
            <v>SUC SAN FERNANDO DS</v>
          </cell>
        </row>
        <row r="2718">
          <cell r="B2718" t="str">
            <v>SUC SAN FERNANDO PLAZA</v>
          </cell>
        </row>
        <row r="2719">
          <cell r="B2719" t="str">
            <v>SUC SAN FERNANDO PLAZA DS</v>
          </cell>
        </row>
        <row r="2720">
          <cell r="B2720" t="str">
            <v>SUC SAN FRANCISCO</v>
          </cell>
        </row>
        <row r="2721">
          <cell r="B2721" t="str">
            <v>SUC SAN FRANCISCO DS</v>
          </cell>
        </row>
        <row r="2722">
          <cell r="B2722" t="str">
            <v>SUC SAN GIL</v>
          </cell>
        </row>
        <row r="2723">
          <cell r="B2723" t="str">
            <v>SUC SAN GIL DS</v>
          </cell>
        </row>
        <row r="2724">
          <cell r="B2724" t="str">
            <v>SUC SAN JOSE DEL GUAVIARE</v>
          </cell>
        </row>
        <row r="2725">
          <cell r="B2725" t="str">
            <v>SUC SAN JOSE DEL GUAVIARE DS</v>
          </cell>
        </row>
        <row r="2726">
          <cell r="B2726" t="str">
            <v>SUC SAN JUAN</v>
          </cell>
        </row>
        <row r="2727">
          <cell r="B2727" t="str">
            <v>SUC SAN JUAN DS</v>
          </cell>
        </row>
        <row r="2728">
          <cell r="B2728" t="str">
            <v>SUC SAN LUCAS PLAZA</v>
          </cell>
        </row>
        <row r="2729">
          <cell r="B2729" t="str">
            <v>SUC SAN LUCAS PLAZA DS</v>
          </cell>
        </row>
        <row r="2730">
          <cell r="B2730" t="str">
            <v>SUC SAN LUIS</v>
          </cell>
        </row>
        <row r="2731">
          <cell r="B2731" t="str">
            <v>SUC SAN LUIS DS</v>
          </cell>
        </row>
        <row r="2732">
          <cell r="B2732" t="str">
            <v>SUC SAN MARTIN DS</v>
          </cell>
        </row>
        <row r="2733">
          <cell r="B2733" t="str">
            <v>SUC SAN MATEO</v>
          </cell>
        </row>
        <row r="2734">
          <cell r="B2734" t="str">
            <v>SUC SAN MATEO DS</v>
          </cell>
        </row>
        <row r="2735">
          <cell r="B2735" t="str">
            <v>SUC SAN NICOLAS BARRANQUILLA</v>
          </cell>
        </row>
        <row r="2736">
          <cell r="B2736" t="str">
            <v>SUC SAN NICOLAS BARRANQUILLA DS</v>
          </cell>
        </row>
        <row r="2737">
          <cell r="B2737" t="str">
            <v>SUC SAN NICOLAS CALI</v>
          </cell>
        </row>
        <row r="2738">
          <cell r="B2738" t="str">
            <v>SUC SAN NICOLAS CALI DS</v>
          </cell>
        </row>
        <row r="2739">
          <cell r="B2739" t="str">
            <v>SUC SAN NICOLAS RIONEGRO</v>
          </cell>
        </row>
        <row r="2740">
          <cell r="B2740" t="str">
            <v>SUC SAN NICOLAS RIONEGRO DS</v>
          </cell>
        </row>
        <row r="2741">
          <cell r="B2741" t="str">
            <v>SUC SAN PEDRO</v>
          </cell>
        </row>
        <row r="2742">
          <cell r="B2742" t="str">
            <v>SUC SAN PEDRO DS</v>
          </cell>
        </row>
        <row r="2743">
          <cell r="B2743" t="str">
            <v>SUC SAN VICENTE DEL CAGUAN</v>
          </cell>
        </row>
        <row r="2744">
          <cell r="B2744" t="str">
            <v>SUC SAN VICENTE DEL CAGUAN DS</v>
          </cell>
        </row>
        <row r="2745">
          <cell r="B2745" t="str">
            <v>SUC SANDONA NARI#O</v>
          </cell>
        </row>
        <row r="2746">
          <cell r="B2746" t="str">
            <v>SUC SANDONA NARI#O DS</v>
          </cell>
        </row>
        <row r="2747">
          <cell r="B2747" t="str">
            <v>SUC SANOFI DS</v>
          </cell>
        </row>
        <row r="2748">
          <cell r="B2748" t="str">
            <v>SUC SANTA BARBARA</v>
          </cell>
        </row>
        <row r="2749">
          <cell r="B2749" t="str">
            <v>SUC SANTA BARBARA DS</v>
          </cell>
        </row>
        <row r="2750">
          <cell r="B2750" t="str">
            <v>SUC SANTA BEATRIZ</v>
          </cell>
        </row>
        <row r="2751">
          <cell r="B2751" t="str">
            <v>SUC SANTA BEATRIZ DS</v>
          </cell>
        </row>
        <row r="2752">
          <cell r="B2752" t="str">
            <v>SUC SANTA FE DS</v>
          </cell>
        </row>
        <row r="2753">
          <cell r="B2753" t="str">
            <v>SUC SANTA LUCIA</v>
          </cell>
        </row>
        <row r="2754">
          <cell r="B2754" t="str">
            <v>SUC SANTA LUCIA DS</v>
          </cell>
        </row>
        <row r="2755">
          <cell r="B2755" t="str">
            <v>SUC SANTA MARTA</v>
          </cell>
        </row>
        <row r="2756">
          <cell r="B2756" t="str">
            <v>SUC SANTA MARTA DS</v>
          </cell>
        </row>
        <row r="2757">
          <cell r="B2757" t="str">
            <v>SUC SANTA MONICA</v>
          </cell>
        </row>
        <row r="2758">
          <cell r="B2758" t="str">
            <v>SUC SANTA MONICA DS</v>
          </cell>
        </row>
        <row r="2759">
          <cell r="B2759" t="str">
            <v>SUC SANTA ROSA DE CABAL</v>
          </cell>
        </row>
        <row r="2760">
          <cell r="B2760" t="str">
            <v>SUC SANTA ROSA DE CABAL DS</v>
          </cell>
        </row>
        <row r="2761">
          <cell r="B2761" t="str">
            <v>SUC SANTA ROSA DE OSOS</v>
          </cell>
        </row>
        <row r="2762">
          <cell r="B2762" t="str">
            <v>SUC SANTA ROSA DE OSOS DS</v>
          </cell>
        </row>
        <row r="2763">
          <cell r="B2763" t="str">
            <v>SUC SANTA TERESITA</v>
          </cell>
        </row>
        <row r="2764">
          <cell r="B2764" t="str">
            <v>SUC SANTA TERESITA DS</v>
          </cell>
        </row>
        <row r="2765">
          <cell r="B2765" t="str">
            <v>SUC SANTAFE DE ANTIOQUIA</v>
          </cell>
        </row>
        <row r="2766">
          <cell r="B2766" t="str">
            <v>SUC SANTAFE DE ANTIOQUIA DS</v>
          </cell>
        </row>
        <row r="2767">
          <cell r="B2767" t="str">
            <v>SUC SANTANDER DE QUILICHAO</v>
          </cell>
        </row>
        <row r="2768">
          <cell r="B2768" t="str">
            <v>SUC SANTANDER DE QUILICHAO DS</v>
          </cell>
        </row>
        <row r="2769">
          <cell r="B2769" t="str">
            <v>SUC SANTIAGO DE TOLU</v>
          </cell>
        </row>
        <row r="2770">
          <cell r="B2770" t="str">
            <v>SUC SANTIAGO DE TOLU DS</v>
          </cell>
        </row>
        <row r="2771">
          <cell r="B2771" t="str">
            <v>SUC SANTILLANA</v>
          </cell>
        </row>
        <row r="2772">
          <cell r="B2772" t="str">
            <v>SUC SANTILLANA DS</v>
          </cell>
        </row>
        <row r="2773">
          <cell r="B2773" t="str">
            <v>SUC SANTUARIO</v>
          </cell>
        </row>
        <row r="2774">
          <cell r="B2774" t="str">
            <v>SUC SANTUARIO DS</v>
          </cell>
        </row>
        <row r="2775">
          <cell r="B2775" t="str">
            <v>SUC SEBASTIAN DE BELALCAZAR</v>
          </cell>
        </row>
        <row r="2776">
          <cell r="B2776" t="str">
            <v>SUC SEBASTIAN DE BELALCAZAR DS</v>
          </cell>
        </row>
        <row r="2777">
          <cell r="B2777" t="str">
            <v>SUC SEGOVIA</v>
          </cell>
        </row>
        <row r="2778">
          <cell r="B2778" t="str">
            <v>SUC SEGOVIA DS</v>
          </cell>
        </row>
        <row r="2779">
          <cell r="B2779" t="str">
            <v>SUC SESQUILE</v>
          </cell>
        </row>
        <row r="2780">
          <cell r="B2780" t="str">
            <v>SUC SESQUILE DS</v>
          </cell>
        </row>
        <row r="2781">
          <cell r="B2781" t="str">
            <v>SUC SEVILLA</v>
          </cell>
        </row>
        <row r="2782">
          <cell r="B2782" t="str">
            <v>SUC SEVILLA DS</v>
          </cell>
        </row>
        <row r="2783">
          <cell r="B2783" t="str">
            <v>SUC SIBATE</v>
          </cell>
        </row>
        <row r="2784">
          <cell r="B2784" t="str">
            <v>SUC SIBATE DS</v>
          </cell>
        </row>
        <row r="2785">
          <cell r="B2785" t="str">
            <v>SUC SIBERIA</v>
          </cell>
        </row>
        <row r="2786">
          <cell r="B2786" t="str">
            <v>SUC SIBERIA DS</v>
          </cell>
        </row>
        <row r="2787">
          <cell r="B2787" t="str">
            <v>SUC SIMIJACA</v>
          </cell>
        </row>
        <row r="2788">
          <cell r="B2788" t="str">
            <v>SUC SIMIJACA DS</v>
          </cell>
        </row>
        <row r="2789">
          <cell r="B2789" t="str">
            <v>SUC SINCE DS</v>
          </cell>
        </row>
        <row r="2790">
          <cell r="B2790" t="str">
            <v>SUC SINCELEJO</v>
          </cell>
        </row>
        <row r="2791">
          <cell r="B2791" t="str">
            <v>SUC SINCELEJO DS</v>
          </cell>
        </row>
        <row r="2792">
          <cell r="B2792" t="str">
            <v>SUC SOACHA</v>
          </cell>
        </row>
        <row r="2793">
          <cell r="B2793" t="str">
            <v>SUC SOACHA DS</v>
          </cell>
        </row>
        <row r="2794">
          <cell r="B2794" t="str">
            <v>SUC SOCHA BOYACA</v>
          </cell>
        </row>
        <row r="2795">
          <cell r="B2795" t="str">
            <v>SUC SOCHA BOYACA DS</v>
          </cell>
        </row>
        <row r="2796">
          <cell r="B2796" t="str">
            <v>SUC SOCIEDAD PORTUARIA BARRANQUILLA DS</v>
          </cell>
        </row>
        <row r="2797">
          <cell r="B2797" t="str">
            <v>SUC SOCIEDAD PORTUARIA CARTAGENA DS</v>
          </cell>
        </row>
        <row r="2798">
          <cell r="B2798" t="str">
            <v>SUC SOCIEDAD PORTUARIA SANTA MARTA DS</v>
          </cell>
        </row>
        <row r="2799">
          <cell r="B2799" t="str">
            <v>SUC SOCORRO SANTANDER</v>
          </cell>
        </row>
        <row r="2800">
          <cell r="B2800" t="str">
            <v>SUC SOCORRO SANTANDER DS</v>
          </cell>
        </row>
        <row r="2801">
          <cell r="B2801" t="str">
            <v>SUC SOFASA CHIA DS</v>
          </cell>
        </row>
        <row r="2802">
          <cell r="B2802" t="str">
            <v>SUC SOFASA ENVIGADO DS</v>
          </cell>
        </row>
        <row r="2803">
          <cell r="B2803" t="str">
            <v>SUC SOGAMOSO</v>
          </cell>
        </row>
        <row r="2804">
          <cell r="B2804" t="str">
            <v>SUC SOGAMOSO DS</v>
          </cell>
        </row>
        <row r="2805">
          <cell r="B2805" t="str">
            <v>SUC SOLEDAD</v>
          </cell>
        </row>
        <row r="2806">
          <cell r="B2806" t="str">
            <v>SUC SOLEDAD DS</v>
          </cell>
        </row>
        <row r="2807">
          <cell r="B2807" t="str">
            <v>SUC SONSON</v>
          </cell>
        </row>
        <row r="2808">
          <cell r="B2808" t="str">
            <v>SUC SONSON DS</v>
          </cell>
        </row>
        <row r="2809">
          <cell r="B2809" t="str">
            <v>SUC SOPO</v>
          </cell>
        </row>
        <row r="2810">
          <cell r="B2810" t="str">
            <v>SUC SOPO DS</v>
          </cell>
        </row>
        <row r="2811">
          <cell r="B2811" t="str">
            <v>SUC SUBA</v>
          </cell>
        </row>
        <row r="2812">
          <cell r="B2812" t="str">
            <v>SUC SUBA DS</v>
          </cell>
        </row>
        <row r="2813">
          <cell r="B2813" t="str">
            <v>SUC SUBACHOQUE</v>
          </cell>
        </row>
        <row r="2814">
          <cell r="B2814" t="str">
            <v>SUC SUBACHOQUE DS</v>
          </cell>
        </row>
        <row r="2815">
          <cell r="B2815" t="str">
            <v>SUC SUPIA</v>
          </cell>
        </row>
        <row r="2816">
          <cell r="B2816" t="str">
            <v>SUC SUPIA DS</v>
          </cell>
        </row>
        <row r="2817">
          <cell r="B2817" t="str">
            <v>SUC SURAMERICANA</v>
          </cell>
        </row>
        <row r="2818">
          <cell r="B2818" t="str">
            <v>SUC SURAMERICANA DS</v>
          </cell>
        </row>
        <row r="2819">
          <cell r="B2819" t="str">
            <v>SUC TABIO</v>
          </cell>
        </row>
        <row r="2820">
          <cell r="B2820" t="str">
            <v>SUC TABIO DS</v>
          </cell>
        </row>
        <row r="2821">
          <cell r="B2821" t="str">
            <v>SUC TEATRO AVENIDA</v>
          </cell>
        </row>
        <row r="2822">
          <cell r="B2822" t="str">
            <v>SUC TEATRO AVENIDA DS</v>
          </cell>
        </row>
        <row r="2823">
          <cell r="B2823" t="str">
            <v>SUC TELEPORT</v>
          </cell>
        </row>
        <row r="2824">
          <cell r="B2824" t="str">
            <v>SUC TELEPORT DS</v>
          </cell>
        </row>
        <row r="2825">
          <cell r="B2825" t="str">
            <v>SUC TENJO</v>
          </cell>
        </row>
        <row r="2826">
          <cell r="B2826" t="str">
            <v>SUC TENJO DS</v>
          </cell>
        </row>
        <row r="2827">
          <cell r="B2827" t="str">
            <v>SUC TEQUENDAMA</v>
          </cell>
        </row>
        <row r="2828">
          <cell r="B2828" t="str">
            <v>SUC TEQUENDAMA DS</v>
          </cell>
        </row>
        <row r="2829">
          <cell r="B2829" t="str">
            <v>SUC TERMINAL DE CARGA INTERNACIONAL </v>
          </cell>
        </row>
        <row r="2830">
          <cell r="B2830" t="str">
            <v>SUC TERMINAL DE CARGA INTERNACIONAL DS</v>
          </cell>
        </row>
        <row r="2831">
          <cell r="B2831" t="str">
            <v>SUC TERMINAL DE TRANSPORTE BOGOTA</v>
          </cell>
        </row>
        <row r="2832">
          <cell r="B2832" t="str">
            <v>SUC TERMINAL DE TRANSPORTE BOGOTA DS</v>
          </cell>
        </row>
        <row r="2833">
          <cell r="B2833" t="str">
            <v>SUC TERMINAL DE TRANSPORTE DEL SUR DS</v>
          </cell>
        </row>
        <row r="2834">
          <cell r="B2834" t="str">
            <v>SUC TERMINAL DE TRANSPORTE NORTE</v>
          </cell>
        </row>
        <row r="2835">
          <cell r="B2835" t="str">
            <v>SUC TERMINAL DE TRANSPORTE NORTE DS</v>
          </cell>
        </row>
        <row r="2836">
          <cell r="B2836" t="str">
            <v>SUC TERMINAL DEL SUR</v>
          </cell>
        </row>
        <row r="2837">
          <cell r="B2837" t="str">
            <v>SUC TERMINAL DEL SUR DS</v>
          </cell>
        </row>
        <row r="2838">
          <cell r="B2838" t="str">
            <v>SUC TERPEL DEL CENTRO DS</v>
          </cell>
        </row>
        <row r="2839">
          <cell r="B2839" t="str">
            <v>SUC TERRAZA PASTEUR</v>
          </cell>
        </row>
        <row r="2840">
          <cell r="B2840" t="str">
            <v>SUC TERRAZA PASTEUR DS</v>
          </cell>
        </row>
        <row r="2841">
          <cell r="B2841" t="str">
            <v>SUC TERTULIA</v>
          </cell>
        </row>
        <row r="2842">
          <cell r="B2842" t="str">
            <v>SUC TERTULIA DS</v>
          </cell>
        </row>
        <row r="2843">
          <cell r="B2843" t="str">
            <v>SUC TINTAL MILENIO</v>
          </cell>
        </row>
        <row r="2844">
          <cell r="B2844" t="str">
            <v>SUC TINTAL MILENIO DS</v>
          </cell>
        </row>
        <row r="2845">
          <cell r="B2845" t="str">
            <v>SUC TITAN PLAZA</v>
          </cell>
        </row>
        <row r="2846">
          <cell r="B2846" t="str">
            <v>SUC TITAN PLAZA DS</v>
          </cell>
        </row>
        <row r="2847">
          <cell r="B2847" t="str">
            <v>SUC TOBERIN</v>
          </cell>
        </row>
        <row r="2848">
          <cell r="B2848" t="str">
            <v>SUC TOBERIN DS</v>
          </cell>
        </row>
        <row r="2849">
          <cell r="B2849" t="str">
            <v>SUC TOCANCIPA</v>
          </cell>
        </row>
        <row r="2850">
          <cell r="B2850" t="str">
            <v>SUC TOCANCIPA DS</v>
          </cell>
        </row>
        <row r="2851">
          <cell r="B2851" t="str">
            <v>SUC TRINIDAD GALAN</v>
          </cell>
        </row>
        <row r="2852">
          <cell r="B2852" t="str">
            <v>SUC TRINIDAD GALAN DS</v>
          </cell>
        </row>
        <row r="2853">
          <cell r="B2853" t="str">
            <v>SUC TULUA</v>
          </cell>
        </row>
        <row r="2854">
          <cell r="B2854" t="str">
            <v>SUC TULUA DS</v>
          </cell>
        </row>
        <row r="2855">
          <cell r="B2855" t="str">
            <v>SUC TUMACO</v>
          </cell>
        </row>
        <row r="2856">
          <cell r="B2856" t="str">
            <v>SUC TUMACO DS</v>
          </cell>
        </row>
        <row r="2857">
          <cell r="B2857" t="str">
            <v>SUC TUNJA</v>
          </cell>
        </row>
        <row r="2858">
          <cell r="B2858" t="str">
            <v>SUC TUNJA DS</v>
          </cell>
        </row>
        <row r="2859">
          <cell r="B2859" t="str">
            <v>SUC TUQUERRES</v>
          </cell>
        </row>
        <row r="2860">
          <cell r="B2860" t="str">
            <v>SUC TUQUERRES DS</v>
          </cell>
        </row>
        <row r="2861">
          <cell r="B2861" t="str">
            <v>SUC TURBO</v>
          </cell>
        </row>
        <row r="2862">
          <cell r="B2862" t="str">
            <v>SUC TURBO DS</v>
          </cell>
        </row>
        <row r="2863">
          <cell r="B2863" t="str">
            <v>SUC TURIN</v>
          </cell>
        </row>
        <row r="2864">
          <cell r="B2864" t="str">
            <v>SUC TURIN DS</v>
          </cell>
        </row>
        <row r="2865">
          <cell r="B2865" t="str">
            <v>SUC UBATE</v>
          </cell>
        </row>
        <row r="2866">
          <cell r="B2866" t="str">
            <v>SUC UBATE DS</v>
          </cell>
        </row>
        <row r="2867">
          <cell r="B2867" t="str">
            <v>SUC UGI</v>
          </cell>
        </row>
        <row r="2868">
          <cell r="B2868" t="str">
            <v>SUC UGI DS</v>
          </cell>
        </row>
        <row r="2869">
          <cell r="B2869" t="str">
            <v>SUC UNICENTRO ARMENIA</v>
          </cell>
        </row>
        <row r="2870">
          <cell r="B2870" t="str">
            <v>SUC UNICENTRO ARMENIA DS</v>
          </cell>
        </row>
        <row r="2871">
          <cell r="B2871" t="str">
            <v>SUC UNICENTRO BOGOTA</v>
          </cell>
        </row>
        <row r="2872">
          <cell r="B2872" t="str">
            <v>SUC UNICENTRO BOGOTA DS</v>
          </cell>
        </row>
        <row r="2873">
          <cell r="B2873" t="str">
            <v>SUC UNICENTRO CALI</v>
          </cell>
        </row>
        <row r="2874">
          <cell r="B2874" t="str">
            <v>SUC UNICENTRO CALI DS</v>
          </cell>
        </row>
        <row r="2875">
          <cell r="B2875" t="str">
            <v>SUC UNICENTRO CENTRO CCIAL</v>
          </cell>
        </row>
        <row r="2876">
          <cell r="B2876" t="str">
            <v>SUC UNICENTRO CENTRO CCIAL DS</v>
          </cell>
        </row>
        <row r="2877">
          <cell r="B2877" t="str">
            <v>SUC UNICENTRO CUCUTA</v>
          </cell>
        </row>
        <row r="2878">
          <cell r="B2878" t="str">
            <v>SUC UNICENTRO CUCUTA DS</v>
          </cell>
        </row>
        <row r="2879">
          <cell r="B2879" t="str">
            <v>SUC UNICENTRO PEREIRA</v>
          </cell>
        </row>
        <row r="2880">
          <cell r="B2880" t="str">
            <v>SUC UNICENTRO PEREIRA DS</v>
          </cell>
        </row>
        <row r="2881">
          <cell r="B2881" t="str">
            <v>SUC UNICENTRO TUNJA</v>
          </cell>
        </row>
        <row r="2882">
          <cell r="B2882" t="str">
            <v>SUC UNICENTRO TUNJA DS</v>
          </cell>
        </row>
        <row r="2883">
          <cell r="B2883" t="str">
            <v>SUC UNICENTRO VILLAVICENCIO</v>
          </cell>
        </row>
        <row r="2884">
          <cell r="B2884" t="str">
            <v>SUC UNICENTRO VILLAVICENCIO DS</v>
          </cell>
        </row>
        <row r="2885">
          <cell r="B2885" t="str">
            <v>SUC UNICO BARRANQUILLA</v>
          </cell>
        </row>
        <row r="2886">
          <cell r="B2886" t="str">
            <v>SUC UNICO BARRANQUILLA DS</v>
          </cell>
        </row>
        <row r="2887">
          <cell r="B2887" t="str">
            <v>SUC UNISUR</v>
          </cell>
        </row>
        <row r="2888">
          <cell r="B2888" t="str">
            <v>SUC UNISUR DS</v>
          </cell>
        </row>
        <row r="2889">
          <cell r="B2889" t="str">
            <v>SUC UNIV FRANCISCO DE PAULA SANTANDER</v>
          </cell>
        </row>
        <row r="2890">
          <cell r="B2890" t="str">
            <v>SUC UNIV FRANCISCO DE PAULA SANTANDER DS</v>
          </cell>
        </row>
        <row r="2891">
          <cell r="B2891" t="str">
            <v>SUC UNIVERSIDAD  POPULAR DEL CESAR DS</v>
          </cell>
        </row>
        <row r="2892">
          <cell r="B2892" t="str">
            <v>SUC UNIVERSIDAD AUTONOMA BOGOTA DS</v>
          </cell>
        </row>
        <row r="2893">
          <cell r="B2893" t="str">
            <v>SUC UNIVERSIDAD DEL NORTE DS</v>
          </cell>
        </row>
        <row r="2894">
          <cell r="B2894" t="str">
            <v>SUC UNIVERSIDAD MEDELLIN DS</v>
          </cell>
        </row>
        <row r="2895">
          <cell r="B2895" t="str">
            <v>SUC UPB DS</v>
          </cell>
        </row>
        <row r="2896">
          <cell r="B2896" t="str">
            <v>SUC URIBIA DS</v>
          </cell>
        </row>
        <row r="2897">
          <cell r="B2897" t="str">
            <v>SUC URRAO</v>
          </cell>
        </row>
        <row r="2898">
          <cell r="B2898" t="str">
            <v>SUC URRAO DS</v>
          </cell>
        </row>
        <row r="2899">
          <cell r="B2899" t="str">
            <v>SUC USAQUEN SANTA BARBARA</v>
          </cell>
        </row>
        <row r="2900">
          <cell r="B2900" t="str">
            <v>SUC USAQUEN SANTA BARBARA DS</v>
          </cell>
        </row>
        <row r="2901">
          <cell r="B2901" t="str">
            <v>SUC VALLEDUPAR</v>
          </cell>
        </row>
        <row r="2902">
          <cell r="B2902" t="str">
            <v>SUC VALLEDUPAR DS</v>
          </cell>
        </row>
        <row r="2903">
          <cell r="B2903" t="str">
            <v>SUC VALVANERA</v>
          </cell>
        </row>
        <row r="2904">
          <cell r="B2904" t="str">
            <v>SUC VALVANERA DS</v>
          </cell>
        </row>
        <row r="2905">
          <cell r="B2905" t="str">
            <v>SUC VELEZ</v>
          </cell>
        </row>
        <row r="2906">
          <cell r="B2906" t="str">
            <v>SUC VELEZ DS</v>
          </cell>
        </row>
        <row r="2907">
          <cell r="B2907" t="str">
            <v>SUC VENECIA</v>
          </cell>
        </row>
        <row r="2908">
          <cell r="B2908" t="str">
            <v>SUC VENECIA DS</v>
          </cell>
        </row>
        <row r="2909">
          <cell r="B2909" t="str">
            <v>SUC VENTURA PLAZA</v>
          </cell>
        </row>
        <row r="2910">
          <cell r="B2910" t="str">
            <v>SUC VENTURA PLAZA DS</v>
          </cell>
        </row>
        <row r="2911">
          <cell r="B2911" t="str">
            <v>SUC VERSALLES</v>
          </cell>
        </row>
        <row r="2912">
          <cell r="B2912" t="str">
            <v>SUC VERSALLES DS</v>
          </cell>
        </row>
        <row r="2913">
          <cell r="B2913" t="str">
            <v>SUC VICTORIA PLAZA</v>
          </cell>
        </row>
        <row r="2914">
          <cell r="B2914" t="str">
            <v>SUC VICTORIA PLAZA DS</v>
          </cell>
        </row>
        <row r="2915">
          <cell r="B2915" t="str">
            <v>SUC VILLA COUNTRY</v>
          </cell>
        </row>
        <row r="2916">
          <cell r="B2916" t="str">
            <v>SUC VILLA COUNTRY DS</v>
          </cell>
        </row>
        <row r="2917">
          <cell r="B2917" t="str">
            <v>SUC VILLA DE LEYVA</v>
          </cell>
        </row>
        <row r="2918">
          <cell r="B2918" t="str">
            <v>SUC VILLA DE LEYVA DS</v>
          </cell>
        </row>
        <row r="2919">
          <cell r="B2919" t="str">
            <v>SUC VILLACENTRO</v>
          </cell>
        </row>
        <row r="2920">
          <cell r="B2920" t="str">
            <v>SUC VILLACENTRO DS</v>
          </cell>
        </row>
        <row r="2921">
          <cell r="B2921" t="str">
            <v>SUC VILLACOLOMBIA</v>
          </cell>
        </row>
        <row r="2922">
          <cell r="B2922" t="str">
            <v>SUC VILLACOLOMBIA DS</v>
          </cell>
        </row>
        <row r="2923">
          <cell r="B2923" t="str">
            <v>SUC VILLANUEVA</v>
          </cell>
        </row>
        <row r="2924">
          <cell r="B2924" t="str">
            <v>SUC VILLANUEVA  CASANARE</v>
          </cell>
        </row>
        <row r="2925">
          <cell r="B2925" t="str">
            <v>SUC VILLANUEVA CASANARE DS</v>
          </cell>
        </row>
        <row r="2926">
          <cell r="B2926" t="str">
            <v>SUC VILLANUEVA DS</v>
          </cell>
        </row>
        <row r="2927">
          <cell r="B2927" t="str">
            <v>SUC VILLAPINZON</v>
          </cell>
        </row>
        <row r="2928">
          <cell r="B2928" t="str">
            <v>SUC VILLAPINZON DS</v>
          </cell>
        </row>
        <row r="2929">
          <cell r="B2929" t="str">
            <v>SUC VILLAVICENCIO</v>
          </cell>
        </row>
        <row r="2930">
          <cell r="B2930" t="str">
            <v>SUC VILLAVICENCIO DS</v>
          </cell>
        </row>
        <row r="2931">
          <cell r="B2931" t="str">
            <v>SUC VILLETA</v>
          </cell>
        </row>
        <row r="2932">
          <cell r="B2932" t="str">
            <v>SUC VILLETA DS</v>
          </cell>
        </row>
        <row r="2933">
          <cell r="B2933" t="str">
            <v>SUC VIPASA</v>
          </cell>
        </row>
        <row r="2934">
          <cell r="B2934" t="str">
            <v>SUC VIPASA DS</v>
          </cell>
        </row>
        <row r="2935">
          <cell r="B2935" t="str">
            <v>SUC VISITACION</v>
          </cell>
        </row>
        <row r="2936">
          <cell r="B2936" t="str">
            <v>SUC VISITACION DS</v>
          </cell>
        </row>
        <row r="2937">
          <cell r="B2937" t="str">
            <v>SUC VIVA LAURELES</v>
          </cell>
        </row>
        <row r="2938">
          <cell r="B2938" t="str">
            <v>SUC VIVA LAURELES DS</v>
          </cell>
        </row>
        <row r="2939">
          <cell r="B2939" t="str">
            <v>SUC WORLD TRADE CENTER</v>
          </cell>
        </row>
        <row r="2940">
          <cell r="B2940" t="str">
            <v>SUC WORLD TRADE CENTER DS</v>
          </cell>
        </row>
        <row r="2941">
          <cell r="B2941" t="str">
            <v>SUC YAGUARA DS</v>
          </cell>
        </row>
        <row r="2942">
          <cell r="B2942" t="str">
            <v>SUC YARUMAL</v>
          </cell>
        </row>
        <row r="2943">
          <cell r="B2943" t="str">
            <v>SUC YARUMAL DS</v>
          </cell>
        </row>
        <row r="2944">
          <cell r="B2944" t="str">
            <v>SUC YOPAL</v>
          </cell>
        </row>
        <row r="2945">
          <cell r="B2945" t="str">
            <v>SUC YOPAL DS</v>
          </cell>
        </row>
        <row r="2946">
          <cell r="B2946" t="str">
            <v>SUC YOPAL OF. 88 TAURAMENA</v>
          </cell>
        </row>
        <row r="2947">
          <cell r="B2947" t="str">
            <v>SUC YOPAL OF. 88 TAURAMENA DS</v>
          </cell>
        </row>
        <row r="2948">
          <cell r="B2948" t="str">
            <v>SUC YUMBO</v>
          </cell>
        </row>
        <row r="2949">
          <cell r="B2949" t="str">
            <v>SUC YUMBO DS</v>
          </cell>
        </row>
        <row r="2950">
          <cell r="B2950" t="str">
            <v>SUC ZIPAQUIRA</v>
          </cell>
        </row>
        <row r="2951">
          <cell r="B2951" t="str">
            <v>SUC ZIPAQUIRA DS</v>
          </cell>
        </row>
        <row r="2952">
          <cell r="B2952" t="str">
            <v>SUC ZONA FRANCA DE RIONEGRO DS</v>
          </cell>
        </row>
        <row r="2953">
          <cell r="B2953" t="str">
            <v>SUC ZONA FRANCA DS</v>
          </cell>
        </row>
        <row r="2954">
          <cell r="B2954" t="str">
            <v>SUC ZONA ROSA</v>
          </cell>
        </row>
        <row r="2955">
          <cell r="B2955" t="str">
            <v>SUC ZONA ROSA DS</v>
          </cell>
        </row>
        <row r="2956">
          <cell r="B2956" t="str">
            <v>SUCBANCA COLOMBIA GRANADA CALI</v>
          </cell>
        </row>
        <row r="2957">
          <cell r="B2957" t="str">
            <v>SUFI</v>
          </cell>
        </row>
        <row r="2958">
          <cell r="B2958" t="str">
            <v>TECNOLOGIA</v>
          </cell>
        </row>
        <row r="2959">
          <cell r="B2959" t="str">
            <v>VICEPRESIDENCIA  ESTRATEGIA  Y FINANZA</v>
          </cell>
        </row>
        <row r="2960">
          <cell r="B2960" t="str">
            <v>VICEPRESIDENCIA  ESTRATEGIA Y DLLO CCIAL</v>
          </cell>
        </row>
        <row r="2961">
          <cell r="B2961" t="str">
            <v>VICEPRESIDENCIA  INMOBILIARIA Y CONSUMO</v>
          </cell>
        </row>
        <row r="2962">
          <cell r="B2962" t="str">
            <v>VICEPRESIDENCIA ADMINISTRATIVA</v>
          </cell>
        </row>
        <row r="2963">
          <cell r="B2963" t="str">
            <v>VICEPRESIDENCIA ADMON FIDEICOMISOS</v>
          </cell>
        </row>
        <row r="2964">
          <cell r="B2964" t="str">
            <v>VICEPRESIDENCIA AUDITORIA INTERNA</v>
          </cell>
        </row>
        <row r="2965">
          <cell r="B2965" t="str">
            <v>VICEPRESIDENCIA BCA DE EMPRESAS Y PYME</v>
          </cell>
        </row>
        <row r="2966">
          <cell r="B2966" t="str">
            <v>VICEPRESIDENCIA BCA DE PERSONAS Y PYMES</v>
          </cell>
        </row>
        <row r="2967">
          <cell r="B2967" t="str">
            <v>VICEPRESIDENCIA CCIAL BANCA EMPRESARIAL</v>
          </cell>
        </row>
        <row r="2968">
          <cell r="B2968" t="str">
            <v>VICEPRESIDENCIA CCIAL BANCA PYMES</v>
          </cell>
        </row>
        <row r="2969">
          <cell r="B2969" t="str">
            <v>VICEPRESIDENCIA COMERCIAL</v>
          </cell>
        </row>
        <row r="2970">
          <cell r="B2970" t="str">
            <v>VICEPRESIDENCIA COMERCIAL BANCA PRIVADA</v>
          </cell>
        </row>
        <row r="2971">
          <cell r="B2971" t="str">
            <v>VICEPRESIDENCIA COMERCIAL FAC</v>
          </cell>
        </row>
        <row r="2972">
          <cell r="B2972" t="str">
            <v>VICEPRESIDENCIA COMERCIAL GOBIERNO</v>
          </cell>
        </row>
        <row r="2973">
          <cell r="B2973" t="str">
            <v>VICEPRESIDENCIA CORPORATIVA DE SERVICIOS</v>
          </cell>
        </row>
        <row r="2974">
          <cell r="B2974" t="str">
            <v>VICEPRESIDENCIA DE DESARROLLO</v>
          </cell>
        </row>
        <row r="2975">
          <cell r="B2975" t="str">
            <v>VICEPRESIDENCIA DE RIESGOS</v>
          </cell>
        </row>
        <row r="2976">
          <cell r="B2976" t="str">
            <v>VICEPRESIDENCIA EMPRESAS Y GOB</v>
          </cell>
        </row>
        <row r="2977">
          <cell r="B2977" t="str">
            <v>VICEPRESIDENCIA ESPECIALISTAS Y ESTRUCTU</v>
          </cell>
        </row>
        <row r="2978">
          <cell r="B2978" t="str">
            <v>VICEPRESIDENCIA ESTRUCTCION MKDO CAPTALS</v>
          </cell>
        </row>
        <row r="2979">
          <cell r="B2979" t="str">
            <v>VICEPRESIDENCIA ESTRUCTURACION</v>
          </cell>
        </row>
        <row r="2980">
          <cell r="B2980" t="str">
            <v>VICEPRESIDENCIA ESTRUCTURACION FCIERA</v>
          </cell>
        </row>
        <row r="2981">
          <cell r="B2981" t="str">
            <v>VICEPRESIDENCIA ESTRUCTURACION NEGOCIOS</v>
          </cell>
        </row>
        <row r="2982">
          <cell r="B2982" t="str">
            <v>VICEPRESIDENCIA FIDUCIA PUBLICA</v>
          </cell>
        </row>
        <row r="2983">
          <cell r="B2983" t="str">
            <v>VICEPRESIDENCIA FINANCIERA</v>
          </cell>
        </row>
        <row r="2984">
          <cell r="B2984" t="str">
            <v>VICEPRESIDENCIA FINANZAS CORPORATIVAS</v>
          </cell>
        </row>
        <row r="2985">
          <cell r="B2985" t="str">
            <v>VICEPRESIDENCIA GESTION DE LO HUMANO</v>
          </cell>
        </row>
        <row r="2986">
          <cell r="B2986" t="str">
            <v>VICEPRESIDENCIA GTION CCIAL NEGOCIOS FID</v>
          </cell>
        </row>
        <row r="2987">
          <cell r="B2987" t="str">
            <v>VICEPRESIDENCIA INMOB Y CONST OTRAS CUID</v>
          </cell>
        </row>
        <row r="2988">
          <cell r="B2988" t="str">
            <v>VICEPRESIDENCIA INMOB Y CONST OTRAS REG</v>
          </cell>
        </row>
        <row r="2989">
          <cell r="B2989" t="str">
            <v>VICEPRESIDENCIA INMOBILIARIA CONST ANTIO</v>
          </cell>
        </row>
        <row r="2990">
          <cell r="B2990" t="str">
            <v>VICEPRESIDENCIA INMOBILIARIA CONST BOGOT</v>
          </cell>
        </row>
        <row r="2991">
          <cell r="B2991" t="str">
            <v>VICEPRESIDENCIA INMOBILIARIA CONSTRUCTOR</v>
          </cell>
        </row>
        <row r="2992">
          <cell r="B2992" t="str">
            <v>VICEPRESIDENCIA INMOBILIARIA CONSUMO ESP</v>
          </cell>
        </row>
        <row r="2993">
          <cell r="B2993" t="str">
            <v>VICEPRESIDENCIA INTERNACIONAL</v>
          </cell>
        </row>
        <row r="2994">
          <cell r="B2994" t="str">
            <v>VICEPRESIDENCIA INVERSIONES</v>
          </cell>
        </row>
        <row r="2995">
          <cell r="B2995" t="str">
            <v>VICEPRESIDENCIA INVERSIONES DE CAPITAL</v>
          </cell>
        </row>
        <row r="2996">
          <cell r="B2996" t="str">
            <v>VICEPRESIDENCIA JURIDICA SECRET GENERAL</v>
          </cell>
        </row>
        <row r="2997">
          <cell r="B2997" t="str">
            <v>VICEPRESIDENCIA MEDIOS DE PAGO</v>
          </cell>
        </row>
        <row r="2998">
          <cell r="B2998" t="str">
            <v>VICEPRESIDENCIA MERCADO DE CAPITALES</v>
          </cell>
        </row>
        <row r="2999">
          <cell r="B2999" t="str">
            <v>VICEPRESIDENCIA MESAS DE NEGOCIACION</v>
          </cell>
        </row>
        <row r="3000">
          <cell r="B3000" t="str">
            <v>VICEPRESIDENCIA ORIGINACION DE NEGOCIOS</v>
          </cell>
        </row>
        <row r="3001">
          <cell r="B3001" t="str">
            <v>VICEPRESIDENCIA PERSONAS Y PYME ANTIOQUI</v>
          </cell>
        </row>
        <row r="3002">
          <cell r="B3002" t="str">
            <v>VICEPRESIDENCIA PERSONAS Y PYME BOGOTA</v>
          </cell>
        </row>
        <row r="3003">
          <cell r="B3003" t="str">
            <v>VICEPRESIDENCIA PERSONAS Y PYME CARIBE</v>
          </cell>
        </row>
        <row r="3004">
          <cell r="B3004" t="str">
            <v>VICEPRESIDENCIA PERSONAS Y PYME CENTRO</v>
          </cell>
        </row>
        <row r="3005">
          <cell r="B3005" t="str">
            <v>VICEPRESIDENCIA PERSONAS Y PYME SUR</v>
          </cell>
        </row>
        <row r="3006">
          <cell r="B3006" t="str">
            <v>VICEPRESIDENCIA PERSONAS Y PYMES</v>
          </cell>
        </row>
        <row r="3007">
          <cell r="B3007" t="str">
            <v>VICEPRESIDENCIA SECRETARIA GENERAL</v>
          </cell>
        </row>
        <row r="3008">
          <cell r="B3008" t="str">
            <v>VICEPRESIDENCIA SERV ADMINISTRATIVOS</v>
          </cell>
        </row>
        <row r="3009">
          <cell r="B3009" t="str">
            <v>VICEPRESIDENCIA SERV DE TECNOLOGIA</v>
          </cell>
        </row>
        <row r="3010">
          <cell r="B3010" t="str">
            <v>VICEPRESIDENCIA SERV PARA LOS CLIENTES</v>
          </cell>
        </row>
        <row r="3011">
          <cell r="B3011" t="str">
            <v>VICEPRESIDENCIA TECNOLOGIA DE INFORMACI</v>
          </cell>
        </row>
        <row r="3012">
          <cell r="B3012" t="str">
            <v>VP BANCA EMPRESAS Y GOBIERNO ANTIOQUIA</v>
          </cell>
        </row>
        <row r="3013">
          <cell r="B3013" t="str">
            <v>VP BANCA EMPRESAS Y GOBIERNO BOGOTA</v>
          </cell>
        </row>
        <row r="3014">
          <cell r="B3014" t="str">
            <v>VP BANCA EMPRESAS Y GOBIERNO CARIBE</v>
          </cell>
        </row>
        <row r="3015">
          <cell r="B3015" t="str">
            <v>VP BANCA EMPRESAS Y GOBIERNO SUR</v>
          </cell>
        </row>
        <row r="3016">
          <cell r="B3016" t="str">
            <v>FACTORING BANCOLOMBIA</v>
          </cell>
        </row>
        <row r="3017">
          <cell r="B3017" t="str">
            <v>FIDUCIARIA BANCOLOMBIA</v>
          </cell>
        </row>
        <row r="3018">
          <cell r="B3018" t="str">
            <v>GCIA DE CONTINUIDAD DEL NEGOCIO</v>
          </cell>
        </row>
        <row r="3019">
          <cell r="B3019" t="str">
            <v>LEASING BANCOLOMBIA</v>
          </cell>
        </row>
        <row r="3020">
          <cell r="B3020" t="str">
            <v>VALORES BANCOLOMBIA</v>
          </cell>
        </row>
      </sheetData>
      <sheetData sheetId="5">
        <row r="2">
          <cell r="B2" t="str">
            <v>APRENDIZ</v>
          </cell>
        </row>
        <row r="3">
          <cell r="B3" t="str">
            <v>AREA REVISION S</v>
          </cell>
        </row>
        <row r="4">
          <cell r="B4" t="str">
            <v>BECARIOS</v>
          </cell>
        </row>
        <row r="5">
          <cell r="B5" t="str">
            <v>IDENTIDAD CORPORATIVA</v>
          </cell>
        </row>
        <row r="6">
          <cell r="B6" t="str">
            <v>PRESIDENCIA</v>
          </cell>
        </row>
        <row r="7">
          <cell r="B7" t="str">
            <v>VICEPRESIDENCIA  ESTRATEGIA  Y FINANZA</v>
          </cell>
        </row>
        <row r="8">
          <cell r="B8" t="str">
            <v>VICEPRESIDENCIA AUDITORIA INTERNA</v>
          </cell>
        </row>
        <row r="9">
          <cell r="B9" t="str">
            <v>VICEPRESIDENCIA CORPORATIVA DE SERVICIOS</v>
          </cell>
        </row>
        <row r="10">
          <cell r="B10" t="str">
            <v>VICEPRESIDENCIA DE RIESGOS</v>
          </cell>
        </row>
        <row r="11">
          <cell r="B11" t="str">
            <v>VICEPRESIDENCIA EMPRESAS Y GOB</v>
          </cell>
        </row>
        <row r="12">
          <cell r="B12" t="str">
            <v>VICEPRESIDENCIA GESTION DE LO HUMANO</v>
          </cell>
        </row>
        <row r="13">
          <cell r="B13" t="str">
            <v>VICEPRESIDENCIA INMOBILIARIA CONSUMO ESP</v>
          </cell>
        </row>
        <row r="14">
          <cell r="B14" t="str">
            <v>VICEPRESIDENCIA INTERNACIONAL</v>
          </cell>
        </row>
        <row r="15">
          <cell r="B15" t="str">
            <v>VICEPRESIDENCIA JURIDICA SECRET GENERAL</v>
          </cell>
        </row>
        <row r="16">
          <cell r="B16" t="str">
            <v>VICEPRESIDENCIA MERCADO DE CAPITALES</v>
          </cell>
        </row>
        <row r="17">
          <cell r="B17" t="str">
            <v>VICEPRESIDENCIA PERSONAS Y PYMES</v>
          </cell>
        </row>
        <row r="18">
          <cell r="B18" t="str">
            <v>LEASING BANCOLOMBIA</v>
          </cell>
        </row>
        <row r="19">
          <cell r="B19" t="str">
            <v>VALORES BANCOLOMBIA</v>
          </cell>
        </row>
        <row r="20">
          <cell r="B20" t="str">
            <v>FIDUCIARIA BANCOLOMBIA</v>
          </cell>
        </row>
        <row r="21">
          <cell r="B21" t="str">
            <v>FACTORING BANCOLOMBIA</v>
          </cell>
        </row>
        <row r="22">
          <cell r="B22" t="str">
            <v>DIRECCION DE CULTURA ORGANIZACIONAL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D6C65E-CD70-4E29-9267-EC668DA1C2D4}" name="RETENCIONES" displayName="RETENCIONES" ref="A1:B7" totalsRowShown="0" dataDxfId="157">
  <autoFilter ref="A1:B7" xr:uid="{15AC7130-9000-4A2C-A1CA-E0715EDB13A0}"/>
  <tableColumns count="2">
    <tableColumn id="1" xr3:uid="{AF5E6C20-DE75-44FD-B821-B336DB14D551}" name="RETENCIONES" dataDxfId="156"/>
    <tableColumn id="2" xr3:uid="{31E0A111-6B66-400C-A70A-BD65962A57D2}" name="BASE DE RETENCIÓN" dataDxfId="1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6D8D99-1D8D-4CD0-A62C-8DEADB187BA9}" name="TERCEROS_INFO" displayName="TERCEROS_INFO" ref="A1:F259" totalsRowShown="0" headerRowDxfId="130" dataDxfId="129">
  <autoFilter ref="A1:F259" xr:uid="{7ED95743-F75E-4CF1-ACE5-33EBA2B81EAE}"/>
  <sortState xmlns:xlrd2="http://schemas.microsoft.com/office/spreadsheetml/2017/richdata2" ref="A2:F249">
    <sortCondition ref="A1:A249"/>
  </sortState>
  <tableColumns count="6">
    <tableColumn id="1" xr3:uid="{36A50E19-DC7A-4E16-BE4C-42C64333F9EA}" name="PROVEEDOR" dataDxfId="128"/>
    <tableColumn id="2" xr3:uid="{33B16C29-2DF5-45A1-87C1-48E44DFA4D60}" name="DIAS DE PLAZO" dataDxfId="127"/>
    <tableColumn id="3" xr3:uid="{FB09C725-92D2-4DCA-AB96-E3501A05815F}" name="IVA" dataDxfId="126"/>
    <tableColumn id="4" xr3:uid="{47EE1BEF-5743-48E9-9535-8D13DB950F0E}" name="RETENCIÓN FUENTE" dataDxfId="125"/>
    <tableColumn id="5" xr3:uid="{C601C28E-77FB-4104-BEA3-CABF7F512A2B}" name="CORREO" dataDxfId="124"/>
    <tableColumn id="6" xr3:uid="{0898AD1E-5D0B-451F-AD5F-54E60AC27BC0}" name="CUENTA BANCARIA" dataDxfId="12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VEEDORES" displayName="PROVEEDORES" ref="A1:T1422" totalsRowShown="0" headerRowDxfId="83" dataDxfId="82" tableBorderDxfId="81">
  <autoFilter ref="A1:T1422" xr:uid="{00000000-000C-0000-FFFF-FFFF00000000}"/>
  <sortState xmlns:xlrd2="http://schemas.microsoft.com/office/spreadsheetml/2017/richdata2" ref="A2:T1422">
    <sortCondition ref="I1:I1422"/>
  </sortState>
  <tableColumns count="20">
    <tableColumn id="13" xr3:uid="{00000000-0010-0000-0000-00000D000000}" name="Crédito / Contado" dataDxfId="80">
      <calculatedColumnFormula>+IF(PROVEEDORES[[#This Row],[FECHA DE PAGO]]=PROVEEDORES[[#This Row],[FECHA DE FACTURACIÓN]],"DE CONTADO","CRÉDITO")</calculatedColumnFormula>
    </tableColumn>
    <tableColumn id="6" xr3:uid="{44C0B0A2-A688-4E26-A480-9B42C3EF018E}" name="PV" dataDxfId="79">
      <calculatedColumnFormula>+IF((PROVEEDORES[[#This Row],[FECHA DE PAGO]]-PROVEEDORES[[#This Row],[FECHA DE FACTURACIÓN]])&gt;PROVEEDORES[[#This Row],[PLAZO Días]],"PAGO VENCIDO")</calculatedColumnFormula>
    </tableColumn>
    <tableColumn id="23" xr3:uid="{0ADC31DF-4124-4861-B159-C371288D9CC2}" name="PLAZO Días" dataDxfId="78">
      <calculatedColumnFormula>+VLOOKUP(PROVEEDORES[[#This Row],[PROVEEDOR]],TERCEROS_INFO[#All],2,FALSE)</calculatedColumnFormula>
    </tableColumn>
    <tableColumn id="2" xr3:uid="{CA18640B-7586-4599-A1A6-79DD9C098ECB}" name="SALDO PROVEEDOR" dataDxfId="77">
      <calculatedColumnFormula>+SUMIFS(PROVEEDORES[Total],PROVEEDORES[PROVEEDOR],PROVEEDORES[[#This Row],[PROVEEDOR]],PROVEEDORES[FECHA DE PAGO],"")</calculatedColumnFormula>
    </tableColumn>
    <tableColumn id="10" xr3:uid="{00000000-0010-0000-0000-00000A000000}" name="NOTAS" dataDxfId="76"/>
    <tableColumn id="7" xr3:uid="{2C9B9FC6-B6FA-4691-B956-6773DF789E72}" name="CORREO" dataDxfId="75">
      <calculatedColumnFormula>+VLOOKUP(PROVEEDORES[[#This Row],[PROVEEDOR]],TERCEROS_INFO[[PROVEEDOR]:[CORREO]],5,FALSE)</calculatedColumnFormula>
    </tableColumn>
    <tableColumn id="11" xr3:uid="{00000000-0010-0000-0000-00000B000000}" name="FECHA DE PAGO" dataDxfId="74"/>
    <tableColumn id="4" xr3:uid="{00000000-0010-0000-0000-000004000000}" name="PROVEEDOR" dataDxfId="73"/>
    <tableColumn id="1" xr3:uid="{00000000-0010-0000-0000-000001000000}" name="FECHA DE FACTURACIÓN" dataDxfId="72"/>
    <tableColumn id="3" xr3:uid="{00000000-0010-0000-0000-000003000000}" name="# DE FACTURA" dataDxfId="71"/>
    <tableColumn id="15" xr3:uid="{B1350CF4-DA6B-4294-A0DB-4FBB916B554A}" name="SUBTOTAL" dataDxfId="70"/>
    <tableColumn id="17" xr3:uid="{A79AB6A5-68EA-474F-A3FF-ABB7D1FAF67C}" name="descuento antes de IVA" dataDxfId="69"/>
    <tableColumn id="16" xr3:uid="{32787828-8C20-41E0-97DF-12438EA779B5}" name="IVA 19%" dataDxfId="68">
      <calculatedColumnFormula>(PROVEEDORES[[#This Row],[SUBTOTAL]]-PROVEEDORES[[#This Row],[descuento antes de IVA]])*VLOOKUP(PROVEEDORES[[#This Row],[PROVEEDOR]],TERCEROS_INFO[#All],3,FALSE)</calculatedColumnFormula>
    </tableColumn>
    <tableColumn id="18" xr3:uid="{810F2A6C-D445-432A-A959-F319CA671B12}" name="Descuento sobre subtotal %" dataDxfId="67"/>
    <tableColumn id="19" xr3:uid="{8E79B2DF-E4C8-4835-BA19-92575BA6D5A8}" name="Descuento sobre subtotal $" dataDxfId="66">
      <calculatedColumnFormula>+PROVEEDORES[[#This Row],[Descuento sobre subtotal %]]*(PROVEEDORES[[#This Row],[SUBTOTAL]]-PROVEEDORES[[#This Row],[descuento antes de IVA]])</calculatedColumnFormula>
    </tableColumn>
    <tableColumn id="20" xr3:uid="{1BB9D13F-68DF-4AEC-916C-0BDD7B333D91}" name="Rete Fuente %" dataDxfId="65">
      <calculatedColumnFormula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calculatedColumnFormula>
    </tableColumn>
    <tableColumn id="21" xr3:uid="{3708E46D-09DC-4E94-9398-61B753B43C10}" name="Rete Fuente $" dataDxfId="64">
      <calculatedColumnFormula>+(PROVEEDORES[[#This Row],[SUBTOTAL]]-PROVEEDORES[[#This Row],[descuento antes de IVA]])*PROVEEDORES[[#This Row],[Rete Fuente %]]</calculatedColumnFormula>
    </tableColumn>
    <tableColumn id="22" xr3:uid="{BC400F1B-A204-41A6-A0A2-E831AD48252C}" name="Total" dataDxfId="63">
      <calculatedColumnFormula>+PROVEEDORES[[#This Row],[SUBTOTAL]]+PROVEEDORES[[#This Row],[IVA 19%]]-PROVEEDORES[[#This Row],[descuento antes de IVA]]-PROVEEDORES[[#This Row],[Descuento sobre subtotal $]]-PROVEEDORES[[#This Row],[Rete Fuente $]]</calculatedColumnFormula>
    </tableColumn>
    <tableColumn id="8" xr3:uid="{BB24E7AB-03AF-45D0-8B8F-F77FB29B13AF}" name="días de vencimiento" dataDxfId="62">
      <calculatedColumnFormula>IF(PROVEEDORES[[#This Row],[FECHA DE PAGO]]=0,TODAY()-PROVEEDORES[[#This Row],[FECHA DE FACTURACIÓN]]-PROVEEDORES[[#This Row],[PLAZO Días]],0)</calculatedColumnFormula>
    </tableColumn>
    <tableColumn id="12" xr3:uid="{00000000-0010-0000-0000-00000C000000}" name="Estado de la factura" dataDxfId="61">
      <calculatedColumnFormula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C2564-C1F9-4E2E-88B6-BAEE1998EC6E}" name="PROVEEDORES3" displayName="PROVEEDORES3" ref="A1:I29" totalsRowShown="0" headerRowDxfId="54" dataDxfId="53" tableBorderDxfId="52">
  <autoFilter ref="A1:I29" xr:uid="{00000000-0009-0000-0100-000001000000}">
    <filterColumn colId="4">
      <filters>
        <filter val="CARPA - CASILLERO"/>
        <filter val="CARPA - MONTBLANC"/>
        <filter val="CARPA - POWERSONIC"/>
        <filter val="CARPA - TNR"/>
      </filters>
    </filterColumn>
  </autoFilter>
  <sortState xmlns:xlrd2="http://schemas.microsoft.com/office/spreadsheetml/2017/richdata2" ref="A2:I22">
    <sortCondition ref="D1:D23"/>
  </sortState>
  <tableColumns count="9">
    <tableColumn id="13" xr3:uid="{B42BD185-3F71-4F2C-AEA4-92B1BD04B885}" name="Crédito / Contado" dataDxfId="51">
      <calculatedColumnFormula>+IF(PROVEEDORES3[[#This Row],[FECHA DE PAGO]]=PROVEEDORES3[[#This Row],[FECHA DE FACTURACIÓN]],"DE CONTADO","CRÉDITO")</calculatedColumnFormula>
    </tableColumn>
    <tableColumn id="6" xr3:uid="{39803CE2-FFBF-4D55-A688-68FD0D849FB4}" name="PV" dataDxfId="50">
      <calculatedColumnFormula>+IF((PROVEEDORES3[[#This Row],[FECHA DE PAGO]]-PROVEEDORES3[[#This Row],[FECHA DE FACTURACIÓN]])&gt;#REF!,"PAGO VENCIDO")</calculatedColumnFormula>
    </tableColumn>
    <tableColumn id="7" xr3:uid="{6B170910-AAE7-4809-9E44-4304BC1A8E64}" name="CORREO" dataDxfId="49">
      <calculatedColumnFormula>+VLOOKUP(PROVEEDORES3[[#This Row],[PROVEEDOR]],TERCEROS_INFO[[PROVEEDOR]:[CORREO]],5,FALSE)</calculatedColumnFormula>
    </tableColumn>
    <tableColumn id="11" xr3:uid="{574CCCB7-6404-4014-A7C4-E24B35C8242E}" name="FECHA DE PAGO" dataDxfId="48"/>
    <tableColumn id="4" xr3:uid="{2700B3B9-841F-4270-BE9A-B050B545D6DF}" name="PROVEEDOR" dataDxfId="47"/>
    <tableColumn id="1" xr3:uid="{B9637DF7-0F06-414E-8A02-470A0D288B88}" name="FECHA DE FACTURACIÓN" dataDxfId="46"/>
    <tableColumn id="3" xr3:uid="{10A8A101-FA0E-4186-AE5D-EF5556E9484A}" name="# DE FACTURA" dataDxfId="45"/>
    <tableColumn id="15" xr3:uid="{30CB4C40-8263-4421-A32D-17C764402102}" name="Total USD" dataDxfId="44"/>
    <tableColumn id="17" xr3:uid="{1392C75A-49B5-4F13-B7A2-4E0DF985E8DF}" name="COP" dataDxfId="43">
      <calculatedColumnFormula>+PROVEEDORES3[[#This Row],[Total USD]]*3828.5</calculatedColumnFormula>
    </tableColumn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FINANCIACION" displayName="FINANCIACION" ref="A1:J970" totalsRowShown="0" headerRowDxfId="39" dataDxfId="38">
  <autoFilter ref="A1:J970" xr:uid="{00000000-0009-0000-0100-000006000000}">
    <filterColumn colId="1">
      <filters>
        <filter val="Abajo JORGE IVAN ESCOBAR"/>
      </filters>
    </filterColumn>
  </autoFilter>
  <sortState xmlns:xlrd2="http://schemas.microsoft.com/office/spreadsheetml/2017/richdata2" ref="A92:J862">
    <sortCondition ref="A1:A867"/>
  </sortState>
  <tableColumns count="10">
    <tableColumn id="1" xr3:uid="{00000000-0010-0000-0200-000001000000}" name="Fecha" dataDxfId="37" totalsRowDxfId="36"/>
    <tableColumn id="2" xr3:uid="{00000000-0010-0000-0200-000002000000}" name="PRESTAMO" dataDxfId="35" totalsRowDxfId="34"/>
    <tableColumn id="5" xr3:uid="{00000000-0010-0000-0200-000005000000}" name="$ CAPITAL" dataDxfId="33" totalsRowDxfId="32"/>
    <tableColumn id="6" xr3:uid="{00000000-0010-0000-0200-000006000000}" name="$ INTERESES" dataDxfId="31" totalsRowDxfId="30"/>
    <tableColumn id="13" xr3:uid="{AC18AAE4-5F2F-43AA-9096-028504347CEB}" name="PAGO" dataDxfId="29" totalsRowDxfId="28"/>
    <tableColumn id="16" xr3:uid="{4B8B17DE-D423-4092-ADCD-01A01AB7EA01}" name="SALDO" dataDxfId="27" totalsRowDxfId="26"/>
    <tableColumn id="9" xr3:uid="{00000000-0010-0000-0200-000009000000}" name="DETALLE" dataDxfId="25" totalsRowDxfId="24"/>
    <tableColumn id="10" xr3:uid="{00000000-0010-0000-0200-00000A000000}" name="VALOR EN DOLARES" dataDxfId="23" totalsRowDxfId="22"/>
    <tableColumn id="4" xr3:uid="{00000000-0010-0000-0200-000004000000}" name="ABONOS" dataDxfId="21" totalsRowDxfId="20">
      <calculatedColumnFormula>+IF(FINANCIACION[[#This Row],[$ CAPITAL]]&gt;0,FINANCIACION[[#This Row],[$ CAPITAL]])</calculatedColumnFormula>
    </tableColumn>
    <tableColumn id="11" xr3:uid="{00000000-0010-0000-0200-00000B000000}" name="Pagos del mes" dataDxfId="19" totalsRowDxfId="18">
      <calculatedColumnFormula>+IF(FINANCIACION[[#This Row],[$ CAPITAL]]&gt;=0,FINANCIACION[[#This Row],[$ CAPITAL]]+FINANCIACION[[#This Row],[$ INTERESES]],0)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1E4E5B-D41E-4DBC-BA0B-E05C8D02B861}" name="Tabla10" displayName="Tabla10" ref="A1:P49" totalsRowShown="0" headerRowDxfId="17" dataDxfId="16">
  <autoFilter ref="A1:P49" xr:uid="{0E1D4469-06DD-45C8-98F5-0FCFA256904B}"/>
  <sortState xmlns:xlrd2="http://schemas.microsoft.com/office/spreadsheetml/2017/richdata2" ref="A2:L45">
    <sortCondition ref="A1:A45"/>
  </sortState>
  <tableColumns count="16">
    <tableColumn id="1" xr3:uid="{352BFAB1-24B4-46D7-A59C-4164B96E8980}" name="PRESTAMO" dataDxfId="15"/>
    <tableColumn id="14" xr3:uid="{2B557E5C-AC27-41FE-8DFA-A7BF147C7F35}" name="ene-21" dataDxfId="14"/>
    <tableColumn id="15" xr3:uid="{8C66D401-54F2-41E3-90F1-96A5620A0982}" name="feb-21" dataDxfId="13"/>
    <tableColumn id="16" xr3:uid="{222EB924-D0AF-46A5-BF28-38F90D88C37E}" name="mar-21" dataDxfId="12"/>
    <tableColumn id="18" xr3:uid="{B17AED81-1D07-47AA-9E5B-58794FC2E557}" name="abr-21" dataDxfId="11"/>
    <tableColumn id="17" xr3:uid="{E6393113-2F4A-4D73-889E-5C45B240BF18}" name="may-21" dataDxfId="10"/>
    <tableColumn id="19" xr3:uid="{44820D18-784B-4D8E-9233-AB03131C58A9}" name="jun-21" dataDxfId="9"/>
    <tableColumn id="22" xr3:uid="{1C5C170C-82C7-4291-AF61-DCADF0749248}" name="jul-21" dataDxfId="8"/>
    <tableColumn id="23" xr3:uid="{AB4DC181-30C2-41B0-8BD5-B1D92F0B09FC}" name="ago-21" dataDxfId="7"/>
    <tableColumn id="20" xr3:uid="{AE884B4E-E55B-4BF3-B332-ECCCFB9F33ED}" name="sep-21" dataDxfId="6"/>
    <tableColumn id="25" xr3:uid="{60E44DFB-2F64-4FBB-A99F-4DE41C5C2663}" name="oct-21" dataDxfId="5"/>
    <tableColumn id="21" xr3:uid="{F2D8FFEE-DDE1-4321-8B91-585BD71174DE}" name="nov-21" dataDxfId="4"/>
    <tableColumn id="29" xr3:uid="{7D18C2CF-4C7B-446F-8DE6-53A8FB922137}" name="dic-21" dataDxfId="3"/>
    <tableColumn id="2" xr3:uid="{6EB76E51-9174-4C1E-BDF6-0A5B2C6DC493}" name="ene-22" dataDxfId="2"/>
    <tableColumn id="3" xr3:uid="{3D6D5452-192E-47A7-84EB-C9C03F4939B1}" name="ene-23" dataDxfId="1"/>
    <tableColumn id="4" xr3:uid="{2474FA82-00FF-4C86-800E-0E396C761EDC}" name="ene-2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jessica.barrios@carpainternacional;girlesa.ruiz@servipilas.com;joriescobar64@gmail.com" TargetMode="External"/><Relationship Id="rId13" Type="http://schemas.openxmlformats.org/officeDocument/2006/relationships/hyperlink" Target="mailto:jarlysas@gmail.com;o.clockinternational@gmail.com;girlesa.ruiz@servipilas.com;joriescobar64@gmail.com" TargetMode="External"/><Relationship Id="rId18" Type="http://schemas.openxmlformats.org/officeDocument/2006/relationships/hyperlink" Target="mailto:propertymarketingsas@hotmail.com;girlesa.ruiz@servipilas.com;joriescobar64@gmail.com" TargetMode="External"/><Relationship Id="rId3" Type="http://schemas.openxmlformats.org/officeDocument/2006/relationships/hyperlink" Target="mailto:vcortes@power-sonic.com;alexander.baur@power-sonic.com;jirias@power-sonic.com;girlesa.ruiz@servipilas.com;joriescobar64@gmail.com;info@servipilas.com" TargetMode="External"/><Relationship Id="rId21" Type="http://schemas.openxmlformats.org/officeDocument/2006/relationships/printerSettings" Target="../printerSettings/printerSettings3.bin"/><Relationship Id="rId7" Type="http://schemas.openxmlformats.org/officeDocument/2006/relationships/hyperlink" Target="mailto:jmacias@nanicastation.com.co;facturas@nanicastation.com.co;girlesa.ruiz@servipilas.com;joriescobar64@gmail.com" TargetMode="External"/><Relationship Id="rId12" Type="http://schemas.openxmlformats.org/officeDocument/2006/relationships/hyperlink" Target="mailto:alexenriquez73.ae@gmail.com;girlesa.ruiz@servipilas.com;joriescobar64@gmail.com;info@servipilas.com" TargetMode="External"/><Relationship Id="rId17" Type="http://schemas.openxmlformats.org/officeDocument/2006/relationships/hyperlink" Target="mailto:globalpowerc2018@gmail.com;girlesa.ruiz@servipilas.com;joriescobar64@gmail.com" TargetMode="External"/><Relationship Id="rId2" Type="http://schemas.openxmlformats.org/officeDocument/2006/relationships/hyperlink" Target="mailto:howardlondono@impocarga.com;oswaldo.alvarez@logimexsas.com;girlesa.ruiz@servipilas.com;joriescobar64@gmail.com" TargetMode="External"/><Relationship Id="rId16" Type="http://schemas.openxmlformats.org/officeDocument/2006/relationships/hyperlink" Target="mailto:jarlysas@gmail.com;o.clockinternational@gmail.com;girlesa.ruiz@servipilas.com;joriescobar64@gmail.com" TargetMode="External"/><Relationship Id="rId20" Type="http://schemas.openxmlformats.org/officeDocument/2006/relationships/hyperlink" Target="mailto:avelinacomer@gmail.com;girlesa.ruiz@servipilas.com;joriescobar64@gmail.com" TargetMode="External"/><Relationship Id="rId1" Type="http://schemas.openxmlformats.org/officeDocument/2006/relationships/hyperlink" Target="mailto:carloseuristika@hotmail.com;girlesa.ruiz@servipilas.com;joriescobar64@gmail.com" TargetMode="External"/><Relationship Id="rId6" Type="http://schemas.openxmlformats.org/officeDocument/2006/relationships/hyperlink" Target="mailto:jessica.barrios@carpainternacional;girlesa.ruiz@servipilas.com;joriescobar64@gmail.com" TargetMode="External"/><Relationship Id="rId11" Type="http://schemas.openxmlformats.org/officeDocument/2006/relationships/hyperlink" Target="mailto:jessica.barrios@carpainternacional;girlesa.ruiz@servipilas.com;joriescobar64@gmail.com" TargetMode="External"/><Relationship Id="rId5" Type="http://schemas.openxmlformats.org/officeDocument/2006/relationships/hyperlink" Target="mailto:lpena@tbplusenergy.com;girlesa.ruiz@servipilas.com;joriescobar64@gmail.com" TargetMode="External"/><Relationship Id="rId15" Type="http://schemas.openxmlformats.org/officeDocument/2006/relationships/hyperlink" Target="mailto:jarlysas@gmail.com;o.clockinternational@gmail.com;girlesa.ruiz@servipilas.com;joriescobar64@gmail.com" TargetMode="External"/><Relationship Id="rId10" Type="http://schemas.openxmlformats.org/officeDocument/2006/relationships/hyperlink" Target="mailto:financiero@dmariocolombia.com;cartera@dmariocolombia.com.co;girlesa.ruiz@servipilas.com;joriescobar64@gmail.com" TargetMode="External"/><Relationship Id="rId19" Type="http://schemas.openxmlformats.org/officeDocument/2006/relationships/hyperlink" Target="mailto:avelinacomer@gmail.com;girlesa.ruiz@servipilas.com;joriescobar64@gmail.com" TargetMode="External"/><Relationship Id="rId4" Type="http://schemas.openxmlformats.org/officeDocument/2006/relationships/hyperlink" Target="mailto:jessica.barrios@carpainternacional;girlesa.ruiz@servipilas.com;joriescobar64@gmail.com" TargetMode="External"/><Relationship Id="rId9" Type="http://schemas.openxmlformats.org/officeDocument/2006/relationships/hyperlink" Target="mailto:ventasonline@disantioquia.com.co;girlesa.ruiz@servipilas.com;joriescobar64@gmail.com" TargetMode="External"/><Relationship Id="rId14" Type="http://schemas.openxmlformats.org/officeDocument/2006/relationships/hyperlink" Target="mailto:jarlysas@gmail.com;o.clockinternational@gmail.com;girlesa.ruiz@servipilas.com;joriescobar64@gmail.com" TargetMode="External"/><Relationship Id="rId22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D6C3-5E23-41FC-BAFD-26AEEF3E0171}">
  <sheetPr codeName="Hoja7">
    <pageSetUpPr autoPageBreaks="0"/>
  </sheetPr>
  <dimension ref="G1:S49"/>
  <sheetViews>
    <sheetView showGridLines="0" showRowColHeaders="0" topLeftCell="A3" zoomScale="80" zoomScaleNormal="80" workbookViewId="0">
      <selection activeCell="C7" sqref="C7"/>
    </sheetView>
  </sheetViews>
  <sheetFormatPr baseColWidth="10" defaultColWidth="0" defaultRowHeight="12.75" customHeight="1" zeroHeight="1" x14ac:dyDescent="0.3"/>
  <cols>
    <col min="1" max="17" width="11.44140625" customWidth="1"/>
    <col min="18" max="19" width="11.44140625" hidden="1" customWidth="1"/>
  </cols>
  <sheetData>
    <row r="1" spans="7:14" ht="12.75" customHeight="1" x14ac:dyDescent="0.3"/>
    <row r="2" spans="7:14" ht="12.75" customHeight="1" x14ac:dyDescent="0.3">
      <c r="N2" s="91"/>
    </row>
    <row r="3" spans="7:14" ht="12.75" customHeight="1" x14ac:dyDescent="0.3"/>
    <row r="4" spans="7:14" ht="14.4" x14ac:dyDescent="0.3"/>
    <row r="5" spans="7:14" ht="14.4" x14ac:dyDescent="0.3"/>
    <row r="6" spans="7:14" ht="14.4" x14ac:dyDescent="0.3">
      <c r="G6" t="s">
        <v>985</v>
      </c>
    </row>
    <row r="7" spans="7:14" ht="14.4" x14ac:dyDescent="0.3"/>
    <row r="8" spans="7:14" ht="14.4" x14ac:dyDescent="0.3"/>
    <row r="9" spans="7:14" ht="14.4" x14ac:dyDescent="0.3"/>
    <row r="10" spans="7:14" ht="14.4" x14ac:dyDescent="0.3"/>
    <row r="11" spans="7:14" ht="14.4" x14ac:dyDescent="0.3"/>
    <row r="12" spans="7:14" ht="14.4" x14ac:dyDescent="0.3"/>
    <row r="13" spans="7:14" ht="14.4" x14ac:dyDescent="0.3"/>
    <row r="14" spans="7:14" ht="14.4" x14ac:dyDescent="0.3"/>
    <row r="15" spans="7:14" ht="14.4" x14ac:dyDescent="0.3"/>
    <row r="16" spans="7:14" ht="14.4" x14ac:dyDescent="0.3"/>
    <row r="17" spans="10:10" ht="14.4" x14ac:dyDescent="0.3"/>
    <row r="18" spans="10:10" ht="14.4" x14ac:dyDescent="0.3">
      <c r="J18" s="90"/>
    </row>
    <row r="19" spans="10:10" ht="14.4" x14ac:dyDescent="0.3"/>
    <row r="20" spans="10:10" ht="14.4" x14ac:dyDescent="0.3"/>
    <row r="21" spans="10:10" ht="14.4" x14ac:dyDescent="0.3"/>
    <row r="22" spans="10:10" ht="14.4" x14ac:dyDescent="0.3"/>
    <row r="23" spans="10:10" ht="14.4" x14ac:dyDescent="0.3"/>
    <row r="24" spans="10:10" ht="14.4" x14ac:dyDescent="0.3"/>
    <row r="25" spans="10:10" ht="14.4" x14ac:dyDescent="0.3"/>
    <row r="26" spans="10:10" ht="14.4" x14ac:dyDescent="0.3"/>
    <row r="27" spans="10:10" ht="14.4" x14ac:dyDescent="0.3"/>
    <row r="28" spans="10:10" ht="14.4" x14ac:dyDescent="0.3"/>
    <row r="29" spans="10:10" ht="14.4" x14ac:dyDescent="0.3"/>
    <row r="30" spans="10:10" ht="14.4" x14ac:dyDescent="0.3"/>
    <row r="31" spans="10:10" ht="14.4" x14ac:dyDescent="0.3"/>
    <row r="32" spans="10:10" ht="14.4" x14ac:dyDescent="0.3"/>
    <row r="33" ht="14.4" x14ac:dyDescent="0.3"/>
    <row r="34" ht="14.4" x14ac:dyDescent="0.3"/>
    <row r="35" ht="14.4" x14ac:dyDescent="0.3"/>
    <row r="36" ht="14.4" x14ac:dyDescent="0.3"/>
    <row r="37" ht="14.4" x14ac:dyDescent="0.3"/>
    <row r="38" ht="14.4" x14ac:dyDescent="0.3"/>
    <row r="39" ht="14.4" x14ac:dyDescent="0.3"/>
    <row r="40" ht="14.4" x14ac:dyDescent="0.3"/>
    <row r="41" ht="14.4" hidden="1" x14ac:dyDescent="0.3"/>
    <row r="42" ht="12.75" customHeight="1" x14ac:dyDescent="0.3"/>
    <row r="43" ht="12.75" customHeight="1" x14ac:dyDescent="0.3"/>
    <row r="44" ht="12.75" customHeight="1" x14ac:dyDescent="0.3"/>
    <row r="45" ht="12.75" customHeight="1" x14ac:dyDescent="0.3"/>
    <row r="46" ht="12.75" customHeight="1" x14ac:dyDescent="0.3"/>
    <row r="47" ht="12.75" customHeight="1" x14ac:dyDescent="0.3"/>
    <row r="48" ht="12.75" customHeight="1" x14ac:dyDescent="0.3"/>
    <row r="49" ht="12.75" customHeight="1" x14ac:dyDescent="0.3"/>
  </sheetData>
  <pageMargins left="0.7" right="0.7" top="0.75" bottom="0.75" header="0.3" footer="0.3"/>
  <pageSetup orientation="portrait" verticalDpi="14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D47B4-8DE4-4C2E-A43E-B9C7237C18F9}">
  <sheetPr codeName="Hoja1">
    <pageSetUpPr fitToPage="1"/>
  </sheetPr>
  <dimension ref="A1:N27"/>
  <sheetViews>
    <sheetView topLeftCell="A13" workbookViewId="0">
      <selection activeCell="B1" sqref="B1"/>
    </sheetView>
  </sheetViews>
  <sheetFormatPr baseColWidth="10" defaultRowHeight="14.4" x14ac:dyDescent="0.3"/>
  <cols>
    <col min="1" max="1" width="11.5546875" customWidth="1"/>
    <col min="2" max="2" width="10.5546875" bestFit="1" customWidth="1"/>
    <col min="4" max="4" width="12.44140625" bestFit="1" customWidth="1"/>
    <col min="5" max="5" width="16.33203125" bestFit="1" customWidth="1"/>
    <col min="6" max="6" width="12.6640625" bestFit="1" customWidth="1"/>
    <col min="8" max="8" width="8.6640625" bestFit="1" customWidth="1"/>
    <col min="9" max="10" width="9.88671875" bestFit="1" customWidth="1"/>
    <col min="11" max="12" width="11" bestFit="1" customWidth="1"/>
    <col min="13" max="13" width="12.109375" bestFit="1" customWidth="1"/>
    <col min="14" max="14" width="9" customWidth="1"/>
  </cols>
  <sheetData>
    <row r="1" spans="1:14" ht="43.2" x14ac:dyDescent="0.3">
      <c r="A1" s="99" t="s">
        <v>128</v>
      </c>
      <c r="B1" s="100" t="s">
        <v>6</v>
      </c>
      <c r="C1" s="100" t="s">
        <v>3</v>
      </c>
      <c r="D1" s="99" t="s">
        <v>1</v>
      </c>
      <c r="E1" s="101" t="s">
        <v>2</v>
      </c>
      <c r="F1" s="100" t="s">
        <v>108</v>
      </c>
      <c r="G1" s="102" t="s">
        <v>130</v>
      </c>
      <c r="H1" s="100" t="s">
        <v>109</v>
      </c>
      <c r="I1" s="102" t="s">
        <v>111</v>
      </c>
      <c r="J1" s="102" t="s">
        <v>112</v>
      </c>
      <c r="K1" s="103" t="s">
        <v>114</v>
      </c>
      <c r="L1" s="102" t="s">
        <v>113</v>
      </c>
      <c r="M1" s="100" t="s">
        <v>110</v>
      </c>
      <c r="N1" s="104" t="s">
        <v>984</v>
      </c>
    </row>
    <row r="2" spans="1:14" ht="15.6" x14ac:dyDescent="0.3">
      <c r="A2" s="93" t="s">
        <v>146</v>
      </c>
      <c r="B2" s="112">
        <v>44567</v>
      </c>
      <c r="C2" s="94" t="s">
        <v>981</v>
      </c>
      <c r="D2" s="112">
        <v>44517</v>
      </c>
      <c r="E2" s="95" t="s">
        <v>625</v>
      </c>
      <c r="F2" s="96">
        <v>8659500</v>
      </c>
      <c r="G2" s="96"/>
      <c r="H2" s="97">
        <v>0</v>
      </c>
      <c r="I2" s="98"/>
      <c r="J2" s="97">
        <v>0</v>
      </c>
      <c r="K2" s="98">
        <v>0</v>
      </c>
      <c r="L2" s="97">
        <v>0</v>
      </c>
      <c r="M2" s="96">
        <v>8659500</v>
      </c>
      <c r="N2" s="92">
        <v>8659500</v>
      </c>
    </row>
    <row r="3" spans="1:14" ht="15.6" x14ac:dyDescent="0.3">
      <c r="A3" s="93" t="s">
        <v>146</v>
      </c>
      <c r="B3" s="112">
        <v>44567</v>
      </c>
      <c r="C3" s="94" t="s">
        <v>981</v>
      </c>
      <c r="D3" s="112">
        <v>44566</v>
      </c>
      <c r="E3" s="95" t="s">
        <v>942</v>
      </c>
      <c r="F3" s="96">
        <v>-190000</v>
      </c>
      <c r="G3" s="96"/>
      <c r="H3" s="97">
        <v>0</v>
      </c>
      <c r="I3" s="98"/>
      <c r="J3" s="97">
        <v>0</v>
      </c>
      <c r="K3" s="98">
        <v>0</v>
      </c>
      <c r="L3" s="97">
        <v>0</v>
      </c>
      <c r="M3" s="96">
        <v>-190000</v>
      </c>
      <c r="N3" s="92">
        <v>-190000</v>
      </c>
    </row>
    <row r="4" spans="1:14" ht="15.6" x14ac:dyDescent="0.3">
      <c r="A4" s="93"/>
      <c r="B4" s="112"/>
      <c r="C4" s="94"/>
      <c r="D4" s="112"/>
      <c r="E4" s="95"/>
      <c r="F4" s="96"/>
      <c r="G4" s="96"/>
      <c r="H4" s="97"/>
      <c r="I4" s="98"/>
      <c r="J4" s="97"/>
      <c r="K4" s="98"/>
      <c r="L4" s="105" t="s">
        <v>110</v>
      </c>
      <c r="M4" s="106">
        <v>8469500</v>
      </c>
      <c r="N4" s="92">
        <v>8469500</v>
      </c>
    </row>
    <row r="5" spans="1:14" ht="15.6" x14ac:dyDescent="0.3">
      <c r="A5" s="93"/>
      <c r="B5" s="112"/>
      <c r="C5" s="94"/>
      <c r="D5" s="112"/>
      <c r="E5" s="95"/>
      <c r="F5" s="96"/>
      <c r="G5" s="96"/>
      <c r="H5" s="97"/>
      <c r="I5" s="98"/>
      <c r="J5" s="97"/>
      <c r="K5" s="98"/>
      <c r="L5" s="97"/>
      <c r="M5" s="96"/>
      <c r="N5" s="92"/>
    </row>
    <row r="6" spans="1:14" ht="15.6" x14ac:dyDescent="0.3">
      <c r="A6" s="93"/>
      <c r="B6" s="112"/>
      <c r="C6" s="94"/>
      <c r="D6" s="112"/>
      <c r="E6" s="95"/>
      <c r="F6" s="96"/>
      <c r="G6" s="96"/>
      <c r="H6" s="97"/>
      <c r="I6" s="98"/>
      <c r="J6" s="97"/>
      <c r="K6" s="98"/>
      <c r="L6" s="97"/>
      <c r="M6" s="96"/>
      <c r="N6" s="92"/>
    </row>
    <row r="7" spans="1:14" ht="43.2" x14ac:dyDescent="0.3">
      <c r="A7" s="99" t="s">
        <v>128</v>
      </c>
      <c r="B7" s="100" t="s">
        <v>6</v>
      </c>
      <c r="C7" s="100" t="s">
        <v>3</v>
      </c>
      <c r="D7" s="99" t="s">
        <v>1</v>
      </c>
      <c r="E7" s="101" t="s">
        <v>2</v>
      </c>
      <c r="F7" s="100" t="s">
        <v>108</v>
      </c>
      <c r="G7" s="102" t="s">
        <v>130</v>
      </c>
      <c r="H7" s="100" t="s">
        <v>109</v>
      </c>
      <c r="I7" s="102" t="s">
        <v>111</v>
      </c>
      <c r="J7" s="102" t="s">
        <v>112</v>
      </c>
      <c r="K7" s="103" t="s">
        <v>114</v>
      </c>
      <c r="L7" s="102" t="s">
        <v>113</v>
      </c>
      <c r="M7" s="100" t="s">
        <v>110</v>
      </c>
      <c r="N7" s="104" t="s">
        <v>984</v>
      </c>
    </row>
    <row r="8" spans="1:14" ht="15.6" x14ac:dyDescent="0.3">
      <c r="A8" s="93" t="s">
        <v>146</v>
      </c>
      <c r="B8" s="112">
        <v>44567</v>
      </c>
      <c r="C8" s="94" t="s">
        <v>983</v>
      </c>
      <c r="D8" s="112">
        <v>44166</v>
      </c>
      <c r="E8" s="95"/>
      <c r="F8" s="96">
        <v>47205435</v>
      </c>
      <c r="G8" s="96"/>
      <c r="H8" s="97">
        <v>0</v>
      </c>
      <c r="I8" s="98"/>
      <c r="J8" s="97">
        <v>0</v>
      </c>
      <c r="K8" s="98">
        <v>0</v>
      </c>
      <c r="L8" s="97">
        <v>0</v>
      </c>
      <c r="M8" s="96">
        <v>47205435</v>
      </c>
      <c r="N8" s="92">
        <v>47205435</v>
      </c>
    </row>
    <row r="9" spans="1:14" ht="15.6" x14ac:dyDescent="0.3">
      <c r="A9" s="93" t="s">
        <v>146</v>
      </c>
      <c r="B9" s="112">
        <v>44567</v>
      </c>
      <c r="C9" s="94" t="s">
        <v>983</v>
      </c>
      <c r="D9" s="112">
        <v>44196</v>
      </c>
      <c r="E9" s="95"/>
      <c r="F9" s="96">
        <v>-20009300</v>
      </c>
      <c r="G9" s="96"/>
      <c r="H9" s="97">
        <v>0</v>
      </c>
      <c r="I9" s="98"/>
      <c r="J9" s="97">
        <v>0</v>
      </c>
      <c r="K9" s="98">
        <v>0</v>
      </c>
      <c r="L9" s="97">
        <v>0</v>
      </c>
      <c r="M9" s="96">
        <v>0</v>
      </c>
      <c r="N9" s="92">
        <v>0</v>
      </c>
    </row>
    <row r="10" spans="1:14" ht="15.6" x14ac:dyDescent="0.3">
      <c r="A10" s="93" t="s">
        <v>146</v>
      </c>
      <c r="B10" s="112">
        <v>44567</v>
      </c>
      <c r="C10" s="94" t="s">
        <v>983</v>
      </c>
      <c r="D10" s="112">
        <v>44203</v>
      </c>
      <c r="E10" s="95"/>
      <c r="F10" s="96">
        <v>-5180200</v>
      </c>
      <c r="G10" s="96"/>
      <c r="H10" s="97">
        <v>0</v>
      </c>
      <c r="I10" s="98"/>
      <c r="J10" s="97">
        <v>0</v>
      </c>
      <c r="K10" s="98">
        <v>0</v>
      </c>
      <c r="L10" s="97">
        <v>0</v>
      </c>
      <c r="M10" s="96">
        <v>0</v>
      </c>
      <c r="N10" s="92">
        <v>0</v>
      </c>
    </row>
    <row r="11" spans="1:14" ht="15.6" x14ac:dyDescent="0.3">
      <c r="A11" s="93" t="s">
        <v>146</v>
      </c>
      <c r="B11" s="112">
        <v>44567</v>
      </c>
      <c r="C11" s="94" t="s">
        <v>983</v>
      </c>
      <c r="D11" s="112">
        <v>44561</v>
      </c>
      <c r="E11" s="95"/>
      <c r="F11" s="96">
        <v>-15184000</v>
      </c>
      <c r="G11" s="96"/>
      <c r="H11" s="97">
        <v>0</v>
      </c>
      <c r="I11" s="98"/>
      <c r="J11" s="97">
        <v>0</v>
      </c>
      <c r="K11" s="98">
        <v>0</v>
      </c>
      <c r="L11" s="97">
        <v>0</v>
      </c>
      <c r="M11" s="96">
        <v>0</v>
      </c>
      <c r="N11" s="92">
        <v>0</v>
      </c>
    </row>
    <row r="12" spans="1:14" ht="15.6" x14ac:dyDescent="0.3">
      <c r="A12" s="93" t="s">
        <v>146</v>
      </c>
      <c r="B12" s="112">
        <v>44567</v>
      </c>
      <c r="C12" s="94" t="s">
        <v>983</v>
      </c>
      <c r="D12" s="112">
        <v>44567</v>
      </c>
      <c r="E12" s="95"/>
      <c r="F12" s="96">
        <v>-6831935</v>
      </c>
      <c r="G12" s="96"/>
      <c r="H12" s="97">
        <v>0</v>
      </c>
      <c r="I12" s="98"/>
      <c r="J12" s="97">
        <v>0</v>
      </c>
      <c r="K12" s="98">
        <v>0</v>
      </c>
      <c r="L12" s="97">
        <v>0</v>
      </c>
      <c r="M12" s="96">
        <v>0</v>
      </c>
      <c r="N12" s="92">
        <v>0</v>
      </c>
    </row>
    <row r="13" spans="1:14" ht="15.6" x14ac:dyDescent="0.3">
      <c r="A13" s="93"/>
      <c r="B13" s="112"/>
      <c r="C13" s="94"/>
      <c r="D13" s="112"/>
      <c r="E13" s="95"/>
      <c r="F13" s="96"/>
      <c r="G13" s="96"/>
      <c r="H13" s="97"/>
      <c r="I13" s="98"/>
      <c r="J13" s="97"/>
      <c r="K13" s="98"/>
      <c r="L13" s="105" t="s">
        <v>110</v>
      </c>
      <c r="M13" s="106">
        <v>47205435</v>
      </c>
      <c r="N13" s="92">
        <v>47205435</v>
      </c>
    </row>
    <row r="14" spans="1:14" ht="15.6" x14ac:dyDescent="0.3">
      <c r="A14" s="93"/>
      <c r="B14" s="112"/>
      <c r="C14" s="94"/>
      <c r="D14" s="112"/>
      <c r="E14" s="95"/>
      <c r="F14" s="96"/>
      <c r="G14" s="96"/>
      <c r="H14" s="97"/>
      <c r="I14" s="98"/>
      <c r="J14" s="97"/>
      <c r="K14" s="98"/>
      <c r="L14" s="97"/>
      <c r="M14" s="96"/>
      <c r="N14" s="92"/>
    </row>
    <row r="15" spans="1:14" ht="15.6" x14ac:dyDescent="0.3">
      <c r="A15" s="93"/>
      <c r="B15" s="112"/>
      <c r="C15" s="94"/>
      <c r="D15" s="112"/>
      <c r="E15" s="95"/>
      <c r="F15" s="96"/>
      <c r="G15" s="96"/>
      <c r="H15" s="97"/>
      <c r="I15" s="98"/>
      <c r="J15" s="97"/>
      <c r="K15" s="98"/>
      <c r="L15" s="97"/>
      <c r="M15" s="96"/>
      <c r="N15" s="92"/>
    </row>
    <row r="16" spans="1:14" ht="43.2" x14ac:dyDescent="0.3">
      <c r="A16" s="99" t="s">
        <v>128</v>
      </c>
      <c r="B16" s="100" t="s">
        <v>6</v>
      </c>
      <c r="C16" s="100" t="s">
        <v>3</v>
      </c>
      <c r="D16" s="99" t="s">
        <v>1</v>
      </c>
      <c r="E16" s="101" t="s">
        <v>2</v>
      </c>
      <c r="F16" s="100" t="s">
        <v>108</v>
      </c>
      <c r="G16" s="102" t="s">
        <v>130</v>
      </c>
      <c r="H16" s="100" t="s">
        <v>109</v>
      </c>
      <c r="I16" s="102" t="s">
        <v>111</v>
      </c>
      <c r="J16" s="102" t="s">
        <v>112</v>
      </c>
      <c r="K16" s="103" t="s">
        <v>114</v>
      </c>
      <c r="L16" s="102" t="s">
        <v>113</v>
      </c>
      <c r="M16" s="100" t="s">
        <v>110</v>
      </c>
      <c r="N16" s="104" t="s">
        <v>984</v>
      </c>
    </row>
    <row r="17" spans="1:14" ht="15.6" x14ac:dyDescent="0.3">
      <c r="A17" s="93" t="s">
        <v>258</v>
      </c>
      <c r="B17" s="112">
        <v>44567</v>
      </c>
      <c r="C17" s="94" t="s">
        <v>143</v>
      </c>
      <c r="D17" s="112">
        <v>44565</v>
      </c>
      <c r="E17" s="95">
        <v>192</v>
      </c>
      <c r="F17" s="96">
        <v>135000</v>
      </c>
      <c r="G17" s="96"/>
      <c r="H17" s="97">
        <v>0</v>
      </c>
      <c r="I17" s="98"/>
      <c r="J17" s="97">
        <v>0</v>
      </c>
      <c r="K17" s="98">
        <v>0</v>
      </c>
      <c r="L17" s="97">
        <v>0</v>
      </c>
      <c r="M17" s="96">
        <v>135000</v>
      </c>
      <c r="N17" s="92">
        <v>135000</v>
      </c>
    </row>
    <row r="18" spans="1:14" ht="15.6" x14ac:dyDescent="0.3">
      <c r="A18" s="93" t="s">
        <v>258</v>
      </c>
      <c r="B18" s="112">
        <v>44567</v>
      </c>
      <c r="C18" s="94" t="s">
        <v>143</v>
      </c>
      <c r="D18" s="112">
        <v>44567</v>
      </c>
      <c r="E18" s="95" t="s">
        <v>952</v>
      </c>
      <c r="F18" s="96">
        <v>-135000</v>
      </c>
      <c r="G18" s="96"/>
      <c r="H18" s="97">
        <v>0</v>
      </c>
      <c r="I18" s="98"/>
      <c r="J18" s="97">
        <v>0</v>
      </c>
      <c r="K18" s="98">
        <v>0</v>
      </c>
      <c r="L18" s="97">
        <v>0</v>
      </c>
      <c r="M18" s="96">
        <v>0</v>
      </c>
      <c r="N18" s="92">
        <v>0</v>
      </c>
    </row>
    <row r="19" spans="1:14" ht="15.6" x14ac:dyDescent="0.3">
      <c r="A19" s="93"/>
      <c r="B19" s="112"/>
      <c r="C19" s="94"/>
      <c r="D19" s="112"/>
      <c r="E19" s="95"/>
      <c r="F19" s="96"/>
      <c r="G19" s="96"/>
      <c r="H19" s="97"/>
      <c r="I19" s="98"/>
      <c r="J19" s="97"/>
      <c r="K19" s="98"/>
      <c r="L19" s="105" t="s">
        <v>110</v>
      </c>
      <c r="M19" s="106">
        <v>135000</v>
      </c>
      <c r="N19" s="92">
        <v>135000</v>
      </c>
    </row>
    <row r="20" spans="1:14" ht="15.6" x14ac:dyDescent="0.3">
      <c r="A20" s="93"/>
      <c r="B20" s="112"/>
      <c r="C20" s="94"/>
      <c r="D20" s="112"/>
      <c r="E20" s="95"/>
      <c r="F20" s="96"/>
      <c r="G20" s="96"/>
      <c r="H20" s="97"/>
      <c r="I20" s="98"/>
      <c r="J20" s="97"/>
      <c r="K20" s="98"/>
      <c r="L20" s="97"/>
      <c r="M20" s="96"/>
      <c r="N20" s="92"/>
    </row>
    <row r="21" spans="1:14" ht="15.6" x14ac:dyDescent="0.3">
      <c r="A21" s="93"/>
      <c r="B21" s="112"/>
      <c r="C21" s="94"/>
      <c r="D21" s="112"/>
      <c r="E21" s="95"/>
      <c r="F21" s="96"/>
      <c r="G21" s="96"/>
      <c r="H21" s="97"/>
      <c r="I21" s="98"/>
      <c r="J21" s="97"/>
      <c r="K21" s="98"/>
      <c r="L21" s="97"/>
      <c r="M21" s="96"/>
      <c r="N21" s="92"/>
    </row>
    <row r="22" spans="1:14" ht="43.2" x14ac:dyDescent="0.3">
      <c r="A22" s="99" t="s">
        <v>128</v>
      </c>
      <c r="B22" s="100" t="s">
        <v>6</v>
      </c>
      <c r="C22" s="100" t="s">
        <v>3</v>
      </c>
      <c r="D22" s="99" t="s">
        <v>1</v>
      </c>
      <c r="E22" s="101" t="s">
        <v>2</v>
      </c>
      <c r="F22" s="100" t="s">
        <v>108</v>
      </c>
      <c r="G22" s="102" t="s">
        <v>130</v>
      </c>
      <c r="H22" s="100" t="s">
        <v>109</v>
      </c>
      <c r="I22" s="102" t="s">
        <v>111</v>
      </c>
      <c r="J22" s="102" t="s">
        <v>112</v>
      </c>
      <c r="K22" s="103" t="s">
        <v>114</v>
      </c>
      <c r="L22" s="102" t="s">
        <v>113</v>
      </c>
      <c r="M22" s="100" t="s">
        <v>110</v>
      </c>
      <c r="N22" s="104" t="s">
        <v>984</v>
      </c>
    </row>
    <row r="23" spans="1:14" ht="15.6" x14ac:dyDescent="0.3">
      <c r="A23" s="93" t="s">
        <v>146</v>
      </c>
      <c r="B23" s="112">
        <v>44567</v>
      </c>
      <c r="C23" s="94" t="s">
        <v>982</v>
      </c>
      <c r="D23" s="112">
        <v>44567</v>
      </c>
      <c r="E23" s="95"/>
      <c r="F23" s="96">
        <v>1000000</v>
      </c>
      <c r="G23" s="96"/>
      <c r="H23" s="97">
        <v>0</v>
      </c>
      <c r="I23" s="98"/>
      <c r="J23" s="97">
        <v>0</v>
      </c>
      <c r="K23" s="98">
        <v>0</v>
      </c>
      <c r="L23" s="97">
        <v>0</v>
      </c>
      <c r="M23" s="96">
        <v>1000000</v>
      </c>
      <c r="N23" s="92">
        <v>1000000</v>
      </c>
    </row>
    <row r="24" spans="1:14" ht="15.6" x14ac:dyDescent="0.3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107" t="s">
        <v>110</v>
      </c>
      <c r="M24" s="106">
        <v>1000000</v>
      </c>
      <c r="N24" s="92">
        <v>1000000</v>
      </c>
    </row>
    <row r="27" spans="1:14" ht="15.6" x14ac:dyDescent="0.3">
      <c r="A27" s="109"/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 t="s">
        <v>110</v>
      </c>
      <c r="M27" s="110">
        <v>56809935</v>
      </c>
      <c r="N27" s="109">
        <v>56809935</v>
      </c>
    </row>
  </sheetData>
  <sortState xmlns:xlrd2="http://schemas.microsoft.com/office/spreadsheetml/2017/richdata2" ref="A2:M23">
    <sortCondition ref="C1"/>
    <sortCondition ref="E1"/>
  </sortState>
  <pageMargins left="0.7" right="0.7" top="0.75" bottom="0.75" header="0.3" footer="0.3"/>
  <pageSetup scale="57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Primero crea el proveedor en la hoja &quot;Proveedores&quot;." xr:uid="{51FA371E-D9C8-45FD-AAF4-4CE5AF37CA37}">
          <x14:formula1>
            <xm:f>Terceros!$A:$A</xm:f>
          </x14:formula1>
          <xm:sqref>C1 C22 C16 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0D0D9-3698-4ED1-860D-1FB619299F45}">
  <sheetPr codeName="Hoja4"/>
  <dimension ref="A1:B1"/>
  <sheetViews>
    <sheetView workbookViewId="0">
      <selection activeCell="E15" sqref="E15"/>
    </sheetView>
  </sheetViews>
  <sheetFormatPr baseColWidth="10" defaultRowHeight="14.4" x14ac:dyDescent="0.3"/>
  <cols>
    <col min="1" max="2" width="21.44140625" customWidth="1"/>
  </cols>
  <sheetData>
    <row r="1" spans="1:2" ht="25.8" x14ac:dyDescent="0.3">
      <c r="A1" s="3" t="s">
        <v>0</v>
      </c>
      <c r="B1" s="4">
        <f ca="1">TODAY()</f>
        <v>44668</v>
      </c>
    </row>
  </sheetData>
  <protectedRanges>
    <protectedRange sqref="B1" name="Rango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CADD-6A68-4762-9F6D-CC040449CF7B}">
  <sheetPr codeName="Hoja3"/>
  <dimension ref="A1:B7"/>
  <sheetViews>
    <sheetView workbookViewId="0"/>
  </sheetViews>
  <sheetFormatPr baseColWidth="10" defaultRowHeight="14.4" x14ac:dyDescent="0.3"/>
  <sheetData>
    <row r="1" spans="1:2" x14ac:dyDescent="0.3">
      <c r="A1" t="s">
        <v>131</v>
      </c>
      <c r="B1" t="s">
        <v>132</v>
      </c>
    </row>
    <row r="2" spans="1:2" x14ac:dyDescent="0.3">
      <c r="A2" s="1">
        <v>0</v>
      </c>
      <c r="B2" s="2">
        <v>0</v>
      </c>
    </row>
    <row r="3" spans="1:2" x14ac:dyDescent="0.3">
      <c r="A3" s="1">
        <v>0.01</v>
      </c>
      <c r="B3" s="2">
        <v>145000</v>
      </c>
    </row>
    <row r="4" spans="1:2" x14ac:dyDescent="0.3">
      <c r="A4" s="1">
        <v>2.5000000000000001E-2</v>
      </c>
      <c r="B4" s="2">
        <v>980000</v>
      </c>
    </row>
    <row r="5" spans="1:2" x14ac:dyDescent="0.3">
      <c r="A5" s="1">
        <v>3.5000000000000003E-2</v>
      </c>
      <c r="B5" s="2">
        <v>980000</v>
      </c>
    </row>
    <row r="6" spans="1:2" x14ac:dyDescent="0.3">
      <c r="A6" s="1">
        <v>0.04</v>
      </c>
      <c r="B6" s="2">
        <v>0</v>
      </c>
    </row>
    <row r="7" spans="1:2" x14ac:dyDescent="0.3">
      <c r="A7" s="1">
        <v>0.11</v>
      </c>
      <c r="B7" s="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56BA-D9EB-4E90-AF1E-28BABDF33B05}">
  <sheetPr codeName="Hoja5"/>
  <dimension ref="A1:F259"/>
  <sheetViews>
    <sheetView topLeftCell="A238" zoomScale="115" zoomScaleNormal="115" workbookViewId="0">
      <selection activeCell="A259" sqref="A259"/>
    </sheetView>
  </sheetViews>
  <sheetFormatPr baseColWidth="10" defaultColWidth="10.88671875" defaultRowHeight="21" customHeight="1" x14ac:dyDescent="0.3"/>
  <cols>
    <col min="1" max="1" width="33.44140625" style="78" customWidth="1"/>
    <col min="2" max="2" width="12.44140625" style="15" customWidth="1"/>
    <col min="3" max="3" width="9.5546875" style="15" customWidth="1"/>
    <col min="4" max="4" width="11.109375" style="15" customWidth="1"/>
    <col min="5" max="5" width="33.5546875" style="15" customWidth="1"/>
    <col min="6" max="6" width="27.5546875" style="15" customWidth="1"/>
    <col min="7" max="16384" width="10.88671875" style="15"/>
  </cols>
  <sheetData>
    <row r="1" spans="1:6" s="14" customFormat="1" ht="28.8" x14ac:dyDescent="0.3">
      <c r="A1" s="79" t="s">
        <v>3</v>
      </c>
      <c r="B1" s="43" t="s">
        <v>126</v>
      </c>
      <c r="C1" s="43" t="s">
        <v>29</v>
      </c>
      <c r="D1" s="43" t="s">
        <v>127</v>
      </c>
      <c r="E1" s="45" t="s">
        <v>128</v>
      </c>
      <c r="F1" s="44" t="s">
        <v>133</v>
      </c>
    </row>
    <row r="2" spans="1:6" ht="21" customHeight="1" x14ac:dyDescent="0.3">
      <c r="A2" s="79" t="s">
        <v>65</v>
      </c>
      <c r="B2" s="46">
        <v>30</v>
      </c>
      <c r="C2" s="47">
        <v>0.19</v>
      </c>
      <c r="D2" s="47">
        <v>2.5000000000000001E-2</v>
      </c>
      <c r="E2" s="45" t="s">
        <v>146</v>
      </c>
      <c r="F2" s="45"/>
    </row>
    <row r="3" spans="1:6" ht="21" customHeight="1" x14ac:dyDescent="0.3">
      <c r="A3" s="79" t="s">
        <v>1182</v>
      </c>
      <c r="B3" s="46">
        <v>30</v>
      </c>
      <c r="C3" s="47">
        <v>0</v>
      </c>
      <c r="D3" s="47">
        <v>0</v>
      </c>
      <c r="E3" s="45" t="s">
        <v>146</v>
      </c>
      <c r="F3" s="45"/>
    </row>
    <row r="4" spans="1:6" ht="21" customHeight="1" x14ac:dyDescent="0.3">
      <c r="A4" s="79" t="s">
        <v>986</v>
      </c>
      <c r="B4" s="46">
        <v>30</v>
      </c>
      <c r="C4" s="47">
        <v>0</v>
      </c>
      <c r="D4" s="47">
        <v>0</v>
      </c>
      <c r="E4" s="82" t="s">
        <v>955</v>
      </c>
      <c r="F4" s="45" t="s">
        <v>954</v>
      </c>
    </row>
    <row r="5" spans="1:6" ht="21" customHeight="1" x14ac:dyDescent="0.3">
      <c r="A5" s="79" t="s">
        <v>1183</v>
      </c>
      <c r="B5" s="46">
        <v>30</v>
      </c>
      <c r="C5" s="47">
        <v>0</v>
      </c>
      <c r="D5" s="47">
        <v>0</v>
      </c>
      <c r="E5" s="45" t="s">
        <v>146</v>
      </c>
      <c r="F5" s="45"/>
    </row>
    <row r="6" spans="1:6" ht="21" customHeight="1" x14ac:dyDescent="0.3">
      <c r="A6" s="79" t="s">
        <v>988</v>
      </c>
      <c r="B6" s="46">
        <v>30</v>
      </c>
      <c r="C6" s="47">
        <v>0</v>
      </c>
      <c r="D6" s="47">
        <v>0</v>
      </c>
      <c r="E6" s="45" t="s">
        <v>987</v>
      </c>
      <c r="F6" s="45"/>
    </row>
    <row r="7" spans="1:6" ht="21" customHeight="1" x14ac:dyDescent="0.3">
      <c r="A7" s="79" t="s">
        <v>1184</v>
      </c>
      <c r="B7" s="46">
        <v>30</v>
      </c>
      <c r="C7" s="47">
        <v>0</v>
      </c>
      <c r="D7" s="47">
        <v>0</v>
      </c>
      <c r="E7" s="45" t="s">
        <v>146</v>
      </c>
      <c r="F7" s="45"/>
    </row>
    <row r="8" spans="1:6" ht="21" customHeight="1" x14ac:dyDescent="0.3">
      <c r="A8" s="79" t="s">
        <v>992</v>
      </c>
      <c r="B8" s="46">
        <v>30</v>
      </c>
      <c r="C8" s="47">
        <v>0</v>
      </c>
      <c r="D8" s="47">
        <v>0</v>
      </c>
      <c r="E8" s="45" t="s">
        <v>146</v>
      </c>
      <c r="F8" s="45"/>
    </row>
    <row r="9" spans="1:6" ht="21" customHeight="1" x14ac:dyDescent="0.3">
      <c r="A9" s="79" t="s">
        <v>993</v>
      </c>
      <c r="B9" s="46">
        <v>0</v>
      </c>
      <c r="C9" s="47">
        <v>0</v>
      </c>
      <c r="D9" s="47">
        <v>0</v>
      </c>
      <c r="E9" s="45"/>
      <c r="F9" s="45"/>
    </row>
    <row r="10" spans="1:6" ht="21" customHeight="1" x14ac:dyDescent="0.3">
      <c r="A10" s="79" t="s">
        <v>994</v>
      </c>
      <c r="B10" s="46">
        <v>30</v>
      </c>
      <c r="C10" s="47">
        <v>0</v>
      </c>
      <c r="D10" s="47">
        <v>0</v>
      </c>
      <c r="E10" s="45"/>
      <c r="F10" s="45"/>
    </row>
    <row r="11" spans="1:6" ht="21" customHeight="1" x14ac:dyDescent="0.3">
      <c r="A11" s="79" t="s">
        <v>995</v>
      </c>
      <c r="B11" s="46">
        <v>30</v>
      </c>
      <c r="C11" s="47">
        <v>0</v>
      </c>
      <c r="D11" s="47">
        <v>0</v>
      </c>
      <c r="E11" s="45"/>
      <c r="F11" s="45"/>
    </row>
    <row r="12" spans="1:6" ht="21" customHeight="1" x14ac:dyDescent="0.3">
      <c r="A12" s="79" t="s">
        <v>996</v>
      </c>
      <c r="B12" s="46">
        <v>30</v>
      </c>
      <c r="C12" s="47">
        <v>0</v>
      </c>
      <c r="D12" s="47">
        <v>0</v>
      </c>
      <c r="E12" s="45" t="s">
        <v>146</v>
      </c>
      <c r="F12" s="45"/>
    </row>
    <row r="13" spans="1:6" ht="21" customHeight="1" x14ac:dyDescent="0.3">
      <c r="A13" s="79" t="s">
        <v>1000</v>
      </c>
      <c r="B13" s="46">
        <v>30</v>
      </c>
      <c r="C13" s="47">
        <v>0</v>
      </c>
      <c r="D13" s="47">
        <v>0</v>
      </c>
      <c r="E13" s="83" t="s">
        <v>1276</v>
      </c>
      <c r="F13" s="45"/>
    </row>
    <row r="14" spans="1:6" ht="21" customHeight="1" x14ac:dyDescent="0.3">
      <c r="A14" s="79" t="s">
        <v>1185</v>
      </c>
      <c r="B14" s="46">
        <v>30</v>
      </c>
      <c r="C14" s="47">
        <v>0</v>
      </c>
      <c r="D14" s="47">
        <v>0</v>
      </c>
      <c r="E14" s="45" t="s">
        <v>146</v>
      </c>
      <c r="F14" s="45"/>
    </row>
    <row r="15" spans="1:6" ht="21" customHeight="1" x14ac:dyDescent="0.3">
      <c r="A15" s="79" t="s">
        <v>1003</v>
      </c>
      <c r="B15" s="46">
        <v>30</v>
      </c>
      <c r="C15" s="47">
        <v>0</v>
      </c>
      <c r="D15" s="47">
        <v>0</v>
      </c>
      <c r="E15" s="45" t="s">
        <v>146</v>
      </c>
      <c r="F15" s="45"/>
    </row>
    <row r="16" spans="1:6" ht="21" customHeight="1" x14ac:dyDescent="0.3">
      <c r="A16" s="79" t="s">
        <v>1186</v>
      </c>
      <c r="B16" s="46">
        <v>30</v>
      </c>
      <c r="C16" s="47">
        <v>0</v>
      </c>
      <c r="D16" s="47">
        <v>0</v>
      </c>
      <c r="E16" s="45" t="s">
        <v>146</v>
      </c>
      <c r="F16" s="45"/>
    </row>
    <row r="17" spans="1:6" ht="21" customHeight="1" x14ac:dyDescent="0.3">
      <c r="A17" s="79" t="s">
        <v>1187</v>
      </c>
      <c r="B17" s="46">
        <v>30</v>
      </c>
      <c r="C17" s="47">
        <v>0</v>
      </c>
      <c r="D17" s="47">
        <v>0</v>
      </c>
      <c r="E17" s="45" t="s">
        <v>146</v>
      </c>
      <c r="F17" s="45"/>
    </row>
    <row r="18" spans="1:6" ht="21" customHeight="1" x14ac:dyDescent="0.3">
      <c r="A18" s="79" t="s">
        <v>1006</v>
      </c>
      <c r="B18" s="46">
        <v>10</v>
      </c>
      <c r="C18" s="47">
        <v>0</v>
      </c>
      <c r="D18" s="47">
        <v>0</v>
      </c>
      <c r="E18" s="45" t="s">
        <v>960</v>
      </c>
      <c r="F18" s="45"/>
    </row>
    <row r="19" spans="1:6" ht="21" customHeight="1" x14ac:dyDescent="0.3">
      <c r="A19" s="79" t="s">
        <v>1007</v>
      </c>
      <c r="B19" s="46">
        <v>30</v>
      </c>
      <c r="C19" s="47">
        <v>0</v>
      </c>
      <c r="D19" s="47">
        <v>0</v>
      </c>
      <c r="E19" s="45" t="s">
        <v>146</v>
      </c>
      <c r="F19" s="45"/>
    </row>
    <row r="20" spans="1:6" ht="21" customHeight="1" x14ac:dyDescent="0.3">
      <c r="A20" s="79" t="s">
        <v>1014</v>
      </c>
      <c r="B20" s="46">
        <v>30</v>
      </c>
      <c r="C20" s="47">
        <v>0</v>
      </c>
      <c r="D20" s="47">
        <v>0</v>
      </c>
      <c r="E20" s="45"/>
      <c r="F20" s="45"/>
    </row>
    <row r="21" spans="1:6" ht="21" customHeight="1" x14ac:dyDescent="0.3">
      <c r="A21" s="79" t="s">
        <v>1016</v>
      </c>
      <c r="B21" s="46">
        <v>30</v>
      </c>
      <c r="C21" s="47">
        <v>0</v>
      </c>
      <c r="D21" s="47">
        <v>0</v>
      </c>
      <c r="E21" s="82" t="s">
        <v>146</v>
      </c>
      <c r="F21" s="45"/>
    </row>
    <row r="22" spans="1:6" ht="21" customHeight="1" x14ac:dyDescent="0.3">
      <c r="A22" s="79" t="s">
        <v>1188</v>
      </c>
      <c r="B22" s="46">
        <v>30</v>
      </c>
      <c r="C22" s="47">
        <v>0</v>
      </c>
      <c r="D22" s="47">
        <v>0</v>
      </c>
      <c r="E22" s="45" t="s">
        <v>257</v>
      </c>
      <c r="F22" s="45"/>
    </row>
    <row r="23" spans="1:6" ht="21" customHeight="1" x14ac:dyDescent="0.3">
      <c r="A23" s="79" t="s">
        <v>1018</v>
      </c>
      <c r="B23" s="46">
        <v>30</v>
      </c>
      <c r="C23" s="47">
        <v>0</v>
      </c>
      <c r="D23" s="47">
        <v>0</v>
      </c>
      <c r="E23" s="45" t="s">
        <v>475</v>
      </c>
      <c r="F23" s="45"/>
    </row>
    <row r="24" spans="1:6" ht="21" customHeight="1" x14ac:dyDescent="0.3">
      <c r="A24" s="79" t="s">
        <v>1019</v>
      </c>
      <c r="B24" s="46">
        <v>30</v>
      </c>
      <c r="C24" s="47">
        <v>0</v>
      </c>
      <c r="D24" s="47">
        <v>0</v>
      </c>
      <c r="E24" s="45"/>
      <c r="F24" s="45"/>
    </row>
    <row r="25" spans="1:6" ht="21" customHeight="1" x14ac:dyDescent="0.3">
      <c r="A25" s="79" t="s">
        <v>1020</v>
      </c>
      <c r="B25" s="46">
        <v>30</v>
      </c>
      <c r="C25" s="47">
        <v>0</v>
      </c>
      <c r="D25" s="47">
        <v>0</v>
      </c>
      <c r="E25" s="45"/>
      <c r="F25" s="45"/>
    </row>
    <row r="26" spans="1:6" ht="21" customHeight="1" x14ac:dyDescent="0.3">
      <c r="A26" s="79" t="s">
        <v>1021</v>
      </c>
      <c r="B26" s="46">
        <v>30</v>
      </c>
      <c r="C26" s="47">
        <v>0</v>
      </c>
      <c r="D26" s="47">
        <v>0</v>
      </c>
      <c r="E26" s="45"/>
      <c r="F26" s="45"/>
    </row>
    <row r="27" spans="1:6" ht="21" customHeight="1" x14ac:dyDescent="0.3">
      <c r="A27" s="79" t="s">
        <v>1024</v>
      </c>
      <c r="B27" s="46">
        <v>90</v>
      </c>
      <c r="C27" s="47">
        <v>0</v>
      </c>
      <c r="D27" s="47">
        <v>0</v>
      </c>
      <c r="E27" s="45" t="s">
        <v>146</v>
      </c>
      <c r="F27" s="45"/>
    </row>
    <row r="28" spans="1:6" ht="21" customHeight="1" x14ac:dyDescent="0.3">
      <c r="A28" s="79" t="s">
        <v>1027</v>
      </c>
      <c r="B28" s="46">
        <v>30</v>
      </c>
      <c r="C28" s="47">
        <v>0</v>
      </c>
      <c r="D28" s="47">
        <v>0</v>
      </c>
      <c r="E28" s="45" t="s">
        <v>146</v>
      </c>
      <c r="F28" s="45"/>
    </row>
    <row r="29" spans="1:6" ht="21" customHeight="1" x14ac:dyDescent="0.3">
      <c r="A29" s="79" t="s">
        <v>1189</v>
      </c>
      <c r="B29" s="46">
        <v>30</v>
      </c>
      <c r="C29" s="47">
        <v>0</v>
      </c>
      <c r="D29" s="47">
        <v>0</v>
      </c>
      <c r="E29" s="45" t="s">
        <v>146</v>
      </c>
      <c r="F29" s="45" t="s">
        <v>176</v>
      </c>
    </row>
    <row r="30" spans="1:6" ht="21" customHeight="1" x14ac:dyDescent="0.3">
      <c r="A30" s="79" t="s">
        <v>1190</v>
      </c>
      <c r="B30" s="46">
        <v>30</v>
      </c>
      <c r="C30" s="47">
        <v>0</v>
      </c>
      <c r="D30" s="47">
        <v>0</v>
      </c>
      <c r="E30" s="45"/>
      <c r="F30" s="45"/>
    </row>
    <row r="31" spans="1:6" ht="21" customHeight="1" x14ac:dyDescent="0.3">
      <c r="A31" s="79" t="s">
        <v>1191</v>
      </c>
      <c r="B31" s="46">
        <v>30</v>
      </c>
      <c r="C31" s="47">
        <v>0</v>
      </c>
      <c r="D31" s="47">
        <v>0</v>
      </c>
      <c r="E31" s="45" t="s">
        <v>146</v>
      </c>
      <c r="F31" s="45"/>
    </row>
    <row r="32" spans="1:6" ht="21" customHeight="1" x14ac:dyDescent="0.3">
      <c r="A32" s="79" t="s">
        <v>1192</v>
      </c>
      <c r="B32" s="46">
        <v>30</v>
      </c>
      <c r="C32" s="47">
        <v>0</v>
      </c>
      <c r="D32" s="47">
        <v>0</v>
      </c>
      <c r="E32" s="45" t="s">
        <v>146</v>
      </c>
      <c r="F32" s="45"/>
    </row>
    <row r="33" spans="1:6" ht="21" customHeight="1" x14ac:dyDescent="0.3">
      <c r="A33" s="79" t="s">
        <v>1193</v>
      </c>
      <c r="B33" s="46">
        <v>30</v>
      </c>
      <c r="C33" s="47">
        <v>0</v>
      </c>
      <c r="D33" s="47">
        <v>0</v>
      </c>
      <c r="E33" s="45" t="s">
        <v>146</v>
      </c>
      <c r="F33" s="45"/>
    </row>
    <row r="34" spans="1:6" ht="21" customHeight="1" x14ac:dyDescent="0.3">
      <c r="A34" s="79" t="s">
        <v>1031</v>
      </c>
      <c r="B34" s="46">
        <v>10</v>
      </c>
      <c r="C34" s="47">
        <v>0</v>
      </c>
      <c r="D34" s="47">
        <v>0</v>
      </c>
      <c r="E34" s="45" t="s">
        <v>963</v>
      </c>
      <c r="F34" s="45"/>
    </row>
    <row r="35" spans="1:6" ht="21" customHeight="1" x14ac:dyDescent="0.3">
      <c r="A35" s="79" t="s">
        <v>1032</v>
      </c>
      <c r="B35" s="46">
        <v>30</v>
      </c>
      <c r="C35" s="47">
        <v>0</v>
      </c>
      <c r="D35" s="47">
        <v>0</v>
      </c>
      <c r="E35" s="45" t="s">
        <v>550</v>
      </c>
      <c r="F35" s="45"/>
    </row>
    <row r="36" spans="1:6" ht="21" customHeight="1" x14ac:dyDescent="0.3">
      <c r="A36" s="79" t="s">
        <v>1194</v>
      </c>
      <c r="B36" s="46">
        <v>90</v>
      </c>
      <c r="C36" s="47">
        <v>0</v>
      </c>
      <c r="D36" s="47">
        <v>0</v>
      </c>
      <c r="E36" s="45" t="s">
        <v>146</v>
      </c>
      <c r="F36" s="45"/>
    </row>
    <row r="37" spans="1:6" ht="21" customHeight="1" x14ac:dyDescent="0.3">
      <c r="A37" s="79" t="s">
        <v>1034</v>
      </c>
      <c r="B37" s="46">
        <v>30</v>
      </c>
      <c r="C37" s="47">
        <v>0</v>
      </c>
      <c r="D37" s="47">
        <v>0</v>
      </c>
      <c r="E37" s="45"/>
      <c r="F37" s="45"/>
    </row>
    <row r="38" spans="1:6" ht="21" customHeight="1" x14ac:dyDescent="0.3">
      <c r="A38" s="79" t="s">
        <v>1036</v>
      </c>
      <c r="B38" s="46">
        <v>60</v>
      </c>
      <c r="C38" s="47">
        <v>0</v>
      </c>
      <c r="D38" s="47">
        <v>0</v>
      </c>
      <c r="E38" s="45" t="s">
        <v>1035</v>
      </c>
      <c r="F38" s="45"/>
    </row>
    <row r="39" spans="1:6" ht="21" customHeight="1" x14ac:dyDescent="0.3">
      <c r="A39" s="79" t="s">
        <v>1037</v>
      </c>
      <c r="B39" s="46">
        <v>30</v>
      </c>
      <c r="C39" s="47">
        <v>0</v>
      </c>
      <c r="D39" s="47">
        <v>0</v>
      </c>
      <c r="E39" s="45" t="s">
        <v>146</v>
      </c>
      <c r="F39" s="45"/>
    </row>
    <row r="40" spans="1:6" ht="21" customHeight="1" x14ac:dyDescent="0.3">
      <c r="A40" s="79" t="s">
        <v>1195</v>
      </c>
      <c r="B40" s="46">
        <v>30</v>
      </c>
      <c r="C40" s="47">
        <v>0</v>
      </c>
      <c r="D40" s="47">
        <v>0</v>
      </c>
      <c r="E40" s="45"/>
      <c r="F40" s="45"/>
    </row>
    <row r="41" spans="1:6" ht="21" customHeight="1" x14ac:dyDescent="0.3">
      <c r="A41" s="79" t="s">
        <v>1042</v>
      </c>
      <c r="B41" s="46">
        <v>30</v>
      </c>
      <c r="C41" s="47">
        <v>0</v>
      </c>
      <c r="D41" s="47">
        <v>0</v>
      </c>
      <c r="E41" s="45" t="s">
        <v>146</v>
      </c>
      <c r="F41" s="45"/>
    </row>
    <row r="42" spans="1:6" ht="21" customHeight="1" x14ac:dyDescent="0.3">
      <c r="A42" s="79" t="s">
        <v>1043</v>
      </c>
      <c r="B42" s="46">
        <v>30</v>
      </c>
      <c r="C42" s="47">
        <v>0</v>
      </c>
      <c r="D42" s="47">
        <v>0</v>
      </c>
      <c r="E42" s="45" t="s">
        <v>146</v>
      </c>
      <c r="F42" s="45"/>
    </row>
    <row r="43" spans="1:6" ht="21" customHeight="1" x14ac:dyDescent="0.3">
      <c r="A43" s="79" t="s">
        <v>1196</v>
      </c>
      <c r="B43" s="46">
        <v>30</v>
      </c>
      <c r="C43" s="47">
        <v>0</v>
      </c>
      <c r="D43" s="47">
        <v>0</v>
      </c>
      <c r="E43" s="45" t="s">
        <v>268</v>
      </c>
      <c r="F43" s="45" t="s">
        <v>173</v>
      </c>
    </row>
    <row r="44" spans="1:6" ht="21" customHeight="1" x14ac:dyDescent="0.3">
      <c r="A44" s="79" t="s">
        <v>1045</v>
      </c>
      <c r="B44" s="46">
        <v>30</v>
      </c>
      <c r="C44" s="47">
        <v>0</v>
      </c>
      <c r="D44" s="47">
        <v>0</v>
      </c>
      <c r="E44" s="45"/>
      <c r="F44" s="45"/>
    </row>
    <row r="45" spans="1:6" ht="21" customHeight="1" x14ac:dyDescent="0.3">
      <c r="A45" s="79" t="s">
        <v>1046</v>
      </c>
      <c r="B45" s="46">
        <v>30</v>
      </c>
      <c r="C45" s="47">
        <v>0</v>
      </c>
      <c r="D45" s="47">
        <v>0</v>
      </c>
      <c r="E45" s="45" t="s">
        <v>258</v>
      </c>
      <c r="F45" s="43"/>
    </row>
    <row r="46" spans="1:6" ht="21" customHeight="1" x14ac:dyDescent="0.3">
      <c r="A46" s="79" t="s">
        <v>1047</v>
      </c>
      <c r="B46" s="46">
        <v>30</v>
      </c>
      <c r="C46" s="47">
        <v>0</v>
      </c>
      <c r="D46" s="47">
        <v>0</v>
      </c>
      <c r="E46" s="45"/>
      <c r="F46" s="45"/>
    </row>
    <row r="47" spans="1:6" ht="21" customHeight="1" x14ac:dyDescent="0.3">
      <c r="A47" s="79" t="s">
        <v>1048</v>
      </c>
      <c r="B47" s="46">
        <v>30</v>
      </c>
      <c r="C47" s="47">
        <v>0</v>
      </c>
      <c r="D47" s="47">
        <v>0</v>
      </c>
      <c r="E47" s="45" t="s">
        <v>532</v>
      </c>
      <c r="F47" s="45" t="s">
        <v>206</v>
      </c>
    </row>
    <row r="48" spans="1:6" ht="21" customHeight="1" x14ac:dyDescent="0.3">
      <c r="A48" s="79" t="s">
        <v>1197</v>
      </c>
      <c r="B48" s="46">
        <v>30</v>
      </c>
      <c r="C48" s="47">
        <v>0</v>
      </c>
      <c r="D48" s="47">
        <v>0</v>
      </c>
      <c r="E48" s="45" t="s">
        <v>146</v>
      </c>
      <c r="F48" s="45"/>
    </row>
    <row r="49" spans="1:6" ht="21" customHeight="1" x14ac:dyDescent="0.3">
      <c r="A49" s="79" t="s">
        <v>1049</v>
      </c>
      <c r="B49" s="46">
        <v>30</v>
      </c>
      <c r="C49" s="47">
        <v>0</v>
      </c>
      <c r="D49" s="47">
        <v>0</v>
      </c>
      <c r="E49" s="45" t="s">
        <v>146</v>
      </c>
      <c r="F49" s="45"/>
    </row>
    <row r="50" spans="1:6" ht="21" customHeight="1" x14ac:dyDescent="0.3">
      <c r="A50" s="79" t="s">
        <v>1198</v>
      </c>
      <c r="B50" s="46">
        <v>30</v>
      </c>
      <c r="C50" s="47">
        <v>0</v>
      </c>
      <c r="D50" s="47">
        <v>0</v>
      </c>
      <c r="E50" s="45" t="s">
        <v>146</v>
      </c>
      <c r="F50" s="45"/>
    </row>
    <row r="51" spans="1:6" ht="21" customHeight="1" x14ac:dyDescent="0.3">
      <c r="A51" s="79" t="s">
        <v>1051</v>
      </c>
      <c r="B51" s="46">
        <v>20</v>
      </c>
      <c r="C51" s="47">
        <v>0</v>
      </c>
      <c r="D51" s="47">
        <v>0</v>
      </c>
      <c r="E51" s="45"/>
      <c r="F51" s="45"/>
    </row>
    <row r="52" spans="1:6" ht="21" customHeight="1" x14ac:dyDescent="0.3">
      <c r="A52" s="79" t="s">
        <v>1199</v>
      </c>
      <c r="B52" s="46">
        <v>30</v>
      </c>
      <c r="C52" s="47">
        <v>0</v>
      </c>
      <c r="D52" s="47">
        <v>0</v>
      </c>
      <c r="E52" s="45" t="s">
        <v>146</v>
      </c>
      <c r="F52" s="45"/>
    </row>
    <row r="53" spans="1:6" ht="21" customHeight="1" x14ac:dyDescent="0.3">
      <c r="A53" s="79" t="s">
        <v>1200</v>
      </c>
      <c r="B53" s="46">
        <v>30</v>
      </c>
      <c r="C53" s="47">
        <v>0</v>
      </c>
      <c r="D53" s="47">
        <v>0</v>
      </c>
      <c r="E53" s="45" t="s">
        <v>146</v>
      </c>
      <c r="F53" s="45"/>
    </row>
    <row r="54" spans="1:6" ht="21" customHeight="1" x14ac:dyDescent="0.3">
      <c r="A54" s="79" t="s">
        <v>1201</v>
      </c>
      <c r="B54" s="46">
        <v>30</v>
      </c>
      <c r="C54" s="47">
        <v>0</v>
      </c>
      <c r="D54" s="47">
        <v>0</v>
      </c>
      <c r="E54" s="45" t="s">
        <v>146</v>
      </c>
      <c r="F54" s="45"/>
    </row>
    <row r="55" spans="1:6" ht="21" customHeight="1" x14ac:dyDescent="0.3">
      <c r="A55" s="79" t="s">
        <v>1202</v>
      </c>
      <c r="B55" s="46">
        <v>30</v>
      </c>
      <c r="C55" s="47">
        <v>0</v>
      </c>
      <c r="D55" s="47">
        <v>0</v>
      </c>
      <c r="E55" s="45" t="s">
        <v>146</v>
      </c>
      <c r="F55" s="45"/>
    </row>
    <row r="56" spans="1:6" ht="21" customHeight="1" x14ac:dyDescent="0.3">
      <c r="A56" s="79" t="s">
        <v>1052</v>
      </c>
      <c r="B56" s="46">
        <v>30</v>
      </c>
      <c r="C56" s="47">
        <v>0</v>
      </c>
      <c r="D56" s="47">
        <v>0</v>
      </c>
      <c r="E56" s="45" t="s">
        <v>146</v>
      </c>
      <c r="F56" s="45"/>
    </row>
    <row r="57" spans="1:6" ht="21" customHeight="1" x14ac:dyDescent="0.3">
      <c r="A57" s="79" t="s">
        <v>1053</v>
      </c>
      <c r="B57" s="46">
        <v>30</v>
      </c>
      <c r="C57" s="47">
        <v>0</v>
      </c>
      <c r="D57" s="47">
        <v>0</v>
      </c>
      <c r="E57" s="45" t="s">
        <v>146</v>
      </c>
      <c r="F57" s="45"/>
    </row>
    <row r="58" spans="1:6" ht="21" customHeight="1" x14ac:dyDescent="0.3">
      <c r="A58" s="79" t="s">
        <v>1057</v>
      </c>
      <c r="B58" s="46">
        <v>30</v>
      </c>
      <c r="C58" s="47">
        <v>0</v>
      </c>
      <c r="D58" s="47">
        <v>0</v>
      </c>
      <c r="E58" s="45" t="s">
        <v>483</v>
      </c>
      <c r="F58" s="45"/>
    </row>
    <row r="59" spans="1:6" ht="21" customHeight="1" x14ac:dyDescent="0.3">
      <c r="A59" s="79" t="s">
        <v>1059</v>
      </c>
      <c r="B59" s="46">
        <v>30</v>
      </c>
      <c r="C59" s="47">
        <v>0</v>
      </c>
      <c r="D59" s="47">
        <v>0</v>
      </c>
      <c r="E59" s="45"/>
      <c r="F59" s="45"/>
    </row>
    <row r="60" spans="1:6" ht="21" customHeight="1" x14ac:dyDescent="0.3">
      <c r="A60" s="79" t="s">
        <v>1203</v>
      </c>
      <c r="B60" s="46">
        <v>30</v>
      </c>
      <c r="C60" s="47">
        <v>0</v>
      </c>
      <c r="D60" s="47">
        <v>0</v>
      </c>
      <c r="E60" s="45" t="s">
        <v>146</v>
      </c>
      <c r="F60" s="45"/>
    </row>
    <row r="61" spans="1:6" ht="21" customHeight="1" x14ac:dyDescent="0.3">
      <c r="A61" s="79" t="s">
        <v>1060</v>
      </c>
      <c r="B61" s="46">
        <v>30</v>
      </c>
      <c r="C61" s="47">
        <v>0</v>
      </c>
      <c r="D61" s="47">
        <v>0</v>
      </c>
      <c r="E61" s="45" t="s">
        <v>146</v>
      </c>
      <c r="F61" s="45" t="s">
        <v>181</v>
      </c>
    </row>
    <row r="62" spans="1:6" ht="21" customHeight="1" x14ac:dyDescent="0.3">
      <c r="A62" s="79" t="s">
        <v>1204</v>
      </c>
      <c r="B62" s="46">
        <v>30</v>
      </c>
      <c r="C62" s="47">
        <v>0</v>
      </c>
      <c r="D62" s="47">
        <v>0</v>
      </c>
      <c r="E62" s="45" t="s">
        <v>146</v>
      </c>
      <c r="F62" s="45"/>
    </row>
    <row r="63" spans="1:6" ht="21" customHeight="1" x14ac:dyDescent="0.3">
      <c r="A63" s="79" t="s">
        <v>1063</v>
      </c>
      <c r="B63" s="46">
        <v>30</v>
      </c>
      <c r="C63" s="47">
        <v>0</v>
      </c>
      <c r="D63" s="47">
        <v>0</v>
      </c>
      <c r="E63" s="45" t="s">
        <v>146</v>
      </c>
      <c r="F63" s="45"/>
    </row>
    <row r="64" spans="1:6" ht="21" customHeight="1" x14ac:dyDescent="0.3">
      <c r="A64" s="79" t="s">
        <v>1205</v>
      </c>
      <c r="B64" s="46">
        <v>30</v>
      </c>
      <c r="C64" s="47">
        <v>0</v>
      </c>
      <c r="D64" s="47">
        <v>0</v>
      </c>
      <c r="E64" s="45" t="s">
        <v>146</v>
      </c>
      <c r="F64" s="45"/>
    </row>
    <row r="65" spans="1:6" ht="21" customHeight="1" x14ac:dyDescent="0.3">
      <c r="A65" s="79" t="s">
        <v>1066</v>
      </c>
      <c r="B65" s="46">
        <v>30</v>
      </c>
      <c r="C65" s="47">
        <v>0</v>
      </c>
      <c r="D65" s="47">
        <v>0</v>
      </c>
      <c r="E65" s="45" t="s">
        <v>146</v>
      </c>
      <c r="F65" s="45"/>
    </row>
    <row r="66" spans="1:6" ht="21" customHeight="1" x14ac:dyDescent="0.3">
      <c r="A66" s="79" t="s">
        <v>1206</v>
      </c>
      <c r="B66" s="46">
        <v>30</v>
      </c>
      <c r="C66" s="47">
        <v>0</v>
      </c>
      <c r="D66" s="47">
        <v>0</v>
      </c>
      <c r="E66" s="45" t="s">
        <v>146</v>
      </c>
      <c r="F66" s="45"/>
    </row>
    <row r="67" spans="1:6" ht="21" customHeight="1" x14ac:dyDescent="0.3">
      <c r="A67" s="79" t="s">
        <v>1067</v>
      </c>
      <c r="B67" s="46">
        <v>30</v>
      </c>
      <c r="C67" s="47">
        <v>0</v>
      </c>
      <c r="D67" s="47">
        <v>0</v>
      </c>
      <c r="E67" s="45" t="s">
        <v>146</v>
      </c>
      <c r="F67" s="45"/>
    </row>
    <row r="68" spans="1:6" ht="21" customHeight="1" x14ac:dyDescent="0.3">
      <c r="A68" s="79" t="s">
        <v>1207</v>
      </c>
      <c r="B68" s="46">
        <v>30</v>
      </c>
      <c r="C68" s="47">
        <v>0</v>
      </c>
      <c r="D68" s="47">
        <v>0</v>
      </c>
      <c r="E68" s="45" t="s">
        <v>146</v>
      </c>
      <c r="F68" s="45"/>
    </row>
    <row r="69" spans="1:6" ht="21" customHeight="1" x14ac:dyDescent="0.3">
      <c r="A69" s="79" t="s">
        <v>1208</v>
      </c>
      <c r="B69" s="46">
        <v>30</v>
      </c>
      <c r="C69" s="47">
        <v>0</v>
      </c>
      <c r="D69" s="47">
        <v>0</v>
      </c>
      <c r="E69" s="45" t="s">
        <v>146</v>
      </c>
      <c r="F69" s="45"/>
    </row>
    <row r="70" spans="1:6" ht="21" customHeight="1" x14ac:dyDescent="0.3">
      <c r="A70" s="79" t="s">
        <v>1068</v>
      </c>
      <c r="B70" s="46">
        <v>30</v>
      </c>
      <c r="C70" s="47">
        <v>0</v>
      </c>
      <c r="D70" s="47">
        <v>0</v>
      </c>
      <c r="E70" s="45" t="s">
        <v>306</v>
      </c>
      <c r="F70" s="45"/>
    </row>
    <row r="71" spans="1:6" ht="21" customHeight="1" x14ac:dyDescent="0.3">
      <c r="A71" s="79" t="s">
        <v>1209</v>
      </c>
      <c r="B71" s="46">
        <v>30</v>
      </c>
      <c r="C71" s="47">
        <v>0</v>
      </c>
      <c r="D71" s="47">
        <v>0</v>
      </c>
      <c r="E71" s="45" t="s">
        <v>146</v>
      </c>
      <c r="F71" s="45"/>
    </row>
    <row r="72" spans="1:6" ht="21" customHeight="1" x14ac:dyDescent="0.3">
      <c r="A72" s="79" t="s">
        <v>1070</v>
      </c>
      <c r="B72" s="46">
        <v>30</v>
      </c>
      <c r="C72" s="47">
        <v>0</v>
      </c>
      <c r="D72" s="47">
        <v>0</v>
      </c>
      <c r="E72" s="45" t="s">
        <v>146</v>
      </c>
      <c r="F72" s="45"/>
    </row>
    <row r="73" spans="1:6" ht="21" customHeight="1" x14ac:dyDescent="0.3">
      <c r="A73" s="79" t="s">
        <v>1210</v>
      </c>
      <c r="B73" s="46">
        <v>30</v>
      </c>
      <c r="C73" s="47">
        <v>0</v>
      </c>
      <c r="D73" s="47">
        <v>0</v>
      </c>
      <c r="E73" s="45" t="s">
        <v>146</v>
      </c>
      <c r="F73" s="45"/>
    </row>
    <row r="74" spans="1:6" ht="21" customHeight="1" x14ac:dyDescent="0.3">
      <c r="A74" s="79" t="s">
        <v>1211</v>
      </c>
      <c r="B74" s="46">
        <v>30</v>
      </c>
      <c r="C74" s="47">
        <v>0</v>
      </c>
      <c r="D74" s="47">
        <v>0</v>
      </c>
      <c r="E74" s="45" t="s">
        <v>146</v>
      </c>
      <c r="F74" s="45"/>
    </row>
    <row r="75" spans="1:6" ht="21" customHeight="1" x14ac:dyDescent="0.3">
      <c r="A75" s="79" t="s">
        <v>1072</v>
      </c>
      <c r="B75" s="46">
        <v>30</v>
      </c>
      <c r="C75" s="47">
        <v>0</v>
      </c>
      <c r="D75" s="47">
        <v>0</v>
      </c>
      <c r="E75" s="45" t="s">
        <v>1071</v>
      </c>
      <c r="F75" s="45"/>
    </row>
    <row r="76" spans="1:6" ht="21" customHeight="1" x14ac:dyDescent="0.3">
      <c r="A76" s="79" t="s">
        <v>1212</v>
      </c>
      <c r="B76" s="46">
        <v>30</v>
      </c>
      <c r="C76" s="47">
        <v>0</v>
      </c>
      <c r="D76" s="47">
        <v>0</v>
      </c>
      <c r="E76" s="45" t="s">
        <v>146</v>
      </c>
      <c r="F76" s="45"/>
    </row>
    <row r="77" spans="1:6" ht="21" customHeight="1" x14ac:dyDescent="0.3">
      <c r="A77" s="79" t="s">
        <v>1213</v>
      </c>
      <c r="B77" s="46">
        <v>30</v>
      </c>
      <c r="C77" s="47">
        <v>0</v>
      </c>
      <c r="D77" s="47">
        <v>0</v>
      </c>
      <c r="E77" s="45" t="s">
        <v>146</v>
      </c>
      <c r="F77" s="45"/>
    </row>
    <row r="78" spans="1:6" ht="21" customHeight="1" x14ac:dyDescent="0.3">
      <c r="A78" s="79" t="s">
        <v>1075</v>
      </c>
      <c r="B78" s="46">
        <v>30</v>
      </c>
      <c r="C78" s="47">
        <v>0</v>
      </c>
      <c r="D78" s="47">
        <v>0</v>
      </c>
      <c r="E78" s="45" t="s">
        <v>146</v>
      </c>
      <c r="F78" s="45"/>
    </row>
    <row r="79" spans="1:6" ht="21" customHeight="1" x14ac:dyDescent="0.3">
      <c r="A79" s="79" t="s">
        <v>1077</v>
      </c>
      <c r="B79" s="46">
        <v>30</v>
      </c>
      <c r="C79" s="47">
        <v>0</v>
      </c>
      <c r="D79" s="47">
        <v>0</v>
      </c>
      <c r="E79" s="45" t="s">
        <v>454</v>
      </c>
      <c r="F79" s="45"/>
    </row>
    <row r="80" spans="1:6" ht="21" customHeight="1" x14ac:dyDescent="0.3">
      <c r="A80" s="79" t="s">
        <v>1078</v>
      </c>
      <c r="B80" s="46">
        <v>20</v>
      </c>
      <c r="C80" s="47">
        <v>0</v>
      </c>
      <c r="D80" s="47">
        <v>0</v>
      </c>
      <c r="E80" s="45"/>
      <c r="F80" s="45"/>
    </row>
    <row r="81" spans="1:6" ht="21" customHeight="1" x14ac:dyDescent="0.3">
      <c r="A81" s="79" t="s">
        <v>1214</v>
      </c>
      <c r="B81" s="46">
        <v>30</v>
      </c>
      <c r="C81" s="47">
        <v>0</v>
      </c>
      <c r="D81" s="47">
        <v>0</v>
      </c>
      <c r="E81" s="45" t="s">
        <v>146</v>
      </c>
      <c r="F81" s="45"/>
    </row>
    <row r="82" spans="1:6" ht="21" customHeight="1" x14ac:dyDescent="0.3">
      <c r="A82" s="79" t="s">
        <v>1215</v>
      </c>
      <c r="B82" s="46">
        <v>30</v>
      </c>
      <c r="C82" s="47">
        <v>0</v>
      </c>
      <c r="D82" s="47">
        <v>0</v>
      </c>
      <c r="E82" s="45" t="s">
        <v>146</v>
      </c>
      <c r="F82" s="45"/>
    </row>
    <row r="83" spans="1:6" ht="21" customHeight="1" x14ac:dyDescent="0.3">
      <c r="A83" s="79" t="s">
        <v>1080</v>
      </c>
      <c r="B83" s="46">
        <v>30</v>
      </c>
      <c r="C83" s="47">
        <v>0</v>
      </c>
      <c r="D83" s="47">
        <v>0</v>
      </c>
      <c r="E83" s="45"/>
      <c r="F83" s="45"/>
    </row>
    <row r="84" spans="1:6" ht="21" customHeight="1" x14ac:dyDescent="0.3">
      <c r="A84" s="79" t="s">
        <v>1081</v>
      </c>
      <c r="B84" s="46">
        <v>30</v>
      </c>
      <c r="C84" s="47">
        <v>0</v>
      </c>
      <c r="D84" s="47">
        <v>0</v>
      </c>
      <c r="E84" s="45" t="s">
        <v>146</v>
      </c>
      <c r="F84" s="45"/>
    </row>
    <row r="85" spans="1:6" ht="21" customHeight="1" x14ac:dyDescent="0.3">
      <c r="A85" s="79" t="s">
        <v>1216</v>
      </c>
      <c r="B85" s="46">
        <v>30</v>
      </c>
      <c r="C85" s="47">
        <v>0</v>
      </c>
      <c r="D85" s="47">
        <v>0</v>
      </c>
      <c r="E85" s="45" t="s">
        <v>146</v>
      </c>
      <c r="F85" s="45"/>
    </row>
    <row r="86" spans="1:6" ht="21" customHeight="1" x14ac:dyDescent="0.3">
      <c r="A86" s="79" t="s">
        <v>1217</v>
      </c>
      <c r="B86" s="46">
        <v>30</v>
      </c>
      <c r="C86" s="47">
        <v>0</v>
      </c>
      <c r="D86" s="47">
        <v>0</v>
      </c>
      <c r="E86" s="45" t="s">
        <v>146</v>
      </c>
      <c r="F86" s="45"/>
    </row>
    <row r="87" spans="1:6" ht="21" customHeight="1" x14ac:dyDescent="0.3">
      <c r="A87" s="79" t="s">
        <v>1084</v>
      </c>
      <c r="B87" s="46">
        <v>30</v>
      </c>
      <c r="C87" s="47">
        <v>0</v>
      </c>
      <c r="D87" s="47">
        <v>0</v>
      </c>
      <c r="E87" s="45" t="s">
        <v>475</v>
      </c>
      <c r="F87" s="45"/>
    </row>
    <row r="88" spans="1:6" ht="21" customHeight="1" x14ac:dyDescent="0.3">
      <c r="A88" s="79" t="s">
        <v>1218</v>
      </c>
      <c r="B88" s="46">
        <v>30</v>
      </c>
      <c r="C88" s="47">
        <v>0</v>
      </c>
      <c r="D88" s="47">
        <v>0</v>
      </c>
      <c r="E88" s="45" t="s">
        <v>259</v>
      </c>
      <c r="F88" s="45"/>
    </row>
    <row r="89" spans="1:6" ht="21" customHeight="1" x14ac:dyDescent="0.3">
      <c r="A89" s="79" t="s">
        <v>1085</v>
      </c>
      <c r="B89" s="46">
        <v>30</v>
      </c>
      <c r="C89" s="47">
        <v>0</v>
      </c>
      <c r="D89" s="47">
        <v>0</v>
      </c>
      <c r="E89" s="45" t="s">
        <v>259</v>
      </c>
      <c r="F89" s="45"/>
    </row>
    <row r="90" spans="1:6" ht="21" customHeight="1" x14ac:dyDescent="0.3">
      <c r="A90" s="79" t="s">
        <v>1086</v>
      </c>
      <c r="B90" s="46">
        <v>30</v>
      </c>
      <c r="C90" s="47">
        <v>0</v>
      </c>
      <c r="D90" s="47">
        <v>0</v>
      </c>
      <c r="E90" s="45"/>
      <c r="F90" s="45"/>
    </row>
    <row r="91" spans="1:6" ht="21" customHeight="1" x14ac:dyDescent="0.3">
      <c r="A91" s="79" t="s">
        <v>1089</v>
      </c>
      <c r="B91" s="46">
        <v>30</v>
      </c>
      <c r="C91" s="47">
        <v>0.19</v>
      </c>
      <c r="D91" s="47">
        <v>2.5000000000000001E-2</v>
      </c>
      <c r="E91" s="45"/>
      <c r="F91" s="45"/>
    </row>
    <row r="92" spans="1:6" ht="21" customHeight="1" x14ac:dyDescent="0.3">
      <c r="A92" s="79" t="s">
        <v>57</v>
      </c>
      <c r="B92" s="46">
        <v>30</v>
      </c>
      <c r="C92" s="47">
        <v>0.19</v>
      </c>
      <c r="D92" s="47">
        <v>2.5000000000000001E-2</v>
      </c>
      <c r="E92" s="45" t="s">
        <v>429</v>
      </c>
      <c r="F92" s="45"/>
    </row>
    <row r="93" spans="1:6" ht="21" customHeight="1" x14ac:dyDescent="0.3">
      <c r="A93" s="79" t="s">
        <v>401</v>
      </c>
      <c r="B93" s="46">
        <v>10</v>
      </c>
      <c r="C93" s="47">
        <v>0</v>
      </c>
      <c r="D93" s="47">
        <v>0</v>
      </c>
      <c r="E93" s="45"/>
      <c r="F93" s="45"/>
    </row>
    <row r="94" spans="1:6" ht="21" customHeight="1" x14ac:dyDescent="0.3">
      <c r="A94" s="79" t="s">
        <v>472</v>
      </c>
      <c r="B94" s="46">
        <v>10</v>
      </c>
      <c r="C94" s="47">
        <v>0.19</v>
      </c>
      <c r="D94" s="47">
        <v>2.5000000000000001E-2</v>
      </c>
      <c r="E94" s="45" t="s">
        <v>471</v>
      </c>
      <c r="F94" s="45"/>
    </row>
    <row r="95" spans="1:6" ht="21" customHeight="1" x14ac:dyDescent="0.3">
      <c r="A95" s="79" t="s">
        <v>293</v>
      </c>
      <c r="B95" s="46">
        <v>30</v>
      </c>
      <c r="C95" s="47">
        <v>0.19</v>
      </c>
      <c r="D95" s="47">
        <v>2.5000000000000001E-2</v>
      </c>
      <c r="E95" s="45"/>
      <c r="F95" s="45"/>
    </row>
    <row r="96" spans="1:6" ht="21" customHeight="1" x14ac:dyDescent="0.3">
      <c r="A96" s="79" t="s">
        <v>557</v>
      </c>
      <c r="B96" s="46">
        <v>20</v>
      </c>
      <c r="C96" s="47">
        <v>0</v>
      </c>
      <c r="D96" s="47">
        <v>0.11</v>
      </c>
      <c r="E96" s="45" t="s">
        <v>558</v>
      </c>
      <c r="F96" s="45"/>
    </row>
    <row r="97" spans="1:6" ht="21" customHeight="1" x14ac:dyDescent="0.3">
      <c r="A97" s="79" t="s">
        <v>521</v>
      </c>
      <c r="B97" s="46">
        <v>30</v>
      </c>
      <c r="C97" s="47">
        <v>0.19</v>
      </c>
      <c r="D97" s="47">
        <v>0</v>
      </c>
      <c r="E97" s="45"/>
      <c r="F97" s="45"/>
    </row>
    <row r="98" spans="1:6" ht="21" customHeight="1" x14ac:dyDescent="0.3">
      <c r="A98" s="79" t="s">
        <v>616</v>
      </c>
      <c r="B98" s="46">
        <v>30</v>
      </c>
      <c r="C98" s="47">
        <v>0.19</v>
      </c>
      <c r="D98" s="47">
        <v>2.5000000000000001E-2</v>
      </c>
      <c r="E98" s="45"/>
      <c r="F98" s="45"/>
    </row>
    <row r="99" spans="1:6" ht="21" customHeight="1" x14ac:dyDescent="0.3">
      <c r="A99" s="79" t="s">
        <v>20</v>
      </c>
      <c r="B99" s="46">
        <v>30</v>
      </c>
      <c r="C99" s="47">
        <v>0.19</v>
      </c>
      <c r="D99" s="47">
        <v>2.5000000000000001E-2</v>
      </c>
      <c r="E99" s="45" t="s">
        <v>178</v>
      </c>
      <c r="F99" s="45" t="s">
        <v>309</v>
      </c>
    </row>
    <row r="100" spans="1:6" ht="21" customHeight="1" x14ac:dyDescent="0.3">
      <c r="A100" s="79" t="s">
        <v>21</v>
      </c>
      <c r="B100" s="46">
        <v>30</v>
      </c>
      <c r="C100" s="47">
        <v>0.19</v>
      </c>
      <c r="D100" s="47">
        <v>2.5000000000000001E-2</v>
      </c>
      <c r="E100" s="45" t="s">
        <v>260</v>
      </c>
      <c r="F100" s="45"/>
    </row>
    <row r="101" spans="1:6" ht="21" customHeight="1" x14ac:dyDescent="0.3">
      <c r="A101" s="79" t="s">
        <v>52</v>
      </c>
      <c r="B101" s="46">
        <v>30</v>
      </c>
      <c r="C101" s="47">
        <v>0.19</v>
      </c>
      <c r="D101" s="47">
        <v>2.5000000000000001E-2</v>
      </c>
      <c r="E101" s="45" t="s">
        <v>146</v>
      </c>
      <c r="F101" s="45"/>
    </row>
    <row r="102" spans="1:6" ht="21" customHeight="1" x14ac:dyDescent="0.3">
      <c r="A102" s="79" t="s">
        <v>42</v>
      </c>
      <c r="B102" s="46">
        <v>30</v>
      </c>
      <c r="C102" s="47">
        <v>0.19</v>
      </c>
      <c r="D102" s="47">
        <v>2.5000000000000001E-2</v>
      </c>
      <c r="E102" s="45" t="s">
        <v>146</v>
      </c>
      <c r="F102" s="45"/>
    </row>
    <row r="103" spans="1:6" ht="21" customHeight="1" x14ac:dyDescent="0.3">
      <c r="A103" s="79" t="s">
        <v>607</v>
      </c>
      <c r="B103" s="46">
        <v>60</v>
      </c>
      <c r="C103" s="47">
        <v>0</v>
      </c>
      <c r="D103" s="47">
        <v>0</v>
      </c>
      <c r="E103" s="45" t="s">
        <v>998</v>
      </c>
      <c r="F103" s="45"/>
    </row>
    <row r="104" spans="1:6" ht="21" customHeight="1" x14ac:dyDescent="0.3">
      <c r="A104" s="79" t="s">
        <v>608</v>
      </c>
      <c r="B104" s="46">
        <v>45</v>
      </c>
      <c r="C104" s="47">
        <v>0</v>
      </c>
      <c r="D104" s="47">
        <v>0</v>
      </c>
      <c r="E104" s="45" t="s">
        <v>998</v>
      </c>
      <c r="F104" s="45"/>
    </row>
    <row r="105" spans="1:6" ht="21" customHeight="1" x14ac:dyDescent="0.3">
      <c r="A105" s="79" t="s">
        <v>947</v>
      </c>
      <c r="B105" s="46">
        <v>45</v>
      </c>
      <c r="C105" s="47">
        <v>0</v>
      </c>
      <c r="D105" s="47">
        <v>0</v>
      </c>
      <c r="E105" s="45" t="s">
        <v>593</v>
      </c>
      <c r="F105" s="45"/>
    </row>
    <row r="106" spans="1:6" ht="21" customHeight="1" x14ac:dyDescent="0.3">
      <c r="A106" s="79" t="s">
        <v>609</v>
      </c>
      <c r="B106" s="46">
        <v>45</v>
      </c>
      <c r="C106" s="47">
        <v>0</v>
      </c>
      <c r="D106" s="47">
        <v>0</v>
      </c>
      <c r="E106" s="45" t="s">
        <v>998</v>
      </c>
      <c r="F106" s="45"/>
    </row>
    <row r="107" spans="1:6" ht="21" customHeight="1" x14ac:dyDescent="0.3">
      <c r="A107" s="79" t="s">
        <v>82</v>
      </c>
      <c r="B107" s="46">
        <v>30</v>
      </c>
      <c r="C107" s="47">
        <v>0.19</v>
      </c>
      <c r="D107" s="47">
        <v>2.5000000000000001E-2</v>
      </c>
      <c r="E107" s="45" t="s">
        <v>146</v>
      </c>
      <c r="F107" s="45"/>
    </row>
    <row r="108" spans="1:6" ht="21" customHeight="1" x14ac:dyDescent="0.3">
      <c r="A108" s="79" t="s">
        <v>572</v>
      </c>
      <c r="B108" s="46">
        <v>30</v>
      </c>
      <c r="C108" s="47">
        <v>0.19</v>
      </c>
      <c r="D108" s="47">
        <v>0</v>
      </c>
      <c r="E108" s="45" t="s">
        <v>633</v>
      </c>
      <c r="F108" s="45"/>
    </row>
    <row r="109" spans="1:6" ht="21" customHeight="1" x14ac:dyDescent="0.3">
      <c r="A109" s="79" t="s">
        <v>514</v>
      </c>
      <c r="B109" s="46">
        <v>30</v>
      </c>
      <c r="C109" s="47">
        <v>0.19</v>
      </c>
      <c r="D109" s="47">
        <v>0</v>
      </c>
      <c r="E109" s="45" t="s">
        <v>633</v>
      </c>
      <c r="F109" s="45"/>
    </row>
    <row r="110" spans="1:6" ht="21" customHeight="1" x14ac:dyDescent="0.3">
      <c r="A110" s="79" t="s">
        <v>574</v>
      </c>
      <c r="B110" s="46">
        <v>30</v>
      </c>
      <c r="C110" s="47">
        <v>0.19</v>
      </c>
      <c r="D110" s="47">
        <v>2.5000000000000001E-2</v>
      </c>
      <c r="E110" s="45" t="s">
        <v>273</v>
      </c>
      <c r="F110" s="45"/>
    </row>
    <row r="111" spans="1:6" ht="21" customHeight="1" x14ac:dyDescent="0.3">
      <c r="A111" s="79" t="s">
        <v>498</v>
      </c>
      <c r="B111" s="46">
        <v>30</v>
      </c>
      <c r="C111" s="47">
        <v>0.19</v>
      </c>
      <c r="D111" s="47">
        <v>2.5000000000000001E-2</v>
      </c>
      <c r="E111" s="45"/>
      <c r="F111" s="45"/>
    </row>
    <row r="112" spans="1:6" ht="21" customHeight="1" x14ac:dyDescent="0.3">
      <c r="A112" s="79" t="s">
        <v>50</v>
      </c>
      <c r="B112" s="46">
        <v>30</v>
      </c>
      <c r="C112" s="47">
        <v>0.19</v>
      </c>
      <c r="D112" s="47">
        <v>2.5000000000000001E-2</v>
      </c>
      <c r="E112" s="45" t="s">
        <v>257</v>
      </c>
      <c r="F112" s="45" t="s">
        <v>433</v>
      </c>
    </row>
    <row r="113" spans="1:6" ht="21" customHeight="1" x14ac:dyDescent="0.3">
      <c r="A113" s="79" t="s">
        <v>80</v>
      </c>
      <c r="B113" s="46">
        <v>30</v>
      </c>
      <c r="C113" s="47">
        <v>0.19</v>
      </c>
      <c r="D113" s="47">
        <v>2.5000000000000001E-2</v>
      </c>
      <c r="E113" s="45" t="s">
        <v>452</v>
      </c>
      <c r="F113" s="45"/>
    </row>
    <row r="114" spans="1:6" ht="21" customHeight="1" x14ac:dyDescent="0.3">
      <c r="A114" s="79" t="s">
        <v>438</v>
      </c>
      <c r="B114" s="46">
        <v>90</v>
      </c>
      <c r="C114" s="47">
        <v>0.19</v>
      </c>
      <c r="D114" s="47">
        <v>2.5000000000000001E-2</v>
      </c>
      <c r="E114" s="45" t="s">
        <v>564</v>
      </c>
      <c r="F114" s="45"/>
    </row>
    <row r="115" spans="1:6" ht="21" customHeight="1" x14ac:dyDescent="0.3">
      <c r="A115" s="79" t="s">
        <v>24</v>
      </c>
      <c r="B115" s="46">
        <v>30</v>
      </c>
      <c r="C115" s="47">
        <v>0.19</v>
      </c>
      <c r="D115" s="47">
        <v>2.5000000000000001E-2</v>
      </c>
      <c r="E115" s="45" t="s">
        <v>432</v>
      </c>
      <c r="F115" s="45"/>
    </row>
    <row r="116" spans="1:6" ht="21" customHeight="1" x14ac:dyDescent="0.3">
      <c r="A116" s="79" t="s">
        <v>12</v>
      </c>
      <c r="B116" s="46">
        <v>90</v>
      </c>
      <c r="C116" s="47">
        <v>0.19</v>
      </c>
      <c r="D116" s="47">
        <v>2.5000000000000001E-2</v>
      </c>
      <c r="E116" s="45" t="s">
        <v>262</v>
      </c>
      <c r="F116" s="45"/>
    </row>
    <row r="117" spans="1:6" ht="21" customHeight="1" x14ac:dyDescent="0.3">
      <c r="A117" s="79" t="s">
        <v>184</v>
      </c>
      <c r="B117" s="46">
        <v>30</v>
      </c>
      <c r="C117" s="47">
        <v>0.19</v>
      </c>
      <c r="D117" s="47">
        <v>2.5000000000000001E-2</v>
      </c>
      <c r="E117" s="45" t="s">
        <v>302</v>
      </c>
      <c r="F117" s="45" t="s">
        <v>185</v>
      </c>
    </row>
    <row r="118" spans="1:6" ht="21" customHeight="1" x14ac:dyDescent="0.3">
      <c r="A118" s="79" t="s">
        <v>37</v>
      </c>
      <c r="B118" s="46">
        <v>30</v>
      </c>
      <c r="C118" s="47">
        <v>0.19</v>
      </c>
      <c r="D118" s="47">
        <v>2.5000000000000001E-2</v>
      </c>
      <c r="E118" s="45" t="s">
        <v>146</v>
      </c>
      <c r="F118" s="45"/>
    </row>
    <row r="119" spans="1:6" ht="21" customHeight="1" x14ac:dyDescent="0.3">
      <c r="A119" s="79" t="s">
        <v>77</v>
      </c>
      <c r="B119" s="46">
        <v>30</v>
      </c>
      <c r="C119" s="47">
        <v>0.19</v>
      </c>
      <c r="D119" s="47">
        <v>2.5000000000000001E-2</v>
      </c>
      <c r="E119" s="45" t="s">
        <v>146</v>
      </c>
      <c r="F119" s="45"/>
    </row>
    <row r="120" spans="1:6" ht="21" customHeight="1" x14ac:dyDescent="0.3">
      <c r="A120" s="79" t="s">
        <v>47</v>
      </c>
      <c r="B120" s="46">
        <v>30</v>
      </c>
      <c r="C120" s="47">
        <v>0.19</v>
      </c>
      <c r="D120" s="47">
        <v>0</v>
      </c>
      <c r="E120" s="45" t="s">
        <v>263</v>
      </c>
      <c r="F120" s="45"/>
    </row>
    <row r="121" spans="1:6" ht="21" customHeight="1" x14ac:dyDescent="0.3">
      <c r="A121" s="79" t="s">
        <v>51</v>
      </c>
      <c r="B121" s="46">
        <v>30</v>
      </c>
      <c r="C121" s="47">
        <v>0.19</v>
      </c>
      <c r="D121" s="47">
        <v>2.5000000000000001E-2</v>
      </c>
      <c r="E121" s="45" t="s">
        <v>146</v>
      </c>
      <c r="F121" s="45"/>
    </row>
    <row r="122" spans="1:6" ht="21" customHeight="1" x14ac:dyDescent="0.3">
      <c r="A122" s="79" t="s">
        <v>49</v>
      </c>
      <c r="B122" s="46">
        <v>30</v>
      </c>
      <c r="C122" s="47">
        <v>0.19</v>
      </c>
      <c r="D122" s="47">
        <v>2.5000000000000001E-2</v>
      </c>
      <c r="E122" s="45" t="s">
        <v>146</v>
      </c>
      <c r="F122" s="45"/>
    </row>
    <row r="123" spans="1:6" ht="21" customHeight="1" x14ac:dyDescent="0.3">
      <c r="A123" s="79" t="s">
        <v>59</v>
      </c>
      <c r="B123" s="46">
        <v>30</v>
      </c>
      <c r="C123" s="47">
        <v>0.19</v>
      </c>
      <c r="D123" s="47">
        <v>2.5000000000000001E-2</v>
      </c>
      <c r="E123" s="45" t="s">
        <v>146</v>
      </c>
      <c r="F123" s="45"/>
    </row>
    <row r="124" spans="1:6" ht="21" customHeight="1" x14ac:dyDescent="0.3">
      <c r="A124" s="79" t="s">
        <v>53</v>
      </c>
      <c r="B124" s="46">
        <v>30</v>
      </c>
      <c r="C124" s="47">
        <v>0.19</v>
      </c>
      <c r="D124" s="47">
        <v>2.5000000000000001E-2</v>
      </c>
      <c r="E124" s="45" t="s">
        <v>146</v>
      </c>
      <c r="F124" s="45"/>
    </row>
    <row r="125" spans="1:6" ht="21" customHeight="1" x14ac:dyDescent="0.3">
      <c r="A125" s="79" t="s">
        <v>58</v>
      </c>
      <c r="B125" s="46">
        <v>30</v>
      </c>
      <c r="C125" s="47">
        <v>0</v>
      </c>
      <c r="D125" s="47">
        <v>0</v>
      </c>
      <c r="E125" s="45" t="s">
        <v>264</v>
      </c>
      <c r="F125" s="45"/>
    </row>
    <row r="126" spans="1:6" ht="21" customHeight="1" x14ac:dyDescent="0.3">
      <c r="A126" s="79" t="s">
        <v>129</v>
      </c>
      <c r="B126" s="46">
        <v>30</v>
      </c>
      <c r="C126" s="47">
        <v>0</v>
      </c>
      <c r="D126" s="47">
        <v>0</v>
      </c>
      <c r="E126" s="45" t="s">
        <v>264</v>
      </c>
      <c r="F126" s="45"/>
    </row>
    <row r="127" spans="1:6" ht="21" customHeight="1" x14ac:dyDescent="0.3">
      <c r="A127" s="79" t="s">
        <v>150</v>
      </c>
      <c r="B127" s="46">
        <v>30</v>
      </c>
      <c r="C127" s="47">
        <v>0</v>
      </c>
      <c r="D127" s="47">
        <v>0</v>
      </c>
      <c r="E127" s="45" t="s">
        <v>264</v>
      </c>
      <c r="F127" s="45"/>
    </row>
    <row r="128" spans="1:6" ht="21" customHeight="1" x14ac:dyDescent="0.3">
      <c r="A128" s="79" t="s">
        <v>69</v>
      </c>
      <c r="B128" s="46">
        <v>30</v>
      </c>
      <c r="C128" s="47">
        <v>0</v>
      </c>
      <c r="D128" s="47">
        <v>0</v>
      </c>
      <c r="E128" s="45" t="s">
        <v>264</v>
      </c>
      <c r="F128" s="45"/>
    </row>
    <row r="129" spans="1:6" ht="21" customHeight="1" x14ac:dyDescent="0.3">
      <c r="A129" s="79" t="s">
        <v>72</v>
      </c>
      <c r="B129" s="46">
        <v>30</v>
      </c>
      <c r="C129" s="47">
        <v>0</v>
      </c>
      <c r="D129" s="47">
        <v>0</v>
      </c>
      <c r="E129" s="45" t="s">
        <v>264</v>
      </c>
      <c r="F129" s="45"/>
    </row>
    <row r="130" spans="1:6" ht="21" customHeight="1" x14ac:dyDescent="0.3">
      <c r="A130" s="79" t="s">
        <v>60</v>
      </c>
      <c r="B130" s="46">
        <v>30</v>
      </c>
      <c r="C130" s="47">
        <v>0</v>
      </c>
      <c r="D130" s="47">
        <v>0</v>
      </c>
      <c r="E130" s="45" t="s">
        <v>264</v>
      </c>
      <c r="F130" s="45"/>
    </row>
    <row r="131" spans="1:6" ht="21" customHeight="1" x14ac:dyDescent="0.3">
      <c r="A131" s="79" t="s">
        <v>61</v>
      </c>
      <c r="B131" s="46">
        <v>30</v>
      </c>
      <c r="C131" s="47">
        <v>0</v>
      </c>
      <c r="D131" s="47">
        <v>0</v>
      </c>
      <c r="E131" s="45" t="s">
        <v>264</v>
      </c>
      <c r="F131" s="45"/>
    </row>
    <row r="132" spans="1:6" ht="21" customHeight="1" x14ac:dyDescent="0.3">
      <c r="A132" s="79" t="s">
        <v>115</v>
      </c>
      <c r="B132" s="46">
        <v>30</v>
      </c>
      <c r="C132" s="47">
        <v>0</v>
      </c>
      <c r="D132" s="47">
        <v>0</v>
      </c>
      <c r="E132" s="45" t="s">
        <v>264</v>
      </c>
      <c r="F132" s="45"/>
    </row>
    <row r="133" spans="1:6" ht="21" customHeight="1" x14ac:dyDescent="0.3">
      <c r="A133" s="79" t="s">
        <v>116</v>
      </c>
      <c r="B133" s="46">
        <v>30</v>
      </c>
      <c r="C133" s="47">
        <v>0</v>
      </c>
      <c r="D133" s="47">
        <v>0</v>
      </c>
      <c r="E133" s="45" t="s">
        <v>264</v>
      </c>
      <c r="F133" s="45"/>
    </row>
    <row r="134" spans="1:6" ht="21" customHeight="1" x14ac:dyDescent="0.3">
      <c r="A134" s="79" t="s">
        <v>22</v>
      </c>
      <c r="B134" s="46">
        <v>30</v>
      </c>
      <c r="C134" s="47">
        <v>0</v>
      </c>
      <c r="D134" s="47">
        <v>0</v>
      </c>
      <c r="E134" s="45" t="s">
        <v>264</v>
      </c>
      <c r="F134" s="45"/>
    </row>
    <row r="135" spans="1:6" ht="21" customHeight="1" x14ac:dyDescent="0.3">
      <c r="A135" s="79" t="s">
        <v>107</v>
      </c>
      <c r="B135" s="46">
        <v>30</v>
      </c>
      <c r="C135" s="47">
        <v>0.19</v>
      </c>
      <c r="D135" s="47">
        <v>2.5000000000000001E-2</v>
      </c>
      <c r="E135" s="45" t="s">
        <v>146</v>
      </c>
      <c r="F135" s="45"/>
    </row>
    <row r="136" spans="1:6" ht="21" customHeight="1" x14ac:dyDescent="0.3">
      <c r="A136" s="79" t="s">
        <v>1104</v>
      </c>
      <c r="B136" s="46">
        <v>30</v>
      </c>
      <c r="C136" s="47">
        <v>0</v>
      </c>
      <c r="D136" s="47">
        <v>0</v>
      </c>
      <c r="E136" s="45"/>
      <c r="F136" s="45"/>
    </row>
    <row r="137" spans="1:6" ht="21" customHeight="1" x14ac:dyDescent="0.3">
      <c r="A137" s="79" t="s">
        <v>541</v>
      </c>
      <c r="B137" s="46">
        <v>30</v>
      </c>
      <c r="C137" s="47">
        <v>0.19</v>
      </c>
      <c r="D137" s="47">
        <v>0</v>
      </c>
      <c r="E137" s="45" t="s">
        <v>186</v>
      </c>
      <c r="F137" s="45"/>
    </row>
    <row r="138" spans="1:6" ht="21" customHeight="1" x14ac:dyDescent="0.3">
      <c r="A138" s="79" t="s">
        <v>629</v>
      </c>
      <c r="B138" s="46">
        <v>30</v>
      </c>
      <c r="C138" s="47">
        <v>0.19</v>
      </c>
      <c r="D138" s="47">
        <v>0.04</v>
      </c>
      <c r="E138" s="45"/>
      <c r="F138" s="45"/>
    </row>
    <row r="139" spans="1:6" ht="21" customHeight="1" x14ac:dyDescent="0.3">
      <c r="A139" s="79" t="s">
        <v>645</v>
      </c>
      <c r="B139" s="46">
        <v>10</v>
      </c>
      <c r="C139" s="47">
        <v>0.19</v>
      </c>
      <c r="D139" s="47">
        <v>0</v>
      </c>
      <c r="E139" s="45"/>
      <c r="F139" s="45"/>
    </row>
    <row r="140" spans="1:6" ht="21" customHeight="1" x14ac:dyDescent="0.3">
      <c r="A140" s="79" t="s">
        <v>431</v>
      </c>
      <c r="B140" s="46">
        <v>30</v>
      </c>
      <c r="C140" s="47">
        <v>0</v>
      </c>
      <c r="D140" s="47">
        <v>0</v>
      </c>
      <c r="E140" s="45" t="s">
        <v>261</v>
      </c>
      <c r="F140" s="45"/>
    </row>
    <row r="141" spans="1:6" ht="21" customHeight="1" x14ac:dyDescent="0.3">
      <c r="A141" s="79" t="s">
        <v>399</v>
      </c>
      <c r="B141" s="46">
        <v>0</v>
      </c>
      <c r="C141" s="47">
        <v>0</v>
      </c>
      <c r="D141" s="47">
        <v>0</v>
      </c>
      <c r="E141" s="45" t="s">
        <v>186</v>
      </c>
      <c r="F141" s="45"/>
    </row>
    <row r="142" spans="1:6" ht="21" customHeight="1" x14ac:dyDescent="0.3">
      <c r="A142" s="79" t="s">
        <v>332</v>
      </c>
      <c r="B142" s="46">
        <v>30</v>
      </c>
      <c r="C142" s="47">
        <v>0</v>
      </c>
      <c r="D142" s="47">
        <v>3.5000000000000003E-2</v>
      </c>
      <c r="E142" s="45" t="s">
        <v>179</v>
      </c>
      <c r="F142" s="45" t="s">
        <v>147</v>
      </c>
    </row>
    <row r="143" spans="1:6" ht="21" customHeight="1" x14ac:dyDescent="0.3">
      <c r="A143" s="79" t="s">
        <v>348</v>
      </c>
      <c r="B143" s="46">
        <v>30</v>
      </c>
      <c r="C143" s="47">
        <v>0.19</v>
      </c>
      <c r="D143" s="47">
        <v>0</v>
      </c>
      <c r="E143" s="83" t="s">
        <v>1022</v>
      </c>
      <c r="F143" s="45"/>
    </row>
    <row r="144" spans="1:6" ht="21" customHeight="1" x14ac:dyDescent="0.3">
      <c r="A144" s="79" t="s">
        <v>333</v>
      </c>
      <c r="B144" s="46">
        <v>30</v>
      </c>
      <c r="C144" s="47">
        <v>0.19</v>
      </c>
      <c r="D144" s="47">
        <v>2.5000000000000001E-2</v>
      </c>
      <c r="E144" s="45" t="s">
        <v>148</v>
      </c>
      <c r="F144" s="45"/>
    </row>
    <row r="145" spans="1:6" ht="21" customHeight="1" x14ac:dyDescent="0.3">
      <c r="A145" s="79" t="s">
        <v>371</v>
      </c>
      <c r="B145" s="46">
        <v>180</v>
      </c>
      <c r="C145" s="47">
        <v>0</v>
      </c>
      <c r="D145" s="47">
        <v>0</v>
      </c>
      <c r="E145" s="45" t="s">
        <v>186</v>
      </c>
      <c r="F145" s="45"/>
    </row>
    <row r="146" spans="1:6" ht="21" customHeight="1" x14ac:dyDescent="0.3">
      <c r="A146" s="79" t="s">
        <v>569</v>
      </c>
      <c r="B146" s="46">
        <v>10</v>
      </c>
      <c r="C146" s="47">
        <v>0.19</v>
      </c>
      <c r="D146" s="47">
        <v>2.5000000000000001E-2</v>
      </c>
      <c r="E146" s="45" t="s">
        <v>571</v>
      </c>
      <c r="F146" s="45"/>
    </row>
    <row r="147" spans="1:6" ht="21" customHeight="1" x14ac:dyDescent="0.3">
      <c r="A147" s="79" t="s">
        <v>528</v>
      </c>
      <c r="B147" s="46">
        <v>10</v>
      </c>
      <c r="C147" s="47">
        <v>0.19</v>
      </c>
      <c r="D147" s="47">
        <v>0</v>
      </c>
      <c r="E147" s="45" t="s">
        <v>529</v>
      </c>
      <c r="F147" s="45"/>
    </row>
    <row r="148" spans="1:6" ht="21" customHeight="1" x14ac:dyDescent="0.3">
      <c r="A148" s="79" t="s">
        <v>334</v>
      </c>
      <c r="B148" s="46">
        <v>30</v>
      </c>
      <c r="C148" s="47">
        <v>0</v>
      </c>
      <c r="D148" s="47">
        <v>3.5000000000000003E-2</v>
      </c>
      <c r="E148" s="45" t="s">
        <v>265</v>
      </c>
      <c r="F148" s="45"/>
    </row>
    <row r="149" spans="1:6" ht="21" customHeight="1" x14ac:dyDescent="0.3">
      <c r="A149" s="79" t="s">
        <v>335</v>
      </c>
      <c r="B149" s="46">
        <v>30</v>
      </c>
      <c r="C149" s="47">
        <v>0</v>
      </c>
      <c r="D149" s="47">
        <v>0</v>
      </c>
      <c r="E149" s="45" t="s">
        <v>269</v>
      </c>
      <c r="F149" s="45"/>
    </row>
    <row r="150" spans="1:6" ht="21" customHeight="1" x14ac:dyDescent="0.3">
      <c r="A150" s="79" t="s">
        <v>544</v>
      </c>
      <c r="B150" s="46">
        <v>60</v>
      </c>
      <c r="C150" s="47">
        <v>0</v>
      </c>
      <c r="D150" s="47">
        <v>0</v>
      </c>
      <c r="E150" s="45" t="s">
        <v>186</v>
      </c>
      <c r="F150" s="45"/>
    </row>
    <row r="151" spans="1:6" ht="21" customHeight="1" x14ac:dyDescent="0.3">
      <c r="A151" s="79" t="s">
        <v>562</v>
      </c>
      <c r="B151" s="46">
        <v>45</v>
      </c>
      <c r="C151" s="47">
        <v>0</v>
      </c>
      <c r="D151" s="47">
        <v>0</v>
      </c>
      <c r="E151" s="45"/>
      <c r="F151" s="45"/>
    </row>
    <row r="152" spans="1:6" ht="21" customHeight="1" x14ac:dyDescent="0.3">
      <c r="A152" s="79" t="s">
        <v>336</v>
      </c>
      <c r="B152" s="46">
        <v>30</v>
      </c>
      <c r="C152" s="47">
        <v>0</v>
      </c>
      <c r="D152" s="47">
        <v>0</v>
      </c>
      <c r="E152" s="45" t="s">
        <v>1056</v>
      </c>
      <c r="F152" s="45"/>
    </row>
    <row r="153" spans="1:6" ht="21" customHeight="1" x14ac:dyDescent="0.3">
      <c r="A153" s="79" t="s">
        <v>549</v>
      </c>
      <c r="B153" s="46">
        <v>18</v>
      </c>
      <c r="C153" s="47">
        <v>0</v>
      </c>
      <c r="D153" s="47">
        <v>0</v>
      </c>
      <c r="E153" s="45"/>
      <c r="F153" s="45"/>
    </row>
    <row r="154" spans="1:6" ht="21" customHeight="1" x14ac:dyDescent="0.3">
      <c r="A154" s="79" t="s">
        <v>337</v>
      </c>
      <c r="B154" s="46">
        <v>30</v>
      </c>
      <c r="C154" s="47">
        <v>0</v>
      </c>
      <c r="D154" s="47">
        <v>0</v>
      </c>
      <c r="E154" s="45" t="s">
        <v>148</v>
      </c>
      <c r="F154" s="45"/>
    </row>
    <row r="155" spans="1:6" ht="21" customHeight="1" x14ac:dyDescent="0.3">
      <c r="A155" s="79" t="s">
        <v>338</v>
      </c>
      <c r="B155" s="46">
        <v>30</v>
      </c>
      <c r="C155" s="47">
        <v>0.19</v>
      </c>
      <c r="D155" s="47">
        <v>2.5000000000000001E-2</v>
      </c>
      <c r="E155" s="45" t="s">
        <v>278</v>
      </c>
      <c r="F155" s="45"/>
    </row>
    <row r="156" spans="1:6" ht="21" customHeight="1" x14ac:dyDescent="0.3">
      <c r="A156" s="79" t="s">
        <v>486</v>
      </c>
      <c r="B156" s="46">
        <v>30</v>
      </c>
      <c r="C156" s="47">
        <v>0</v>
      </c>
      <c r="D156" s="47">
        <v>3.5000000000000003E-2</v>
      </c>
      <c r="E156" s="45" t="s">
        <v>485</v>
      </c>
      <c r="F156" s="45"/>
    </row>
    <row r="157" spans="1:6" ht="21" customHeight="1" x14ac:dyDescent="0.3">
      <c r="A157" s="79" t="s">
        <v>378</v>
      </c>
      <c r="B157" s="46">
        <v>30</v>
      </c>
      <c r="C157" s="47">
        <v>0.19</v>
      </c>
      <c r="D157" s="47">
        <v>3.5000000000000003E-2</v>
      </c>
      <c r="E157" s="45" t="s">
        <v>380</v>
      </c>
      <c r="F157" s="45"/>
    </row>
    <row r="158" spans="1:6" ht="21" customHeight="1" x14ac:dyDescent="0.3">
      <c r="A158" s="79" t="s">
        <v>353</v>
      </c>
      <c r="B158" s="46">
        <v>30</v>
      </c>
      <c r="C158" s="47">
        <v>0</v>
      </c>
      <c r="D158" s="47">
        <v>0</v>
      </c>
      <c r="E158" s="45" t="s">
        <v>148</v>
      </c>
      <c r="F158" s="45"/>
    </row>
    <row r="159" spans="1:6" ht="21" customHeight="1" x14ac:dyDescent="0.3">
      <c r="A159" s="79" t="s">
        <v>339</v>
      </c>
      <c r="B159" s="46">
        <v>30</v>
      </c>
      <c r="C159" s="47">
        <v>0</v>
      </c>
      <c r="D159" s="47">
        <v>3.5000000000000003E-2</v>
      </c>
      <c r="E159" s="45" t="s">
        <v>292</v>
      </c>
      <c r="F159" s="45"/>
    </row>
    <row r="160" spans="1:6" ht="21" customHeight="1" x14ac:dyDescent="0.3">
      <c r="A160" s="79" t="s">
        <v>340</v>
      </c>
      <c r="B160" s="46">
        <v>30</v>
      </c>
      <c r="C160" s="47">
        <v>0.19</v>
      </c>
      <c r="D160" s="47">
        <v>3.5000000000000003E-2</v>
      </c>
      <c r="E160" s="45" t="s">
        <v>280</v>
      </c>
      <c r="F160" s="45"/>
    </row>
    <row r="161" spans="1:6" ht="21" customHeight="1" x14ac:dyDescent="0.3">
      <c r="A161" s="79" t="s">
        <v>341</v>
      </c>
      <c r="B161" s="46">
        <v>30</v>
      </c>
      <c r="C161" s="47">
        <v>0.19</v>
      </c>
      <c r="D161" s="47">
        <v>2.5000000000000001E-2</v>
      </c>
      <c r="E161" s="45" t="s">
        <v>281</v>
      </c>
      <c r="F161" s="45"/>
    </row>
    <row r="162" spans="1:6" ht="21" customHeight="1" x14ac:dyDescent="0.3">
      <c r="A162" s="79" t="s">
        <v>372</v>
      </c>
      <c r="B162" s="46">
        <v>30</v>
      </c>
      <c r="C162" s="47">
        <v>0.19</v>
      </c>
      <c r="D162" s="47">
        <v>3.5000000000000003E-2</v>
      </c>
      <c r="E162" s="45" t="s">
        <v>148</v>
      </c>
      <c r="F162" s="45"/>
    </row>
    <row r="163" spans="1:6" ht="21" customHeight="1" x14ac:dyDescent="0.3">
      <c r="A163" s="79" t="s">
        <v>329</v>
      </c>
      <c r="B163" s="46">
        <v>13</v>
      </c>
      <c r="C163" s="47">
        <v>0</v>
      </c>
      <c r="D163" s="47">
        <v>0</v>
      </c>
      <c r="E163" s="45"/>
      <c r="F163" s="45"/>
    </row>
    <row r="164" spans="1:6" ht="21" customHeight="1" x14ac:dyDescent="0.3">
      <c r="A164" s="79" t="s">
        <v>342</v>
      </c>
      <c r="B164" s="46">
        <v>30</v>
      </c>
      <c r="C164" s="47">
        <v>0</v>
      </c>
      <c r="D164" s="47">
        <v>3.5000000000000003E-2</v>
      </c>
      <c r="E164" s="45" t="s">
        <v>148</v>
      </c>
      <c r="F164" s="45"/>
    </row>
    <row r="165" spans="1:6" ht="21" customHeight="1" x14ac:dyDescent="0.3">
      <c r="A165" s="79" t="s">
        <v>374</v>
      </c>
      <c r="B165" s="46">
        <v>20</v>
      </c>
      <c r="C165" s="47">
        <v>0</v>
      </c>
      <c r="D165" s="47">
        <v>0</v>
      </c>
      <c r="E165" s="45" t="s">
        <v>186</v>
      </c>
      <c r="F165" s="45"/>
    </row>
    <row r="166" spans="1:6" ht="21" customHeight="1" x14ac:dyDescent="0.3">
      <c r="A166" s="79" t="s">
        <v>373</v>
      </c>
      <c r="B166" s="46">
        <v>20</v>
      </c>
      <c r="C166" s="47">
        <v>0</v>
      </c>
      <c r="D166" s="47">
        <v>0</v>
      </c>
      <c r="E166" s="45" t="s">
        <v>186</v>
      </c>
      <c r="F166" s="45"/>
    </row>
    <row r="167" spans="1:6" ht="21" customHeight="1" x14ac:dyDescent="0.3">
      <c r="A167" s="79" t="s">
        <v>343</v>
      </c>
      <c r="B167" s="46">
        <v>30</v>
      </c>
      <c r="C167" s="47">
        <v>0.19</v>
      </c>
      <c r="D167" s="47">
        <v>3.5000000000000003E-2</v>
      </c>
      <c r="E167" s="45" t="s">
        <v>288</v>
      </c>
      <c r="F167" s="45"/>
    </row>
    <row r="168" spans="1:6" ht="21" customHeight="1" x14ac:dyDescent="0.3">
      <c r="A168" s="79" t="s">
        <v>510</v>
      </c>
      <c r="B168" s="46">
        <v>30</v>
      </c>
      <c r="C168" s="47">
        <v>0.19</v>
      </c>
      <c r="D168" s="47">
        <v>2.5000000000000001E-2</v>
      </c>
      <c r="E168" s="45"/>
      <c r="F168" s="45"/>
    </row>
    <row r="169" spans="1:6" ht="21" customHeight="1" x14ac:dyDescent="0.3">
      <c r="A169" s="79" t="s">
        <v>18</v>
      </c>
      <c r="B169" s="46">
        <v>30</v>
      </c>
      <c r="C169" s="47">
        <v>0.19</v>
      </c>
      <c r="D169" s="47">
        <v>2.5000000000000001E-2</v>
      </c>
      <c r="E169" s="45" t="s">
        <v>266</v>
      </c>
      <c r="F169" s="45"/>
    </row>
    <row r="170" spans="1:6" ht="21" customHeight="1" x14ac:dyDescent="0.3">
      <c r="A170" s="79" t="s">
        <v>957</v>
      </c>
      <c r="B170" s="46">
        <v>10</v>
      </c>
      <c r="C170" s="47">
        <v>0.19</v>
      </c>
      <c r="D170" s="47">
        <v>0.04</v>
      </c>
      <c r="E170" s="45" t="s">
        <v>958</v>
      </c>
      <c r="F170" s="45"/>
    </row>
    <row r="171" spans="1:6" ht="21" customHeight="1" x14ac:dyDescent="0.3">
      <c r="A171" s="79" t="s">
        <v>34</v>
      </c>
      <c r="B171" s="46">
        <v>30</v>
      </c>
      <c r="C171" s="47">
        <v>0.19</v>
      </c>
      <c r="D171" s="47">
        <v>2.5000000000000001E-2</v>
      </c>
      <c r="E171" s="45" t="s">
        <v>267</v>
      </c>
      <c r="F171" s="45"/>
    </row>
    <row r="172" spans="1:6" ht="21" customHeight="1" x14ac:dyDescent="0.3">
      <c r="A172" s="79" t="s">
        <v>67</v>
      </c>
      <c r="B172" s="46">
        <v>30</v>
      </c>
      <c r="C172" s="47">
        <v>0</v>
      </c>
      <c r="D172" s="47">
        <v>0</v>
      </c>
      <c r="E172" s="45" t="s">
        <v>264</v>
      </c>
      <c r="F172" s="45"/>
    </row>
    <row r="173" spans="1:6" ht="21" customHeight="1" x14ac:dyDescent="0.3">
      <c r="A173" s="79" t="s">
        <v>455</v>
      </c>
      <c r="B173" s="46">
        <v>30</v>
      </c>
      <c r="C173" s="47">
        <v>0</v>
      </c>
      <c r="D173" s="47">
        <v>0</v>
      </c>
      <c r="E173" s="45" t="s">
        <v>475</v>
      </c>
      <c r="F173" s="45"/>
    </row>
    <row r="174" spans="1:6" ht="21" customHeight="1" x14ac:dyDescent="0.3">
      <c r="A174" s="79" t="s">
        <v>117</v>
      </c>
      <c r="B174" s="46">
        <v>30</v>
      </c>
      <c r="C174" s="47">
        <v>0</v>
      </c>
      <c r="D174" s="47">
        <v>0</v>
      </c>
      <c r="E174" s="45" t="s">
        <v>146</v>
      </c>
      <c r="F174" s="45"/>
    </row>
    <row r="175" spans="1:6" ht="21" customHeight="1" x14ac:dyDescent="0.3">
      <c r="A175" s="79" t="s">
        <v>70</v>
      </c>
      <c r="B175" s="46">
        <v>30</v>
      </c>
      <c r="C175" s="47">
        <v>0</v>
      </c>
      <c r="D175" s="47">
        <v>0</v>
      </c>
      <c r="E175" s="45" t="s">
        <v>146</v>
      </c>
      <c r="F175" s="45"/>
    </row>
    <row r="176" spans="1:6" ht="21" customHeight="1" x14ac:dyDescent="0.3">
      <c r="A176" s="79" t="s">
        <v>394</v>
      </c>
      <c r="B176" s="46">
        <v>10</v>
      </c>
      <c r="C176" s="47">
        <v>0</v>
      </c>
      <c r="D176" s="47">
        <v>0</v>
      </c>
      <c r="E176" s="45"/>
      <c r="F176" s="45"/>
    </row>
    <row r="177" spans="1:6" ht="21" customHeight="1" x14ac:dyDescent="0.3">
      <c r="A177" s="79" t="s">
        <v>63</v>
      </c>
      <c r="B177" s="46">
        <v>30</v>
      </c>
      <c r="C177" s="47">
        <v>0</v>
      </c>
      <c r="D177" s="47">
        <v>0</v>
      </c>
      <c r="E177" s="45" t="s">
        <v>146</v>
      </c>
      <c r="F177" s="45"/>
    </row>
    <row r="178" spans="1:6" ht="21" customHeight="1" x14ac:dyDescent="0.3">
      <c r="A178" s="79" t="s">
        <v>74</v>
      </c>
      <c r="B178" s="46">
        <v>30</v>
      </c>
      <c r="C178" s="47">
        <v>0</v>
      </c>
      <c r="D178" s="47">
        <v>0</v>
      </c>
      <c r="E178" s="45" t="s">
        <v>264</v>
      </c>
      <c r="F178" s="45"/>
    </row>
    <row r="179" spans="1:6" ht="21" customHeight="1" x14ac:dyDescent="0.3">
      <c r="A179" s="79" t="s">
        <v>145</v>
      </c>
      <c r="B179" s="46">
        <v>30</v>
      </c>
      <c r="C179" s="47">
        <v>0</v>
      </c>
      <c r="D179" s="47">
        <v>0</v>
      </c>
      <c r="E179" s="45" t="s">
        <v>264</v>
      </c>
      <c r="F179" s="45"/>
    </row>
    <row r="180" spans="1:6" ht="21" customHeight="1" x14ac:dyDescent="0.3">
      <c r="A180" s="79" t="s">
        <v>73</v>
      </c>
      <c r="B180" s="46">
        <v>30</v>
      </c>
      <c r="C180" s="47">
        <v>0</v>
      </c>
      <c r="D180" s="47">
        <v>0</v>
      </c>
      <c r="E180" s="45" t="s">
        <v>264</v>
      </c>
      <c r="F180" s="45"/>
    </row>
    <row r="181" spans="1:6" ht="21" customHeight="1" x14ac:dyDescent="0.3">
      <c r="A181" s="79" t="s">
        <v>118</v>
      </c>
      <c r="B181" s="46">
        <v>30</v>
      </c>
      <c r="C181" s="47">
        <v>0</v>
      </c>
      <c r="D181" s="47">
        <v>0</v>
      </c>
      <c r="E181" s="45" t="s">
        <v>264</v>
      </c>
      <c r="F181" s="45"/>
    </row>
    <row r="182" spans="1:6" ht="21" customHeight="1" x14ac:dyDescent="0.3">
      <c r="A182" s="79" t="s">
        <v>56</v>
      </c>
      <c r="B182" s="46">
        <v>30</v>
      </c>
      <c r="C182" s="47">
        <v>0</v>
      </c>
      <c r="D182" s="47">
        <v>0</v>
      </c>
      <c r="E182" s="45" t="s">
        <v>146</v>
      </c>
      <c r="F182" s="45"/>
    </row>
    <row r="183" spans="1:6" ht="21" customHeight="1" x14ac:dyDescent="0.3">
      <c r="A183" s="79" t="s">
        <v>54</v>
      </c>
      <c r="B183" s="46">
        <v>30</v>
      </c>
      <c r="C183" s="47">
        <v>0</v>
      </c>
      <c r="D183" s="47">
        <v>0</v>
      </c>
      <c r="E183" s="45" t="s">
        <v>146</v>
      </c>
      <c r="F183" s="43"/>
    </row>
    <row r="184" spans="1:6" ht="21" customHeight="1" x14ac:dyDescent="0.3">
      <c r="A184" s="79" t="s">
        <v>66</v>
      </c>
      <c r="B184" s="46">
        <v>30</v>
      </c>
      <c r="C184" s="47">
        <v>0.19</v>
      </c>
      <c r="D184" s="47">
        <v>2.5000000000000001E-2</v>
      </c>
      <c r="E184" s="45" t="s">
        <v>268</v>
      </c>
      <c r="F184" s="43"/>
    </row>
    <row r="185" spans="1:6" ht="21" customHeight="1" x14ac:dyDescent="0.3">
      <c r="A185" s="79" t="s">
        <v>143</v>
      </c>
      <c r="B185" s="46">
        <v>30</v>
      </c>
      <c r="C185" s="47">
        <v>0</v>
      </c>
      <c r="D185" s="47">
        <v>0</v>
      </c>
      <c r="E185" s="45" t="s">
        <v>258</v>
      </c>
      <c r="F185" s="45"/>
    </row>
    <row r="186" spans="1:6" ht="21" customHeight="1" x14ac:dyDescent="0.3">
      <c r="A186" s="79" t="s">
        <v>48</v>
      </c>
      <c r="B186" s="46">
        <v>30</v>
      </c>
      <c r="C186" s="47">
        <v>0.19</v>
      </c>
      <c r="D186" s="47">
        <v>2.5000000000000001E-2</v>
      </c>
      <c r="E186" s="45" t="s">
        <v>305</v>
      </c>
      <c r="F186" s="45"/>
    </row>
    <row r="187" spans="1:6" ht="21" customHeight="1" x14ac:dyDescent="0.3">
      <c r="A187" s="79" t="s">
        <v>226</v>
      </c>
      <c r="B187" s="46">
        <v>30</v>
      </c>
      <c r="C187" s="47">
        <v>0.19</v>
      </c>
      <c r="D187" s="47">
        <v>2.5000000000000001E-2</v>
      </c>
      <c r="E187" s="45" t="s">
        <v>532</v>
      </c>
      <c r="F187" s="45" t="s">
        <v>206</v>
      </c>
    </row>
    <row r="188" spans="1:6" ht="21" customHeight="1" x14ac:dyDescent="0.3">
      <c r="A188" s="79" t="s">
        <v>459</v>
      </c>
      <c r="B188" s="46">
        <v>30</v>
      </c>
      <c r="C188" s="47">
        <v>0.19</v>
      </c>
      <c r="D188" s="47">
        <v>2.5000000000000001E-2</v>
      </c>
      <c r="E188" s="45" t="s">
        <v>532</v>
      </c>
      <c r="F188" s="45" t="s">
        <v>206</v>
      </c>
    </row>
    <row r="189" spans="1:6" ht="21" customHeight="1" x14ac:dyDescent="0.3">
      <c r="A189" s="79" t="s">
        <v>570</v>
      </c>
      <c r="B189" s="46">
        <v>30</v>
      </c>
      <c r="C189" s="47">
        <v>0.19</v>
      </c>
      <c r="D189" s="47">
        <v>2.5000000000000001E-2</v>
      </c>
      <c r="E189" s="45" t="s">
        <v>1113</v>
      </c>
      <c r="F189" s="45"/>
    </row>
    <row r="190" spans="1:6" ht="21" customHeight="1" x14ac:dyDescent="0.3">
      <c r="A190" s="79" t="s">
        <v>165</v>
      </c>
      <c r="B190" s="46">
        <v>30</v>
      </c>
      <c r="C190" s="47">
        <v>0.19</v>
      </c>
      <c r="D190" s="47">
        <v>2.5000000000000001E-2</v>
      </c>
      <c r="E190" s="45"/>
      <c r="F190" s="45"/>
    </row>
    <row r="191" spans="1:6" ht="21" customHeight="1" x14ac:dyDescent="0.3">
      <c r="A191" s="79" t="s">
        <v>31</v>
      </c>
      <c r="B191" s="46">
        <v>90</v>
      </c>
      <c r="C191" s="47">
        <v>0</v>
      </c>
      <c r="D191" s="47">
        <v>0</v>
      </c>
      <c r="E191" s="45" t="s">
        <v>417</v>
      </c>
      <c r="F191" s="45"/>
    </row>
    <row r="192" spans="1:6" ht="21" customHeight="1" x14ac:dyDescent="0.3">
      <c r="A192" s="79" t="s">
        <v>33</v>
      </c>
      <c r="B192" s="46">
        <v>30</v>
      </c>
      <c r="C192" s="47">
        <v>0.19</v>
      </c>
      <c r="D192" s="47">
        <v>2.5000000000000001E-2</v>
      </c>
      <c r="E192" s="45" t="s">
        <v>484</v>
      </c>
      <c r="F192" s="45"/>
    </row>
    <row r="193" spans="1:6" ht="21" customHeight="1" x14ac:dyDescent="0.3">
      <c r="A193" s="79" t="s">
        <v>119</v>
      </c>
      <c r="B193" s="46">
        <v>30</v>
      </c>
      <c r="C193" s="47">
        <v>0.19</v>
      </c>
      <c r="D193" s="47">
        <v>0</v>
      </c>
      <c r="E193" s="45" t="s">
        <v>146</v>
      </c>
      <c r="F193" s="45"/>
    </row>
    <row r="194" spans="1:6" ht="21" customHeight="1" x14ac:dyDescent="0.3">
      <c r="A194" s="79" t="s">
        <v>120</v>
      </c>
      <c r="B194" s="46">
        <v>30</v>
      </c>
      <c r="C194" s="47">
        <v>0</v>
      </c>
      <c r="D194" s="47">
        <v>0</v>
      </c>
      <c r="E194" s="45" t="s">
        <v>270</v>
      </c>
      <c r="F194" s="45"/>
    </row>
    <row r="195" spans="1:6" ht="21" customHeight="1" x14ac:dyDescent="0.3">
      <c r="A195" s="79" t="s">
        <v>456</v>
      </c>
      <c r="B195" s="46">
        <v>30</v>
      </c>
      <c r="C195" s="47">
        <v>0</v>
      </c>
      <c r="D195" s="47">
        <v>0</v>
      </c>
      <c r="E195" s="45" t="s">
        <v>270</v>
      </c>
      <c r="F195" s="45"/>
    </row>
    <row r="196" spans="1:6" ht="21" customHeight="1" x14ac:dyDescent="0.3">
      <c r="A196" s="79" t="s">
        <v>966</v>
      </c>
      <c r="B196" s="46">
        <v>30</v>
      </c>
      <c r="C196" s="47">
        <v>0</v>
      </c>
      <c r="D196" s="47">
        <v>0</v>
      </c>
      <c r="E196" s="45" t="s">
        <v>270</v>
      </c>
      <c r="F196" s="45"/>
    </row>
    <row r="197" spans="1:6" ht="21" customHeight="1" x14ac:dyDescent="0.3">
      <c r="A197" s="79" t="s">
        <v>393</v>
      </c>
      <c r="B197" s="46">
        <v>30</v>
      </c>
      <c r="C197" s="47">
        <v>0</v>
      </c>
      <c r="D197" s="47">
        <v>0</v>
      </c>
      <c r="E197" s="45" t="s">
        <v>270</v>
      </c>
      <c r="F197" s="45"/>
    </row>
    <row r="198" spans="1:6" ht="21" customHeight="1" x14ac:dyDescent="0.3">
      <c r="A198" s="79" t="s">
        <v>78</v>
      </c>
      <c r="B198" s="46">
        <v>90</v>
      </c>
      <c r="C198" s="47">
        <v>0.19</v>
      </c>
      <c r="D198" s="47">
        <v>2.5000000000000001E-2</v>
      </c>
      <c r="E198" s="45" t="s">
        <v>271</v>
      </c>
      <c r="F198" s="45"/>
    </row>
    <row r="199" spans="1:6" ht="21" customHeight="1" x14ac:dyDescent="0.3">
      <c r="A199" s="79" t="s">
        <v>32</v>
      </c>
      <c r="B199" s="46">
        <v>30</v>
      </c>
      <c r="C199" s="47">
        <v>0.19</v>
      </c>
      <c r="D199" s="47">
        <v>2.5000000000000001E-2</v>
      </c>
      <c r="E199" s="45" t="s">
        <v>272</v>
      </c>
      <c r="F199" s="45"/>
    </row>
    <row r="200" spans="1:6" ht="21" customHeight="1" x14ac:dyDescent="0.3">
      <c r="A200" s="79" t="s">
        <v>515</v>
      </c>
      <c r="B200" s="46">
        <v>30</v>
      </c>
      <c r="C200" s="47">
        <v>0.19</v>
      </c>
      <c r="D200" s="47">
        <v>2.5000000000000001E-2</v>
      </c>
      <c r="E200" s="45" t="s">
        <v>532</v>
      </c>
      <c r="F200" s="45"/>
    </row>
    <row r="201" spans="1:6" ht="21" customHeight="1" x14ac:dyDescent="0.3">
      <c r="A201" s="79" t="s">
        <v>415</v>
      </c>
      <c r="B201" s="46">
        <v>30</v>
      </c>
      <c r="C201" s="47">
        <v>0.19</v>
      </c>
      <c r="D201" s="47">
        <v>2.5000000000000001E-2</v>
      </c>
      <c r="E201" s="45"/>
      <c r="F201" s="45"/>
    </row>
    <row r="202" spans="1:6" ht="21" customHeight="1" x14ac:dyDescent="0.3">
      <c r="A202" s="79" t="s">
        <v>121</v>
      </c>
      <c r="B202" s="46">
        <v>30</v>
      </c>
      <c r="C202" s="47">
        <v>0.19</v>
      </c>
      <c r="D202" s="47">
        <v>2.5000000000000001E-2</v>
      </c>
      <c r="E202" s="45" t="s">
        <v>146</v>
      </c>
      <c r="F202" s="45"/>
    </row>
    <row r="203" spans="1:6" ht="21" customHeight="1" x14ac:dyDescent="0.3">
      <c r="A203" s="79" t="s">
        <v>1146</v>
      </c>
      <c r="B203" s="46">
        <v>30</v>
      </c>
      <c r="C203" s="47">
        <v>0.19</v>
      </c>
      <c r="D203" s="47">
        <v>2.5000000000000001E-2</v>
      </c>
      <c r="E203" s="45" t="s">
        <v>273</v>
      </c>
      <c r="F203" s="45"/>
    </row>
    <row r="204" spans="1:6" ht="21" customHeight="1" x14ac:dyDescent="0.3">
      <c r="A204" s="79" t="s">
        <v>482</v>
      </c>
      <c r="B204" s="46">
        <v>30</v>
      </c>
      <c r="C204" s="47">
        <v>0.19</v>
      </c>
      <c r="D204" s="47">
        <v>2.5000000000000001E-2</v>
      </c>
      <c r="E204" s="45" t="s">
        <v>483</v>
      </c>
      <c r="F204" s="45"/>
    </row>
    <row r="205" spans="1:6" ht="21" customHeight="1" x14ac:dyDescent="0.3">
      <c r="A205" s="79" t="s">
        <v>27</v>
      </c>
      <c r="B205" s="46">
        <v>30</v>
      </c>
      <c r="C205" s="47">
        <v>0</v>
      </c>
      <c r="D205" s="47">
        <v>0</v>
      </c>
      <c r="E205" s="45" t="s">
        <v>146</v>
      </c>
      <c r="F205" s="45"/>
    </row>
    <row r="206" spans="1:6" ht="21" customHeight="1" x14ac:dyDescent="0.3">
      <c r="A206" s="79" t="s">
        <v>367</v>
      </c>
      <c r="B206" s="46">
        <v>30</v>
      </c>
      <c r="C206" s="47">
        <v>0.19</v>
      </c>
      <c r="D206" s="47">
        <v>0.01</v>
      </c>
      <c r="E206" s="45" t="s">
        <v>368</v>
      </c>
      <c r="F206" s="45"/>
    </row>
    <row r="207" spans="1:6" ht="21" customHeight="1" x14ac:dyDescent="0.3">
      <c r="A207" s="79" t="s">
        <v>17</v>
      </c>
      <c r="B207" s="46">
        <v>30</v>
      </c>
      <c r="C207" s="47">
        <v>0.19</v>
      </c>
      <c r="D207" s="47">
        <v>0</v>
      </c>
      <c r="E207" s="45" t="s">
        <v>274</v>
      </c>
      <c r="F207" s="45"/>
    </row>
    <row r="208" spans="1:6" ht="21" customHeight="1" x14ac:dyDescent="0.3">
      <c r="A208" s="79" t="s">
        <v>318</v>
      </c>
      <c r="B208" s="46">
        <v>10</v>
      </c>
      <c r="C208" s="47">
        <v>0</v>
      </c>
      <c r="D208" s="47">
        <v>0</v>
      </c>
      <c r="E208" s="45" t="s">
        <v>319</v>
      </c>
      <c r="F208" s="45"/>
    </row>
    <row r="209" spans="1:6" ht="21" customHeight="1" x14ac:dyDescent="0.3">
      <c r="A209" s="79" t="s">
        <v>356</v>
      </c>
      <c r="B209" s="46">
        <v>10</v>
      </c>
      <c r="C209" s="47">
        <v>0.19</v>
      </c>
      <c r="D209" s="47">
        <v>2.5000000000000001E-2</v>
      </c>
      <c r="E209" s="45" t="s">
        <v>357</v>
      </c>
      <c r="F209" s="45"/>
    </row>
    <row r="210" spans="1:6" ht="21" customHeight="1" x14ac:dyDescent="0.3">
      <c r="A210" s="79" t="s">
        <v>1095</v>
      </c>
      <c r="B210" s="46">
        <v>30</v>
      </c>
      <c r="C210" s="47">
        <v>0.19</v>
      </c>
      <c r="D210" s="47">
        <v>2.5000000000000001E-2</v>
      </c>
      <c r="E210" s="45" t="s">
        <v>275</v>
      </c>
      <c r="F210" s="45"/>
    </row>
    <row r="211" spans="1:6" ht="21" customHeight="1" x14ac:dyDescent="0.3">
      <c r="A211" s="79" t="s">
        <v>122</v>
      </c>
      <c r="B211" s="46">
        <v>30</v>
      </c>
      <c r="C211" s="47">
        <v>0.19</v>
      </c>
      <c r="D211" s="47">
        <v>2.5000000000000001E-2</v>
      </c>
      <c r="E211" s="45" t="s">
        <v>291</v>
      </c>
      <c r="F211" s="45" t="s">
        <v>290</v>
      </c>
    </row>
    <row r="212" spans="1:6" ht="21" customHeight="1" x14ac:dyDescent="0.3">
      <c r="A212" s="79" t="s">
        <v>1131</v>
      </c>
      <c r="B212" s="46">
        <v>30</v>
      </c>
      <c r="C212" s="47">
        <v>0.19</v>
      </c>
      <c r="D212" s="47">
        <v>2.5000000000000001E-2</v>
      </c>
      <c r="E212" s="45" t="s">
        <v>276</v>
      </c>
      <c r="F212" s="45"/>
    </row>
    <row r="213" spans="1:6" ht="21" customHeight="1" x14ac:dyDescent="0.3">
      <c r="A213" s="79" t="s">
        <v>19</v>
      </c>
      <c r="B213" s="46">
        <v>45</v>
      </c>
      <c r="C213" s="47">
        <v>0.19</v>
      </c>
      <c r="D213" s="47">
        <v>0</v>
      </c>
      <c r="E213" s="45" t="s">
        <v>277</v>
      </c>
      <c r="F213" s="45"/>
    </row>
    <row r="214" spans="1:6" ht="21" customHeight="1" x14ac:dyDescent="0.3">
      <c r="A214" s="79" t="s">
        <v>25</v>
      </c>
      <c r="B214" s="46">
        <v>30</v>
      </c>
      <c r="C214" s="47">
        <v>0.19</v>
      </c>
      <c r="D214" s="47">
        <v>3.5000000000000003E-2</v>
      </c>
      <c r="E214" s="45" t="s">
        <v>146</v>
      </c>
      <c r="F214" s="45"/>
    </row>
    <row r="215" spans="1:6" ht="21" customHeight="1" x14ac:dyDescent="0.3">
      <c r="A215" s="79" t="s">
        <v>123</v>
      </c>
      <c r="B215" s="46">
        <v>30</v>
      </c>
      <c r="C215" s="47">
        <v>0.19</v>
      </c>
      <c r="D215" s="47">
        <v>3.5000000000000003E-2</v>
      </c>
      <c r="E215" s="45" t="s">
        <v>146</v>
      </c>
      <c r="F215" s="45"/>
    </row>
    <row r="216" spans="1:6" ht="21" customHeight="1" x14ac:dyDescent="0.3">
      <c r="A216" s="79" t="s">
        <v>124</v>
      </c>
      <c r="B216" s="46">
        <v>30</v>
      </c>
      <c r="C216" s="47">
        <v>0.19</v>
      </c>
      <c r="D216" s="47">
        <v>3.5000000000000003E-2</v>
      </c>
      <c r="E216" s="83" t="s">
        <v>146</v>
      </c>
      <c r="F216" s="45"/>
    </row>
    <row r="217" spans="1:6" ht="21" customHeight="1" x14ac:dyDescent="0.3">
      <c r="A217" s="79" t="s">
        <v>71</v>
      </c>
      <c r="B217" s="46">
        <v>30</v>
      </c>
      <c r="C217" s="47">
        <v>0.19</v>
      </c>
      <c r="D217" s="47">
        <v>3.5000000000000003E-2</v>
      </c>
      <c r="E217" s="45" t="s">
        <v>146</v>
      </c>
      <c r="F217" s="45"/>
    </row>
    <row r="218" spans="1:6" ht="21" customHeight="1" x14ac:dyDescent="0.3">
      <c r="A218" s="79" t="s">
        <v>62</v>
      </c>
      <c r="B218" s="46">
        <v>30</v>
      </c>
      <c r="C218" s="47">
        <v>0.19</v>
      </c>
      <c r="D218" s="47">
        <v>3.5000000000000003E-2</v>
      </c>
      <c r="E218" s="45" t="s">
        <v>146</v>
      </c>
      <c r="F218" s="45"/>
    </row>
    <row r="219" spans="1:6" ht="21" customHeight="1" x14ac:dyDescent="0.3">
      <c r="A219" s="79" t="s">
        <v>45</v>
      </c>
      <c r="B219" s="46">
        <v>30</v>
      </c>
      <c r="C219" s="47">
        <v>0.19</v>
      </c>
      <c r="D219" s="47">
        <v>3.5000000000000003E-2</v>
      </c>
      <c r="E219" s="45" t="s">
        <v>146</v>
      </c>
      <c r="F219" s="45"/>
    </row>
    <row r="220" spans="1:6" ht="21" customHeight="1" x14ac:dyDescent="0.3">
      <c r="A220" s="79" t="s">
        <v>44</v>
      </c>
      <c r="B220" s="46">
        <v>30</v>
      </c>
      <c r="C220" s="47">
        <v>0.19</v>
      </c>
      <c r="D220" s="47">
        <v>3.5000000000000003E-2</v>
      </c>
      <c r="E220" s="45" t="s">
        <v>146</v>
      </c>
      <c r="F220" s="45"/>
    </row>
    <row r="221" spans="1:6" ht="21" customHeight="1" x14ac:dyDescent="0.3">
      <c r="A221" s="79" t="s">
        <v>55</v>
      </c>
      <c r="B221" s="46">
        <v>30</v>
      </c>
      <c r="C221" s="47">
        <v>0.19</v>
      </c>
      <c r="D221" s="47">
        <v>3.5000000000000003E-2</v>
      </c>
      <c r="E221" s="45" t="s">
        <v>146</v>
      </c>
      <c r="F221" s="45"/>
    </row>
    <row r="222" spans="1:6" ht="21" customHeight="1" x14ac:dyDescent="0.3">
      <c r="A222" s="79" t="s">
        <v>38</v>
      </c>
      <c r="B222" s="46">
        <v>30</v>
      </c>
      <c r="C222" s="47">
        <v>0</v>
      </c>
      <c r="D222" s="47">
        <v>0</v>
      </c>
      <c r="E222" s="45" t="s">
        <v>956</v>
      </c>
      <c r="F222" s="45"/>
    </row>
    <row r="223" spans="1:6" ht="21" customHeight="1" x14ac:dyDescent="0.3">
      <c r="A223" s="79" t="s">
        <v>448</v>
      </c>
      <c r="B223" s="46">
        <v>20</v>
      </c>
      <c r="C223" s="47">
        <v>0</v>
      </c>
      <c r="D223" s="47">
        <v>0.01</v>
      </c>
      <c r="E223" s="45" t="s">
        <v>349</v>
      </c>
      <c r="F223" s="45"/>
    </row>
    <row r="224" spans="1:6" ht="21" customHeight="1" x14ac:dyDescent="0.3">
      <c r="A224" s="79" t="s">
        <v>449</v>
      </c>
      <c r="B224" s="46">
        <v>20</v>
      </c>
      <c r="C224" s="47">
        <v>0</v>
      </c>
      <c r="D224" s="47">
        <v>0.01</v>
      </c>
      <c r="E224" s="82" t="s">
        <v>349</v>
      </c>
      <c r="F224" s="45"/>
    </row>
    <row r="225" spans="1:6" ht="21" customHeight="1" x14ac:dyDescent="0.3">
      <c r="A225" s="79" t="s">
        <v>450</v>
      </c>
      <c r="B225" s="46">
        <v>20</v>
      </c>
      <c r="C225" s="47">
        <v>0</v>
      </c>
      <c r="D225" s="47">
        <v>0.01</v>
      </c>
      <c r="E225" s="45" t="s">
        <v>349</v>
      </c>
      <c r="F225" s="45"/>
    </row>
    <row r="226" spans="1:6" ht="21" customHeight="1" x14ac:dyDescent="0.3">
      <c r="A226" s="79" t="s">
        <v>516</v>
      </c>
      <c r="B226" s="46">
        <v>20</v>
      </c>
      <c r="C226" s="47">
        <v>0</v>
      </c>
      <c r="D226" s="47">
        <v>0.01</v>
      </c>
      <c r="E226" s="45" t="s">
        <v>349</v>
      </c>
      <c r="F226" s="45"/>
    </row>
    <row r="227" spans="1:6" ht="21" customHeight="1" x14ac:dyDescent="0.3">
      <c r="A227" s="79" t="s">
        <v>395</v>
      </c>
      <c r="B227" s="46">
        <v>20</v>
      </c>
      <c r="C227" s="47">
        <v>0.19</v>
      </c>
      <c r="D227" s="47">
        <v>0.04</v>
      </c>
      <c r="E227" s="45" t="s">
        <v>349</v>
      </c>
      <c r="F227" s="45"/>
    </row>
    <row r="228" spans="1:6" ht="21" customHeight="1" x14ac:dyDescent="0.3">
      <c r="A228" s="79" t="s">
        <v>400</v>
      </c>
      <c r="B228" s="46">
        <v>20</v>
      </c>
      <c r="C228" s="47">
        <v>0.19</v>
      </c>
      <c r="D228" s="47">
        <v>0.04</v>
      </c>
      <c r="E228" s="45" t="s">
        <v>349</v>
      </c>
      <c r="F228" s="45"/>
    </row>
    <row r="229" spans="1:6" ht="21" customHeight="1" x14ac:dyDescent="0.3">
      <c r="A229" s="79" t="s">
        <v>377</v>
      </c>
      <c r="B229" s="46">
        <v>20</v>
      </c>
      <c r="C229" s="47">
        <v>0.19</v>
      </c>
      <c r="D229" s="47">
        <v>0.04</v>
      </c>
      <c r="E229" s="45" t="s">
        <v>349</v>
      </c>
      <c r="F229" s="45"/>
    </row>
    <row r="230" spans="1:6" ht="21" customHeight="1" x14ac:dyDescent="0.3">
      <c r="A230" s="79" t="s">
        <v>460</v>
      </c>
      <c r="B230" s="46">
        <v>30</v>
      </c>
      <c r="C230" s="47">
        <v>0.19</v>
      </c>
      <c r="D230" s="47">
        <v>0</v>
      </c>
      <c r="E230" s="45" t="s">
        <v>566</v>
      </c>
      <c r="F230" s="45"/>
    </row>
    <row r="231" spans="1:6" ht="21" customHeight="1" x14ac:dyDescent="0.3">
      <c r="A231" s="79" t="s">
        <v>26</v>
      </c>
      <c r="B231" s="46">
        <v>30</v>
      </c>
      <c r="C231" s="47">
        <v>0.19</v>
      </c>
      <c r="D231" s="47">
        <v>2.5000000000000001E-2</v>
      </c>
      <c r="E231" s="45" t="s">
        <v>306</v>
      </c>
      <c r="F231" s="45"/>
    </row>
    <row r="232" spans="1:6" ht="21" customHeight="1" x14ac:dyDescent="0.3">
      <c r="A232" s="79" t="s">
        <v>16</v>
      </c>
      <c r="B232" s="46">
        <v>30</v>
      </c>
      <c r="C232" s="47">
        <v>0.19</v>
      </c>
      <c r="D232" s="47">
        <v>2.5000000000000001E-2</v>
      </c>
      <c r="E232" s="45" t="s">
        <v>279</v>
      </c>
      <c r="F232" s="45"/>
    </row>
    <row r="233" spans="1:6" ht="21" customHeight="1" x14ac:dyDescent="0.3">
      <c r="A233" s="79" t="s">
        <v>64</v>
      </c>
      <c r="B233" s="46">
        <v>30</v>
      </c>
      <c r="C233" s="47">
        <v>0.19</v>
      </c>
      <c r="D233" s="47">
        <v>3.5000000000000003E-2</v>
      </c>
      <c r="E233" s="45" t="s">
        <v>146</v>
      </c>
      <c r="F233" s="45"/>
    </row>
    <row r="234" spans="1:6" ht="21" customHeight="1" x14ac:dyDescent="0.3">
      <c r="A234" s="79" t="s">
        <v>626</v>
      </c>
      <c r="B234" s="46">
        <v>30</v>
      </c>
      <c r="C234" s="47">
        <v>0.19</v>
      </c>
      <c r="D234" s="47">
        <v>2.5000000000000001E-2</v>
      </c>
      <c r="E234" s="45"/>
      <c r="F234" s="45"/>
    </row>
    <row r="235" spans="1:6" ht="21" customHeight="1" x14ac:dyDescent="0.3">
      <c r="A235" s="79" t="s">
        <v>224</v>
      </c>
      <c r="B235" s="46">
        <v>30</v>
      </c>
      <c r="C235" s="47">
        <v>0.19</v>
      </c>
      <c r="D235" s="47">
        <v>2.5000000000000001E-2</v>
      </c>
      <c r="E235" s="45" t="s">
        <v>259</v>
      </c>
      <c r="F235" s="45" t="s">
        <v>247</v>
      </c>
    </row>
    <row r="236" spans="1:6" ht="21" customHeight="1" x14ac:dyDescent="0.3">
      <c r="A236" s="79" t="s">
        <v>301</v>
      </c>
      <c r="B236" s="46">
        <v>20</v>
      </c>
      <c r="C236" s="47">
        <v>0</v>
      </c>
      <c r="D236" s="47">
        <v>0</v>
      </c>
      <c r="E236" s="45" t="s">
        <v>303</v>
      </c>
      <c r="F236" s="45"/>
    </row>
    <row r="237" spans="1:6" ht="21" customHeight="1" x14ac:dyDescent="0.3">
      <c r="A237" s="79" t="s">
        <v>163</v>
      </c>
      <c r="B237" s="46">
        <v>30</v>
      </c>
      <c r="C237" s="47">
        <v>0</v>
      </c>
      <c r="D237" s="47">
        <v>0</v>
      </c>
      <c r="E237" s="45" t="s">
        <v>164</v>
      </c>
      <c r="F237" s="45"/>
    </row>
    <row r="238" spans="1:6" ht="21" customHeight="1" x14ac:dyDescent="0.3">
      <c r="A238" s="79" t="s">
        <v>30</v>
      </c>
      <c r="B238" s="46">
        <v>30</v>
      </c>
      <c r="C238" s="47">
        <v>0</v>
      </c>
      <c r="D238" s="47">
        <v>0</v>
      </c>
      <c r="E238" s="45" t="s">
        <v>282</v>
      </c>
      <c r="F238" s="45"/>
    </row>
    <row r="239" spans="1:6" ht="21" customHeight="1" x14ac:dyDescent="0.3">
      <c r="A239" s="79" t="s">
        <v>39</v>
      </c>
      <c r="B239" s="46">
        <v>30</v>
      </c>
      <c r="C239" s="47">
        <v>0.19</v>
      </c>
      <c r="D239" s="47">
        <v>2.5000000000000001E-2</v>
      </c>
      <c r="E239" s="45" t="s">
        <v>283</v>
      </c>
      <c r="F239" s="45"/>
    </row>
    <row r="240" spans="1:6" ht="21" customHeight="1" x14ac:dyDescent="0.3">
      <c r="A240" s="79" t="s">
        <v>125</v>
      </c>
      <c r="B240" s="46">
        <v>30</v>
      </c>
      <c r="C240" s="47">
        <v>0.19</v>
      </c>
      <c r="D240" s="47">
        <v>2.5000000000000001E-2</v>
      </c>
      <c r="E240" s="45" t="s">
        <v>146</v>
      </c>
      <c r="F240" s="45"/>
    </row>
    <row r="241" spans="1:6" ht="21" customHeight="1" x14ac:dyDescent="0.3">
      <c r="A241" s="79" t="s">
        <v>15</v>
      </c>
      <c r="B241" s="46">
        <v>10</v>
      </c>
      <c r="C241" s="47">
        <v>0.19</v>
      </c>
      <c r="D241" s="47">
        <v>2.5000000000000001E-2</v>
      </c>
      <c r="E241" s="45" t="s">
        <v>146</v>
      </c>
      <c r="F241" s="45"/>
    </row>
    <row r="242" spans="1:6" ht="21" customHeight="1" x14ac:dyDescent="0.3">
      <c r="A242" s="79" t="s">
        <v>9</v>
      </c>
      <c r="B242" s="46">
        <v>30</v>
      </c>
      <c r="C242" s="47">
        <v>0.19</v>
      </c>
      <c r="D242" s="47">
        <v>2.5000000000000001E-2</v>
      </c>
      <c r="E242" s="45" t="s">
        <v>284</v>
      </c>
      <c r="F242" s="45"/>
    </row>
    <row r="243" spans="1:6" ht="21" customHeight="1" x14ac:dyDescent="0.3">
      <c r="A243" s="79" t="s">
        <v>480</v>
      </c>
      <c r="B243" s="46">
        <v>30</v>
      </c>
      <c r="C243" s="47">
        <v>0.19</v>
      </c>
      <c r="D243" s="47">
        <v>2.5000000000000001E-2</v>
      </c>
      <c r="E243" s="45" t="s">
        <v>475</v>
      </c>
      <c r="F243" s="45"/>
    </row>
    <row r="244" spans="1:6" ht="21" customHeight="1" x14ac:dyDescent="0.3">
      <c r="A244" s="79" t="s">
        <v>474</v>
      </c>
      <c r="B244" s="46">
        <v>30</v>
      </c>
      <c r="C244" s="47">
        <v>0.19</v>
      </c>
      <c r="D244" s="47">
        <v>2.5000000000000001E-2</v>
      </c>
      <c r="E244" s="45" t="s">
        <v>644</v>
      </c>
      <c r="F244" s="45"/>
    </row>
    <row r="245" spans="1:6" ht="21" customHeight="1" x14ac:dyDescent="0.3">
      <c r="A245" s="79" t="s">
        <v>28</v>
      </c>
      <c r="B245" s="46">
        <v>30</v>
      </c>
      <c r="C245" s="47">
        <v>0</v>
      </c>
      <c r="D245" s="47">
        <v>0</v>
      </c>
      <c r="E245" s="45" t="s">
        <v>146</v>
      </c>
      <c r="F245" s="45"/>
    </row>
    <row r="246" spans="1:6" ht="21" customHeight="1" x14ac:dyDescent="0.3">
      <c r="A246" s="79" t="s">
        <v>46</v>
      </c>
      <c r="B246" s="46">
        <v>30</v>
      </c>
      <c r="C246" s="47">
        <v>0.19</v>
      </c>
      <c r="D246" s="47">
        <v>2.5000000000000001E-2</v>
      </c>
      <c r="E246" s="45" t="s">
        <v>146</v>
      </c>
      <c r="F246" s="45"/>
    </row>
    <row r="247" spans="1:6" ht="21" customHeight="1" x14ac:dyDescent="0.3">
      <c r="A247" s="79" t="s">
        <v>23</v>
      </c>
      <c r="B247" s="46">
        <v>10</v>
      </c>
      <c r="C247" s="47">
        <v>0</v>
      </c>
      <c r="D247" s="47">
        <v>0</v>
      </c>
      <c r="E247" s="45" t="s">
        <v>146</v>
      </c>
      <c r="F247" s="45"/>
    </row>
    <row r="248" spans="1:6" ht="21" customHeight="1" x14ac:dyDescent="0.3">
      <c r="A248" s="79" t="s">
        <v>10</v>
      </c>
      <c r="B248" s="46">
        <v>45</v>
      </c>
      <c r="C248" s="47">
        <v>0.19</v>
      </c>
      <c r="D248" s="47">
        <v>0</v>
      </c>
      <c r="E248" s="45" t="s">
        <v>285</v>
      </c>
      <c r="F248" s="45"/>
    </row>
    <row r="249" spans="1:6" ht="21" customHeight="1" x14ac:dyDescent="0.3">
      <c r="A249" s="79" t="s">
        <v>43</v>
      </c>
      <c r="B249" s="46">
        <v>30</v>
      </c>
      <c r="C249" s="47">
        <v>0.19</v>
      </c>
      <c r="D249" s="47">
        <v>2.5000000000000001E-2</v>
      </c>
      <c r="E249" s="45" t="s">
        <v>286</v>
      </c>
      <c r="F249" s="45"/>
    </row>
    <row r="250" spans="1:6" ht="21" customHeight="1" x14ac:dyDescent="0.3">
      <c r="A250" s="79" t="s">
        <v>14</v>
      </c>
      <c r="B250" s="46">
        <v>30</v>
      </c>
      <c r="C250" s="47">
        <v>0.19</v>
      </c>
      <c r="D250" s="47">
        <v>2.5000000000000001E-2</v>
      </c>
      <c r="E250" s="45" t="s">
        <v>287</v>
      </c>
      <c r="F250" s="45"/>
    </row>
    <row r="251" spans="1:6" ht="21" customHeight="1" x14ac:dyDescent="0.3">
      <c r="A251" s="79" t="s">
        <v>75</v>
      </c>
      <c r="B251" s="46">
        <v>30</v>
      </c>
      <c r="C251" s="47">
        <v>0.19</v>
      </c>
      <c r="D251" s="47">
        <v>2.5000000000000001E-2</v>
      </c>
      <c r="E251" s="83" t="s">
        <v>146</v>
      </c>
      <c r="F251" s="45"/>
    </row>
    <row r="252" spans="1:6" ht="21" customHeight="1" x14ac:dyDescent="0.3">
      <c r="A252" s="79" t="s">
        <v>11</v>
      </c>
      <c r="B252" s="46">
        <v>30</v>
      </c>
      <c r="C252" s="47">
        <v>0.19</v>
      </c>
      <c r="D252" s="47">
        <v>2.5000000000000001E-2</v>
      </c>
      <c r="E252" s="83" t="s">
        <v>289</v>
      </c>
      <c r="F252" s="45"/>
    </row>
    <row r="253" spans="1:6" ht="21" customHeight="1" x14ac:dyDescent="0.3">
      <c r="A253" s="79" t="s">
        <v>225</v>
      </c>
      <c r="B253" s="46">
        <v>30</v>
      </c>
      <c r="C253" s="47">
        <v>0.19</v>
      </c>
      <c r="D253" s="47">
        <v>2.5000000000000001E-2</v>
      </c>
      <c r="E253" s="45" t="s">
        <v>259</v>
      </c>
      <c r="F253" s="45"/>
    </row>
    <row r="254" spans="1:6" ht="21" customHeight="1" x14ac:dyDescent="0.3">
      <c r="A254" s="79" t="s">
        <v>13</v>
      </c>
      <c r="B254" s="46">
        <v>30</v>
      </c>
      <c r="C254" s="47">
        <v>0.19</v>
      </c>
      <c r="D254" s="47">
        <v>2.5000000000000001E-2</v>
      </c>
      <c r="E254" s="45" t="s">
        <v>259</v>
      </c>
      <c r="F254" s="45"/>
    </row>
    <row r="255" spans="1:6" ht="21" customHeight="1" x14ac:dyDescent="0.3">
      <c r="A255" s="79" t="s">
        <v>315</v>
      </c>
      <c r="B255" s="46">
        <v>30</v>
      </c>
      <c r="C255" s="47">
        <v>0.19</v>
      </c>
      <c r="D255" s="47">
        <v>2.5000000000000001E-2</v>
      </c>
      <c r="E255" s="45" t="s">
        <v>475</v>
      </c>
      <c r="F255" s="45"/>
    </row>
    <row r="256" spans="1:6" ht="21" customHeight="1" x14ac:dyDescent="0.3">
      <c r="A256" s="79" t="s">
        <v>1106</v>
      </c>
      <c r="B256" s="46">
        <v>90</v>
      </c>
      <c r="C256" s="47">
        <v>0</v>
      </c>
      <c r="D256" s="47">
        <v>3.5000000000000003E-2</v>
      </c>
      <c r="E256" s="45" t="s">
        <v>1105</v>
      </c>
      <c r="F256" s="45"/>
    </row>
    <row r="257" spans="1:6" ht="21" customHeight="1" x14ac:dyDescent="0.3">
      <c r="A257" s="79" t="s">
        <v>1117</v>
      </c>
      <c r="B257" s="46">
        <v>30</v>
      </c>
      <c r="C257" s="47">
        <v>0</v>
      </c>
      <c r="D257" s="47">
        <v>0</v>
      </c>
      <c r="E257" s="45" t="s">
        <v>1116</v>
      </c>
      <c r="F257" s="45"/>
    </row>
    <row r="258" spans="1:6" ht="21" customHeight="1" x14ac:dyDescent="0.3">
      <c r="A258" s="79" t="s">
        <v>1159</v>
      </c>
      <c r="B258" s="46">
        <v>30</v>
      </c>
      <c r="C258" s="47">
        <v>0.19</v>
      </c>
      <c r="D258" s="47">
        <v>2.5000000000000001E-2</v>
      </c>
      <c r="E258" s="45"/>
      <c r="F258" s="45"/>
    </row>
    <row r="259" spans="1:6" ht="21" customHeight="1" x14ac:dyDescent="0.3">
      <c r="A259" s="79" t="s">
        <v>1275</v>
      </c>
      <c r="B259" s="46">
        <v>30</v>
      </c>
      <c r="C259" s="47">
        <v>0.19</v>
      </c>
      <c r="D259" s="47">
        <v>0</v>
      </c>
      <c r="E259" s="83" t="s">
        <v>1276</v>
      </c>
      <c r="F259" s="45"/>
    </row>
  </sheetData>
  <conditionalFormatting sqref="A1:A259">
    <cfRule type="expression" dxfId="154" priority="22">
      <formula>$S1="Por pagar"</formula>
    </cfRule>
    <cfRule type="expression" dxfId="153" priority="23">
      <formula>$S1="Vencida"</formula>
    </cfRule>
    <cfRule type="expression" dxfId="152" priority="24">
      <formula>$S1="Pagada"</formula>
    </cfRule>
  </conditionalFormatting>
  <conditionalFormatting sqref="A227">
    <cfRule type="expression" dxfId="151" priority="19">
      <formula>$S227="Por pagar"</formula>
    </cfRule>
    <cfRule type="expression" dxfId="150" priority="20">
      <formula>$S227="Vencida"</formula>
    </cfRule>
    <cfRule type="expression" dxfId="149" priority="21">
      <formula>$S227="Pagada"</formula>
    </cfRule>
  </conditionalFormatting>
  <conditionalFormatting sqref="A239">
    <cfRule type="expression" dxfId="148" priority="16">
      <formula>$S239="Por pagar"</formula>
    </cfRule>
    <cfRule type="expression" dxfId="147" priority="17">
      <formula>$S239="Vencida"</formula>
    </cfRule>
    <cfRule type="expression" dxfId="146" priority="18">
      <formula>$S239="Pagada"</formula>
    </cfRule>
  </conditionalFormatting>
  <conditionalFormatting sqref="A241">
    <cfRule type="expression" dxfId="145" priority="13">
      <formula>$S241="Por pagar"</formula>
    </cfRule>
    <cfRule type="expression" dxfId="144" priority="14">
      <formula>$S241="Vencida"</formula>
    </cfRule>
    <cfRule type="expression" dxfId="143" priority="15">
      <formula>$S241="Pagada"</formula>
    </cfRule>
  </conditionalFormatting>
  <conditionalFormatting sqref="A244">
    <cfRule type="expression" dxfId="142" priority="10">
      <formula>$S244="Por pagar"</formula>
    </cfRule>
    <cfRule type="expression" dxfId="141" priority="11">
      <formula>$S244="Vencida"</formula>
    </cfRule>
    <cfRule type="expression" dxfId="140" priority="12">
      <formula>$S244="Pagada"</formula>
    </cfRule>
  </conditionalFormatting>
  <conditionalFormatting sqref="A247">
    <cfRule type="expression" dxfId="139" priority="7">
      <formula>$S247="Por pagar"</formula>
    </cfRule>
    <cfRule type="expression" dxfId="138" priority="8">
      <formula>$S247="Vencida"</formula>
    </cfRule>
    <cfRule type="expression" dxfId="137" priority="9">
      <formula>$S247="Pagada"</formula>
    </cfRule>
  </conditionalFormatting>
  <conditionalFormatting sqref="A250">
    <cfRule type="expression" dxfId="136" priority="4">
      <formula>$S250="Por pagar"</formula>
    </cfRule>
    <cfRule type="expression" dxfId="135" priority="5">
      <formula>$S250="Vencida"</formula>
    </cfRule>
    <cfRule type="expression" dxfId="134" priority="6">
      <formula>$S250="Pagada"</formula>
    </cfRule>
  </conditionalFormatting>
  <conditionalFormatting sqref="A254">
    <cfRule type="expression" dxfId="133" priority="1">
      <formula>$S254="Por pagar"</formula>
    </cfRule>
    <cfRule type="expression" dxfId="132" priority="2">
      <formula>$S254="Vencida"</formula>
    </cfRule>
    <cfRule type="expression" dxfId="131" priority="3">
      <formula>$S254="Pagada"</formula>
    </cfRule>
  </conditionalFormatting>
  <dataValidations count="1">
    <dataValidation type="list" allowBlank="1" showInputMessage="1" showErrorMessage="1" error="Primero crea el proveedor en la hoja &quot;Proveedores&quot;." sqref="A218" xr:uid="{77572996-20EB-437C-9030-DFC47C99B2D6}">
      <formula1>$A:$A</formula1>
    </dataValidation>
  </dataValidations>
  <hyperlinks>
    <hyperlink ref="E252" r:id="rId1" display="carloseuristika@hotmail.com;girlesa.ruiz@servipilas.com;joriescobar64@gmail.com" xr:uid="{561982AE-06ED-4F50-A56D-EE26D2CC75EE}"/>
    <hyperlink ref="E251" r:id="rId2" display="howardlondono@impocarga.com;oswaldo.alvarez@logimexsas.com;girlesa.ruiz@servipilas.com;joriescobar64@gmail.com" xr:uid="{FAA7D466-4997-45EB-951F-8361C0637145}"/>
    <hyperlink ref="E216" r:id="rId3" display="vcortes@power-sonic.com;alexander.baur@power-sonic.com;jirias@power-sonic.com;girlesa.ruiz@servipilas.com;joriescobar64@gmail.com;info@servipilas.com" xr:uid="{4E77A19D-4B3C-488C-9FBA-1EF577DE97F9}"/>
    <hyperlink ref="E250" r:id="rId4" display="jessica.barrios@carpainternacional;girlesa.ruiz@servipilas.com;joriescobar64@gmail.com" xr:uid="{ED4B35BD-DD15-49F7-AE9E-CB75C4F21A5A}"/>
    <hyperlink ref="E238" r:id="rId5" display="lpena@tbplusenergy.com;girlesa.ruiz@servipilas.com;joriescobar64@gmail.com" xr:uid="{2E0BF1B0-F7E1-4748-9780-C1F63208C01D}"/>
    <hyperlink ref="E102" r:id="rId6" display="jessica.barrios@carpainternacional;girlesa.ruiz@servipilas.com;joriescobar64@gmail.com" xr:uid="{00D1BA77-5CD7-41B8-9B30-D0FD87A6EDB3}"/>
    <hyperlink ref="E185" r:id="rId7" display="jmacias@nanicastation.com.co;facturas@nanicastation.com.co;girlesa.ruiz@servipilas.com;joriescobar64@gmail.com" xr:uid="{A30216ED-A36B-42B0-BBB8-8CB32EA27205}"/>
    <hyperlink ref="E103" r:id="rId8" display="jessica.barrios@carpainternacional;girlesa.ruiz@servipilas.com;joriescobar64@gmail.com" xr:uid="{7249B88F-12EB-47AD-A1D5-CA4D648B62F8}"/>
    <hyperlink ref="E143" r:id="rId9" display="ventasonline@disantioquia.com.co;girlesa.ruiz@servipilas.com;joriescobar64@gmail.com" xr:uid="{1493E242-3F3F-44E8-9284-46B2AE0166D7}"/>
    <hyperlink ref="E111" r:id="rId10" display="financiero@dmariocolombia.com;cartera@dmariocolombia.com.co;girlesa.ruiz@servipilas.com;joriescobar64@gmail.com" xr:uid="{CE62F396-7DD1-446B-834E-847DE56C5EAE}"/>
    <hyperlink ref="E101" r:id="rId11" display="jessica.barrios@carpainternacional;girlesa.ruiz@servipilas.com;joriescobar64@gmail.com" xr:uid="{1D84D8E0-3181-4565-AA6E-87BF9B04CCB7}"/>
    <hyperlink ref="E94" r:id="rId12" display="alexenriquez73.ae@gmail.com;girlesa.ruiz@servipilas.com;joriescobar64@gmail.com;info@servipilas.com" xr:uid="{DA082B31-23E6-4BC8-A2B1-606CD8D34C75}"/>
    <hyperlink ref="E195" r:id="rId13" display="jarlysas@gmail.com;o.clockinternational@gmail.com;girlesa.ruiz@servipilas.com;joriescobar64@gmail.com" xr:uid="{8E3CC133-9FBA-4656-B5E4-26A0219F2904}"/>
    <hyperlink ref="E184" r:id="rId14" display="jarlysas@gmail.com;o.clockinternational@gmail.com;girlesa.ruiz@servipilas.com;joriescobar64@gmail.com" xr:uid="{3F18548B-0AB9-4A3D-9F35-2549ECC305BF}"/>
    <hyperlink ref="E183" r:id="rId15" display="jarlysas@gmail.com;o.clockinternational@gmail.com;girlesa.ruiz@servipilas.com;joriescobar64@gmail.com" xr:uid="{3FB427FE-00DC-4C59-9D65-121EDF91ED6B}"/>
    <hyperlink ref="E45" r:id="rId16" display="jarlysas@gmail.com;o.clockinternational@gmail.com;girlesa.ruiz@servipilas.com;joriescobar64@gmail.com" xr:uid="{A2CA6E71-6063-46BD-933B-4C714D6DAB5A}"/>
    <hyperlink ref="E198" r:id="rId17" display="globalpowerc2018@gmail.com;girlesa.ruiz@servipilas.com;joriescobar64@gmail.com" xr:uid="{01663586-B004-457E-89DB-C9F486A2F704}"/>
    <hyperlink ref="E153" r:id="rId18" display="propertymarketingsas@hotmail.com;girlesa.ruiz@servipilas.com;joriescobar64@gmail.com" xr:uid="{959A3DEC-43D0-40CE-92E7-2D93F4FDE57B}"/>
    <hyperlink ref="E259" r:id="rId19" xr:uid="{4C45EAF0-13B8-4174-AAF4-89A4F2A92339}"/>
    <hyperlink ref="E13" r:id="rId20" xr:uid="{B08EE749-2121-4642-9E43-DD9DC668BA9E}"/>
  </hyperlinks>
  <pageMargins left="0.7" right="0.7" top="0.75" bottom="0.75" header="0.3" footer="0.3"/>
  <pageSetup paperSize="9" orientation="portrait" r:id="rId21"/>
  <tableParts count="1">
    <tablePart r:id="rId2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3A3E7A7-CB98-41AF-AE94-25109BF1F93E}">
          <x14:formula1>
            <xm:f>'Retenciones'!$A$2:$A$5</xm:f>
          </x14:formula1>
          <xm:sqref>D252:D253 D260:E1048576</xm:sqref>
        </x14:dataValidation>
        <x14:dataValidation type="list" allowBlank="1" showInputMessage="1" showErrorMessage="1" xr:uid="{338FA979-4EC3-4742-8CA6-68989B60D357}">
          <x14:formula1>
            <xm:f>'Retenciones'!$A:$A</xm:f>
          </x14:formula1>
          <xm:sqref>D2:D251 D254:D259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AH1422"/>
  <sheetViews>
    <sheetView topLeftCell="C1403" zoomScaleNormal="100" workbookViewId="0">
      <selection activeCell="C1" sqref="C1:T1422"/>
    </sheetView>
  </sheetViews>
  <sheetFormatPr baseColWidth="10" defaultColWidth="11.44140625" defaultRowHeight="21.9" customHeight="1" x14ac:dyDescent="0.3"/>
  <cols>
    <col min="1" max="1" width="10" style="40" hidden="1" customWidth="1"/>
    <col min="2" max="2" width="15.5546875" style="51" hidden="1" customWidth="1"/>
    <col min="3" max="3" width="7.6640625" style="35" customWidth="1"/>
    <col min="4" max="4" width="15.88671875" style="36" customWidth="1"/>
    <col min="5" max="5" width="14.44140625" style="36" customWidth="1"/>
    <col min="6" max="6" width="9.5546875" style="36" customWidth="1"/>
    <col min="7" max="7" width="13.88671875" style="111" customWidth="1"/>
    <col min="8" max="8" width="39.33203125" style="36" customWidth="1"/>
    <col min="9" max="9" width="13.88671875" style="37" customWidth="1"/>
    <col min="10" max="10" width="17.33203125" style="37" customWidth="1"/>
    <col min="11" max="11" width="17.88671875" style="37" customWidth="1"/>
    <col min="12" max="12" width="9.5546875" style="50" customWidth="1"/>
    <col min="13" max="13" width="13.5546875" style="38" customWidth="1"/>
    <col min="14" max="14" width="9.6640625" style="38" customWidth="1"/>
    <col min="15" max="15" width="11.5546875" style="38" customWidth="1"/>
    <col min="16" max="16" width="10.109375" style="39" customWidth="1"/>
    <col min="17" max="17" width="9.109375" style="32" customWidth="1"/>
    <col min="18" max="18" width="14.109375" style="29" customWidth="1"/>
    <col min="19" max="19" width="14.109375" style="116" customWidth="1"/>
    <col min="20" max="20" width="10" style="33" customWidth="1"/>
    <col min="21" max="21" width="15.88671875" style="33" customWidth="1"/>
    <col min="22" max="22" width="14.109375" style="33" customWidth="1"/>
    <col min="23" max="23" width="11.44140625" customWidth="1"/>
    <col min="24" max="24" width="11.44140625" style="70" customWidth="1"/>
    <col min="25" max="25" width="11.44140625" customWidth="1"/>
    <col min="26" max="27" width="11.44140625" style="32" customWidth="1"/>
    <col min="28" max="28" width="13.5546875" style="33" customWidth="1"/>
    <col min="29" max="29" width="11.44140625" style="29" customWidth="1"/>
    <col min="30" max="30" width="14.88671875" style="29" customWidth="1"/>
    <col min="31" max="31" width="23.6640625" style="29" customWidth="1"/>
    <col min="32" max="32" width="11.5546875" style="29" customWidth="1"/>
    <col min="33" max="33" width="12.44140625" style="33" customWidth="1"/>
    <col min="34" max="34" width="17.109375" style="34" customWidth="1"/>
    <col min="35" max="35" width="11.44140625" style="29" customWidth="1"/>
    <col min="36" max="37" width="17.109375" style="29" customWidth="1"/>
    <col min="38" max="16384" width="11.44140625" style="29"/>
  </cols>
  <sheetData>
    <row r="1" spans="1:22" s="24" customFormat="1" ht="62.25" customHeight="1" x14ac:dyDescent="0.3">
      <c r="A1" s="16" t="s">
        <v>8</v>
      </c>
      <c r="B1" s="16" t="s">
        <v>193</v>
      </c>
      <c r="C1" s="16" t="s">
        <v>4</v>
      </c>
      <c r="D1" s="17" t="s">
        <v>183</v>
      </c>
      <c r="E1" s="17" t="s">
        <v>5</v>
      </c>
      <c r="F1" s="17" t="s">
        <v>128</v>
      </c>
      <c r="G1" s="108" t="s">
        <v>6</v>
      </c>
      <c r="H1" s="19" t="s">
        <v>3</v>
      </c>
      <c r="I1" s="18" t="s">
        <v>1</v>
      </c>
      <c r="J1" s="49" t="s">
        <v>2</v>
      </c>
      <c r="K1" s="19" t="s">
        <v>108</v>
      </c>
      <c r="L1" s="20" t="s">
        <v>130</v>
      </c>
      <c r="M1" s="21" t="s">
        <v>109</v>
      </c>
      <c r="N1" s="20" t="s">
        <v>111</v>
      </c>
      <c r="O1" s="20" t="s">
        <v>112</v>
      </c>
      <c r="P1" s="22" t="s">
        <v>114</v>
      </c>
      <c r="Q1" s="20" t="s">
        <v>113</v>
      </c>
      <c r="R1" s="19" t="s">
        <v>110</v>
      </c>
      <c r="S1" s="114" t="s">
        <v>1181</v>
      </c>
      <c r="T1" s="23" t="s">
        <v>7</v>
      </c>
      <c r="V1" s="70"/>
    </row>
    <row r="2" spans="1:22" ht="21.9" customHeight="1" x14ac:dyDescent="0.3">
      <c r="A2" s="113" t="str">
        <f>+IF(PROVEEDORES[[#This Row],[FECHA DE PAGO]]=PROVEEDORES[[#This Row],[FECHA DE FACTURACIÓN]],"DE CONTADO","CRÉDITO")</f>
        <v>CRÉDITO</v>
      </c>
      <c r="B2" s="51" t="b">
        <f>+IF((PROVEEDORES[[#This Row],[FECHA DE PAGO]]-PROVEEDORES[[#This Row],[FECHA DE FACTURACIÓN]])&gt;PROVEEDORES[[#This Row],[PLAZO Días]],"PAGO VENCIDO")</f>
        <v>0</v>
      </c>
      <c r="C2" s="25">
        <f>+VLOOKUP(PROVEEDORES[[#This Row],[PROVEEDOR]],TERCEROS_INFO[#All],2,FALSE)</f>
        <v>90</v>
      </c>
      <c r="D2" s="30">
        <f>+SUMIFS(PROVEEDORES[Total],PROVEEDORES[PROVEEDOR],PROVEEDORES[[#This Row],[PROVEEDOR]],PROVEEDORES[FECHA DE PAGO],"")</f>
        <v>0</v>
      </c>
      <c r="E2" s="30"/>
      <c r="F2" s="73" t="str">
        <f>+VLOOKUP(PROVEEDORES[[#This Row],[PROVEEDOR]],TERCEROS_INFO[[PROVEEDOR]:[CORREO]],5,FALSE)</f>
        <v/>
      </c>
      <c r="G2" s="111">
        <v>44201</v>
      </c>
      <c r="H2" s="31" t="s">
        <v>1024</v>
      </c>
      <c r="I2" s="111">
        <v>44136</v>
      </c>
      <c r="J2" s="48">
        <v>1120</v>
      </c>
      <c r="K2" s="26">
        <v>990000</v>
      </c>
      <c r="L2" s="26"/>
      <c r="M2" s="27">
        <v>0</v>
      </c>
      <c r="N2" s="28"/>
      <c r="O2" s="27">
        <v>0</v>
      </c>
      <c r="P2" s="28">
        <v>0</v>
      </c>
      <c r="Q2" s="27">
        <v>0</v>
      </c>
      <c r="R2" s="26">
        <v>990000</v>
      </c>
      <c r="S2" s="115">
        <f ca="1">IF(PROVEEDORES[[#This Row],[FECHA DE PAGO]]=0,TODAY()-PROVEEDORES[[#This Row],[FECHA DE FACTURACIÓN]]-PROVEEDORES[[#This Row],[PLAZO Días]],0)</f>
        <v>0</v>
      </c>
      <c r="T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" spans="1:22" ht="21.9" customHeight="1" x14ac:dyDescent="0.3">
      <c r="A3" s="113" t="str">
        <f>+IF(PROVEEDORES[[#This Row],[FECHA DE PAGO]]=PROVEEDORES[[#This Row],[FECHA DE FACTURACIÓN]],"DE CONTADO","CRÉDITO")</f>
        <v>CRÉDITO</v>
      </c>
      <c r="B3" s="51" t="str">
        <f>+IF((PROVEEDORES[[#This Row],[FECHA DE PAGO]]-PROVEEDORES[[#This Row],[FECHA DE FACTURACIÓN]])&gt;PROVEEDORES[[#This Row],[PLAZO Días]],"PAGO VENCIDO")</f>
        <v>PAGO VENCIDO</v>
      </c>
      <c r="C3" s="25">
        <f>+VLOOKUP(PROVEEDORES[[#This Row],[PROVEEDOR]],TERCEROS_INFO[#All],2,FALSE)</f>
        <v>30</v>
      </c>
      <c r="D3" s="30">
        <f>+SUMIFS(PROVEEDORES[Total],PROVEEDORES[PROVEEDOR],PROVEEDORES[[#This Row],[PROVEEDOR]],PROVEEDORES[FECHA DE PAGO],"")</f>
        <v>0</v>
      </c>
      <c r="E3" s="30"/>
      <c r="F3" s="73" t="str">
        <f>+VLOOKUP(PROVEEDORES[[#This Row],[PROVEEDOR]],TERCEROS_INFO[[PROVEEDOR]:[CORREO]],5,FALSE)</f>
        <v>swizzeraux2@gmail.com;girlesa.ruiz@servipilas.com;joriescobar64@gmail.com</v>
      </c>
      <c r="G3" s="111">
        <v>44210</v>
      </c>
      <c r="H3" s="31" t="s">
        <v>1077</v>
      </c>
      <c r="I3" s="111">
        <v>44138</v>
      </c>
      <c r="J3" s="48">
        <v>2458</v>
      </c>
      <c r="K3" s="26">
        <v>119000</v>
      </c>
      <c r="L3" s="26"/>
      <c r="M3" s="27">
        <v>0</v>
      </c>
      <c r="N3" s="28"/>
      <c r="O3" s="27">
        <v>0</v>
      </c>
      <c r="P3" s="28">
        <v>0</v>
      </c>
      <c r="Q3" s="27">
        <v>0</v>
      </c>
      <c r="R3" s="26">
        <v>119000</v>
      </c>
      <c r="S3" s="115">
        <f ca="1">IF(PROVEEDORES[[#This Row],[FECHA DE PAGO]]=0,TODAY()-PROVEEDORES[[#This Row],[FECHA DE FACTURACIÓN]]-PROVEEDORES[[#This Row],[PLAZO Días]],0)</f>
        <v>0</v>
      </c>
      <c r="T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" spans="1:22" ht="21.9" customHeight="1" x14ac:dyDescent="0.3">
      <c r="A4" s="113" t="str">
        <f>+IF(PROVEEDORES[[#This Row],[FECHA DE PAGO]]=PROVEEDORES[[#This Row],[FECHA DE FACTURACIÓN]],"DE CONTADO","CRÉDITO")</f>
        <v>CRÉDITO</v>
      </c>
      <c r="B4" s="51" t="str">
        <f>+IF((PROVEEDORES[[#This Row],[FECHA DE PAGO]]-PROVEEDORES[[#This Row],[FECHA DE FACTURACIÓN]])&gt;PROVEEDORES[[#This Row],[PLAZO Días]],"PAGO VENCIDO")</f>
        <v>PAGO VENCIDO</v>
      </c>
      <c r="C4" s="25">
        <f>+VLOOKUP(PROVEEDORES[[#This Row],[PROVEEDOR]],TERCEROS_INFO[#All],2,FALSE)</f>
        <v>30</v>
      </c>
      <c r="D4" s="30">
        <f>+SUMIFS(PROVEEDORES[Total],PROVEEDORES[PROVEEDOR],PROVEEDORES[[#This Row],[PROVEEDOR]],PROVEEDORES[FECHA DE PAGO],"")</f>
        <v>4078650.6</v>
      </c>
      <c r="E4" s="30"/>
      <c r="F4" s="73" t="str">
        <f>+VLOOKUP(PROVEEDORES[[#This Row],[PROVEEDOR]],TERCEROS_INFO[[PROVEEDOR]:[CORREO]],5,FALSE)</f>
        <v>financiera@nalpicentral.com;girlesa.ruiz@servipilas.com;joriescobar64@gmail.com</v>
      </c>
      <c r="G4" s="111">
        <v>44208</v>
      </c>
      <c r="H4" s="31" t="s">
        <v>1095</v>
      </c>
      <c r="I4" s="111">
        <v>44141</v>
      </c>
      <c r="J4" s="48">
        <v>18451</v>
      </c>
      <c r="K4" s="26">
        <v>3219863.8655462186</v>
      </c>
      <c r="L4" s="26"/>
      <c r="M4" s="27">
        <v>611774.13445378153</v>
      </c>
      <c r="N4" s="28"/>
      <c r="O4" s="27">
        <v>0</v>
      </c>
      <c r="P4" s="28">
        <v>2.5000000000000001E-2</v>
      </c>
      <c r="Q4" s="27">
        <v>80496.596638655465</v>
      </c>
      <c r="R4" s="26">
        <v>3751141.4033613447</v>
      </c>
      <c r="S4" s="115">
        <f ca="1">IF(PROVEEDORES[[#This Row],[FECHA DE PAGO]]=0,TODAY()-PROVEEDORES[[#This Row],[FECHA DE FACTURACIÓN]]-PROVEEDORES[[#This Row],[PLAZO Días]],0)</f>
        <v>0</v>
      </c>
      <c r="T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" spans="1:22" ht="21.9" customHeight="1" x14ac:dyDescent="0.3">
      <c r="A5" s="113" t="str">
        <f>+IF(PROVEEDORES[[#This Row],[FECHA DE PAGO]]=PROVEEDORES[[#This Row],[FECHA DE FACTURACIÓN]],"DE CONTADO","CRÉDITO")</f>
        <v>CRÉDITO</v>
      </c>
      <c r="B5" s="51" t="str">
        <f>+IF((PROVEEDORES[[#This Row],[FECHA DE PAGO]]-PROVEEDORES[[#This Row],[FECHA DE FACTURACIÓN]])&gt;PROVEEDORES[[#This Row],[PLAZO Días]],"PAGO VENCIDO")</f>
        <v>PAGO VENCIDO</v>
      </c>
      <c r="C5" s="25">
        <f>+VLOOKUP(PROVEEDORES[[#This Row],[PROVEEDOR]],TERCEROS_INFO[#All],2,FALSE)</f>
        <v>30</v>
      </c>
      <c r="D5" s="30">
        <f>+SUMIFS(PROVEEDORES[Total],PROVEEDORES[PROVEEDOR],PROVEEDORES[[#This Row],[PROVEEDOR]],PROVEEDORES[FECHA DE PAGO],"")</f>
        <v>0</v>
      </c>
      <c r="E5" s="30"/>
      <c r="F5" s="73" t="str">
        <f>+VLOOKUP(PROVEEDORES[[#This Row],[PROVEEDOR]],TERCEROS_INFO[[PROVEEDOR]:[CORREO]],5,FALSE)</f>
        <v>variedades.sfg@gmail.com;girlesa.ruiz@servipilas.com;joriescobar64@gmail.com</v>
      </c>
      <c r="G5" s="111">
        <v>44201</v>
      </c>
      <c r="H5" s="31" t="s">
        <v>988</v>
      </c>
      <c r="I5" s="111">
        <v>44145</v>
      </c>
      <c r="J5" s="48">
        <v>304</v>
      </c>
      <c r="K5" s="26">
        <v>3782500</v>
      </c>
      <c r="L5" s="26"/>
      <c r="M5" s="27">
        <v>0</v>
      </c>
      <c r="N5" s="28"/>
      <c r="O5" s="27">
        <v>0</v>
      </c>
      <c r="P5" s="28">
        <v>0</v>
      </c>
      <c r="Q5" s="27">
        <v>0</v>
      </c>
      <c r="R5" s="26">
        <v>3782500</v>
      </c>
      <c r="S5" s="115">
        <f ca="1">IF(PROVEEDORES[[#This Row],[FECHA DE PAGO]]=0,TODAY()-PROVEEDORES[[#This Row],[FECHA DE FACTURACIÓN]]-PROVEEDORES[[#This Row],[PLAZO Días]],0)</f>
        <v>0</v>
      </c>
      <c r="T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" spans="1:22" ht="21.9" customHeight="1" x14ac:dyDescent="0.3">
      <c r="A6" s="113" t="str">
        <f>+IF(PROVEEDORES[[#This Row],[FECHA DE PAGO]]=PROVEEDORES[[#This Row],[FECHA DE FACTURACIÓN]],"DE CONTADO","CRÉDITO")</f>
        <v>CRÉDITO</v>
      </c>
      <c r="B6" s="51" t="str">
        <f>+IF((PROVEEDORES[[#This Row],[FECHA DE PAGO]]-PROVEEDORES[[#This Row],[FECHA DE FACTURACIÓN]])&gt;PROVEEDORES[[#This Row],[PLAZO Días]],"PAGO VENCIDO")</f>
        <v>PAGO VENCIDO</v>
      </c>
      <c r="C6" s="25">
        <f>+VLOOKUP(PROVEEDORES[[#This Row],[PROVEEDOR]],TERCEROS_INFO[#All],2,FALSE)</f>
        <v>45</v>
      </c>
      <c r="D6" s="30">
        <f>+SUMIFS(PROVEEDORES[Total],PROVEEDORES[PROVEEDOR],PROVEEDORES[[#This Row],[PROVEEDOR]],PROVEEDORES[FECHA DE PAGO],"")</f>
        <v>1070024.2</v>
      </c>
      <c r="E6" s="30"/>
      <c r="F6" s="73" t="str">
        <f>+VLOOKUP(PROVEEDORES[[#This Row],[PROVEEDOR]],TERCEROS_INFO[[PROVEEDOR]:[CORREO]],5,FALSE)</f>
        <v>libardopineda@tronex.com;girlesa.ruiz@servipilas.com;joriescobar64@gmail.com</v>
      </c>
      <c r="G6" s="111">
        <v>44208</v>
      </c>
      <c r="H6" s="31" t="s">
        <v>10</v>
      </c>
      <c r="I6" s="111">
        <v>44147</v>
      </c>
      <c r="J6" s="48" t="s">
        <v>79</v>
      </c>
      <c r="K6" s="26">
        <v>732000</v>
      </c>
      <c r="L6" s="26"/>
      <c r="M6" s="27">
        <v>139080</v>
      </c>
      <c r="N6" s="28"/>
      <c r="O6" s="27">
        <v>0</v>
      </c>
      <c r="P6" s="28">
        <v>0</v>
      </c>
      <c r="Q6" s="27">
        <v>0</v>
      </c>
      <c r="R6" s="26">
        <v>871080</v>
      </c>
      <c r="S6" s="115">
        <f ca="1">IF(PROVEEDORES[[#This Row],[FECHA DE PAGO]]=0,TODAY()-PROVEEDORES[[#This Row],[FECHA DE FACTURACIÓN]]-PROVEEDORES[[#This Row],[PLAZO Días]],0)</f>
        <v>0</v>
      </c>
      <c r="T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" spans="1:22" ht="21.9" customHeight="1" x14ac:dyDescent="0.3">
      <c r="A7" s="113" t="str">
        <f>+IF(PROVEEDORES[[#This Row],[FECHA DE PAGO]]=PROVEEDORES[[#This Row],[FECHA DE FACTURACIÓN]],"DE CONTADO","CRÉDITO")</f>
        <v>CRÉDITO</v>
      </c>
      <c r="B7" s="51" t="str">
        <f>+IF((PROVEEDORES[[#This Row],[FECHA DE PAGO]]-PROVEEDORES[[#This Row],[FECHA DE FACTURACIÓN]])&gt;PROVEEDORES[[#This Row],[PLAZO Días]],"PAGO VENCIDO")</f>
        <v>PAGO VENCIDO</v>
      </c>
      <c r="C7" s="25">
        <f>+VLOOKUP(PROVEEDORES[[#This Row],[PROVEEDOR]],TERCEROS_INFO[#All],2,FALSE)</f>
        <v>30</v>
      </c>
      <c r="D7" s="30">
        <f>+SUMIFS(PROVEEDORES[Total],PROVEEDORES[PROVEEDOR],PROVEEDORES[[#This Row],[PROVEEDOR]],PROVEEDORES[FECHA DE PAGO],"")</f>
        <v>3750700</v>
      </c>
      <c r="E7" s="30"/>
      <c r="F7" s="73" t="str">
        <f>+VLOOKUP(PROVEEDORES[[#This Row],[PROVEEDOR]],TERCEROS_INFO[[PROVEEDOR]:[CORREO]],5,FALSE)</f>
        <v/>
      </c>
      <c r="G7" s="111">
        <v>44211</v>
      </c>
      <c r="H7" s="31" t="s">
        <v>996</v>
      </c>
      <c r="I7" s="111">
        <v>44150</v>
      </c>
      <c r="J7" s="48"/>
      <c r="K7" s="26">
        <v>1216000</v>
      </c>
      <c r="L7" s="26"/>
      <c r="M7" s="27">
        <v>0</v>
      </c>
      <c r="N7" s="28"/>
      <c r="O7" s="27">
        <v>0</v>
      </c>
      <c r="P7" s="28">
        <v>0</v>
      </c>
      <c r="Q7" s="27">
        <v>0</v>
      </c>
      <c r="R7" s="26">
        <v>1216000</v>
      </c>
      <c r="S7" s="115">
        <f ca="1">IF(PROVEEDORES[[#This Row],[FECHA DE PAGO]]=0,TODAY()-PROVEEDORES[[#This Row],[FECHA DE FACTURACIÓN]]-PROVEEDORES[[#This Row],[PLAZO Días]],0)</f>
        <v>0</v>
      </c>
      <c r="T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" spans="1:22" ht="21.9" customHeight="1" x14ac:dyDescent="0.3">
      <c r="A8" s="113" t="str">
        <f>+IF(PROVEEDORES[[#This Row],[FECHA DE PAGO]]=PROVEEDORES[[#This Row],[FECHA DE FACTURACIÓN]],"DE CONTADO","CRÉDITO")</f>
        <v>CRÉDITO</v>
      </c>
      <c r="B8" s="51" t="str">
        <f>+IF((PROVEEDORES[[#This Row],[FECHA DE PAGO]]-PROVEEDORES[[#This Row],[FECHA DE FACTURACIÓN]])&gt;PROVEEDORES[[#This Row],[PLAZO Días]],"PAGO VENCIDO")</f>
        <v>PAGO VENCIDO</v>
      </c>
      <c r="C8" s="25">
        <f>+VLOOKUP(PROVEEDORES[[#This Row],[PROVEEDOR]],TERCEROS_INFO[#All],2,FALSE)</f>
        <v>90</v>
      </c>
      <c r="D8" s="30">
        <f>+SUMIFS(PROVEEDORES[Total],PROVEEDORES[PROVEEDOR],PROVEEDORES[[#This Row],[PROVEEDOR]],PROVEEDORES[FECHA DE PAGO],"")</f>
        <v>26364243.66155</v>
      </c>
      <c r="E8" s="30"/>
      <c r="F8" s="73" t="str">
        <f>+VLOOKUP(PROVEEDORES[[#This Row],[PROVEEDOR]],TERCEROS_INFO[[PROVEEDOR]:[CORREO]],5,FALSE)</f>
        <v>javiergomez_72@hotmail.com ;girlesa.ruiz@servipilas.com;joriescobar64@gmail.com</v>
      </c>
      <c r="G8" s="111">
        <v>44250</v>
      </c>
      <c r="H8" s="31" t="s">
        <v>12</v>
      </c>
      <c r="I8" s="111">
        <v>44153</v>
      </c>
      <c r="J8" s="48" t="s">
        <v>81</v>
      </c>
      <c r="K8" s="26">
        <v>7241596.6470588241</v>
      </c>
      <c r="L8" s="26"/>
      <c r="M8" s="27">
        <v>1375903.3629411766</v>
      </c>
      <c r="N8" s="28"/>
      <c r="O8" s="27">
        <v>0</v>
      </c>
      <c r="P8" s="28">
        <v>2.5000000000000001E-2</v>
      </c>
      <c r="Q8" s="27">
        <v>181039.91617647061</v>
      </c>
      <c r="R8" s="26">
        <v>8436460.0938235316</v>
      </c>
      <c r="S8" s="115">
        <f ca="1">IF(PROVEEDORES[[#This Row],[FECHA DE PAGO]]=0,TODAY()-PROVEEDORES[[#This Row],[FECHA DE FACTURACIÓN]]-PROVEEDORES[[#This Row],[PLAZO Días]],0)</f>
        <v>0</v>
      </c>
      <c r="T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" spans="1:22" ht="21.9" customHeight="1" x14ac:dyDescent="0.3">
      <c r="A9" s="113" t="str">
        <f>+IF(PROVEEDORES[[#This Row],[FECHA DE PAGO]]=PROVEEDORES[[#This Row],[FECHA DE FACTURACIÓN]],"DE CONTADO","CRÉDITO")</f>
        <v>CRÉDITO</v>
      </c>
      <c r="B9" s="51" t="str">
        <f>+IF((PROVEEDORES[[#This Row],[FECHA DE PAGO]]-PROVEEDORES[[#This Row],[FECHA DE FACTURACIÓN]])&gt;PROVEEDORES[[#This Row],[PLAZO Días]],"PAGO VENCIDO")</f>
        <v>PAGO VENCIDO</v>
      </c>
      <c r="C9" s="25">
        <f>+VLOOKUP(PROVEEDORES[[#This Row],[PROVEEDOR]],TERCEROS_INFO[#All],2,FALSE)</f>
        <v>30</v>
      </c>
      <c r="D9" s="30">
        <f>+SUMIFS(PROVEEDORES[Total],PROVEEDORES[PROVEEDOR],PROVEEDORES[[#This Row],[PROVEEDOR]],PROVEEDORES[FECHA DE PAGO],"")</f>
        <v>0</v>
      </c>
      <c r="E9" s="30"/>
      <c r="F9" s="73" t="str">
        <f>+VLOOKUP(PROVEEDORES[[#This Row],[PROVEEDOR]],TERCEROS_INFO[[PROVEEDOR]:[CORREO]],5,FALSE)</f>
        <v/>
      </c>
      <c r="G9" s="111">
        <v>44208</v>
      </c>
      <c r="H9" s="31" t="s">
        <v>138</v>
      </c>
      <c r="I9" s="111">
        <v>44154</v>
      </c>
      <c r="J9" s="48" t="s">
        <v>84</v>
      </c>
      <c r="K9" s="26">
        <v>-352790.75630252104</v>
      </c>
      <c r="L9" s="26"/>
      <c r="M9" s="27">
        <v>-67030.243697479003</v>
      </c>
      <c r="N9" s="28"/>
      <c r="O9" s="27">
        <v>0</v>
      </c>
      <c r="P9" s="28">
        <v>0</v>
      </c>
      <c r="Q9" s="27">
        <v>0</v>
      </c>
      <c r="R9" s="26">
        <v>-419821.00000000006</v>
      </c>
      <c r="S9" s="115">
        <f ca="1">IF(PROVEEDORES[[#This Row],[FECHA DE PAGO]]=0,TODAY()-PROVEEDORES[[#This Row],[FECHA DE FACTURACIÓN]]-PROVEEDORES[[#This Row],[PLAZO Días]],0)</f>
        <v>0</v>
      </c>
      <c r="T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" spans="1:22" ht="21.9" customHeight="1" x14ac:dyDescent="0.3">
      <c r="A10" s="113" t="str">
        <f>+IF(PROVEEDORES[[#This Row],[FECHA DE PAGO]]=PROVEEDORES[[#This Row],[FECHA DE FACTURACIÓN]],"DE CONTADO","CRÉDITO")</f>
        <v>CRÉDITO</v>
      </c>
      <c r="B10" s="51" t="str">
        <f>+IF((PROVEEDORES[[#This Row],[FECHA DE PAGO]]-PROVEEDORES[[#This Row],[FECHA DE FACTURACIÓN]])&gt;PROVEEDORES[[#This Row],[PLAZO Días]],"PAGO VENCIDO")</f>
        <v>PAGO VENCIDO</v>
      </c>
      <c r="C10" s="25">
        <f>+VLOOKUP(PROVEEDORES[[#This Row],[PROVEEDOR]],TERCEROS_INFO[#All],2,FALSE)</f>
        <v>30</v>
      </c>
      <c r="D10" s="30">
        <f>+SUMIFS(PROVEEDORES[Total],PROVEEDORES[PROVEEDOR],PROVEEDORES[[#This Row],[PROVEEDOR]],PROVEEDORES[FECHA DE PAGO],"")</f>
        <v>0</v>
      </c>
      <c r="E10" s="30"/>
      <c r="F10" s="73" t="str">
        <f>+VLOOKUP(PROVEEDORES[[#This Row],[PROVEEDOR]],TERCEROS_INFO[[PROVEEDOR]:[CORREO]],5,FALSE)</f>
        <v/>
      </c>
      <c r="G10" s="111">
        <v>44208</v>
      </c>
      <c r="H10" s="31" t="s">
        <v>139</v>
      </c>
      <c r="I10" s="111">
        <v>44154</v>
      </c>
      <c r="J10" s="48" t="s">
        <v>83</v>
      </c>
      <c r="K10" s="26">
        <v>1930844.6445378151</v>
      </c>
      <c r="L10" s="26"/>
      <c r="M10" s="27">
        <v>366860.48246218485</v>
      </c>
      <c r="N10" s="28"/>
      <c r="O10" s="27">
        <v>0</v>
      </c>
      <c r="P10" s="28">
        <v>3.5000000000000003E-2</v>
      </c>
      <c r="Q10" s="27">
        <v>67579.562558823542</v>
      </c>
      <c r="R10" s="26">
        <v>2230125.5644411761</v>
      </c>
      <c r="S10" s="115">
        <f ca="1">IF(PROVEEDORES[[#This Row],[FECHA DE PAGO]]=0,TODAY()-PROVEEDORES[[#This Row],[FECHA DE FACTURACIÓN]]-PROVEEDORES[[#This Row],[PLAZO Días]],0)</f>
        <v>0</v>
      </c>
      <c r="T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" spans="1:22" ht="21.9" customHeight="1" x14ac:dyDescent="0.3">
      <c r="A11" s="113" t="str">
        <f>+IF(PROVEEDORES[[#This Row],[FECHA DE PAGO]]=PROVEEDORES[[#This Row],[FECHA DE FACTURACIÓN]],"DE CONTADO","CRÉDITO")</f>
        <v>CRÉDITO</v>
      </c>
      <c r="B11" s="51" t="str">
        <f>+IF((PROVEEDORES[[#This Row],[FECHA DE PAGO]]-PROVEEDORES[[#This Row],[FECHA DE FACTURACIÓN]])&gt;PROVEEDORES[[#This Row],[PLAZO Días]],"PAGO VENCIDO")</f>
        <v>PAGO VENCIDO</v>
      </c>
      <c r="C11" s="25">
        <f>+VLOOKUP(PROVEEDORES[[#This Row],[PROVEEDOR]],TERCEROS_INFO[#All],2,FALSE)</f>
        <v>30</v>
      </c>
      <c r="D11" s="30">
        <f>+SUMIFS(PROVEEDORES[Total],PROVEEDORES[PROVEEDOR],PROVEEDORES[[#This Row],[PROVEEDOR]],PROVEEDORES[FECHA DE PAGO],"")</f>
        <v>3355018.0749999997</v>
      </c>
      <c r="E11" s="30"/>
      <c r="F11" s="73" t="str">
        <f>+VLOOKUP(PROVEEDORES[[#This Row],[PROVEEDOR]],TERCEROS_INFO[[PROVEEDOR]:[CORREO]],5,FALSE)</f>
        <v>yermingg@hotmail.com;girlesa.ruiz@servipilas.com;joriescobar64@gmail.com</v>
      </c>
      <c r="G11" s="111">
        <v>44239</v>
      </c>
      <c r="H11" s="31" t="s">
        <v>224</v>
      </c>
      <c r="I11" s="111">
        <v>44158</v>
      </c>
      <c r="J11" s="48">
        <v>27</v>
      </c>
      <c r="K11" s="26">
        <v>1917313.4453781513</v>
      </c>
      <c r="L11" s="26"/>
      <c r="M11" s="27">
        <v>364289.55462184874</v>
      </c>
      <c r="N11" s="28"/>
      <c r="O11" s="27">
        <v>0</v>
      </c>
      <c r="P11" s="28">
        <v>2.5000000000000001E-2</v>
      </c>
      <c r="Q11" s="27">
        <v>47932.836134453784</v>
      </c>
      <c r="R11" s="26">
        <v>2233670.1638655462</v>
      </c>
      <c r="S11" s="115">
        <f ca="1">IF(PROVEEDORES[[#This Row],[FECHA DE PAGO]]=0,TODAY()-PROVEEDORES[[#This Row],[FECHA DE FACTURACIÓN]]-PROVEEDORES[[#This Row],[PLAZO Días]],0)</f>
        <v>0</v>
      </c>
      <c r="T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" spans="1:22" ht="21.9" customHeight="1" x14ac:dyDescent="0.3">
      <c r="A12" s="113" t="str">
        <f>+IF(PROVEEDORES[[#This Row],[FECHA DE PAGO]]=PROVEEDORES[[#This Row],[FECHA DE FACTURACIÓN]],"DE CONTADO","CRÉDITO")</f>
        <v>CRÉDITO</v>
      </c>
      <c r="B12" s="51" t="str">
        <f>+IF((PROVEEDORES[[#This Row],[FECHA DE PAGO]]-PROVEEDORES[[#This Row],[FECHA DE FACTURACIÓN]])&gt;PROVEEDORES[[#This Row],[PLAZO Días]],"PAGO VENCIDO")</f>
        <v>PAGO VENCIDO</v>
      </c>
      <c r="C12" s="25">
        <f>+VLOOKUP(PROVEEDORES[[#This Row],[PROVEEDOR]],TERCEROS_INFO[#All],2,FALSE)</f>
        <v>30</v>
      </c>
      <c r="D12" s="30">
        <f>+SUMIFS(PROVEEDORES[Total],PROVEEDORES[PROVEEDOR],PROVEEDORES[[#This Row],[PROVEEDOR]],PROVEEDORES[FECHA DE PAGO],"")</f>
        <v>3750700</v>
      </c>
      <c r="E12" s="30"/>
      <c r="F12" s="73" t="str">
        <f>+VLOOKUP(PROVEEDORES[[#This Row],[PROVEEDOR]],TERCEROS_INFO[[PROVEEDOR]:[CORREO]],5,FALSE)</f>
        <v/>
      </c>
      <c r="G12" s="111">
        <v>44210</v>
      </c>
      <c r="H12" s="31" t="s">
        <v>996</v>
      </c>
      <c r="I12" s="111">
        <v>44166</v>
      </c>
      <c r="J12" s="48">
        <v>1231</v>
      </c>
      <c r="K12" s="26">
        <v>884250</v>
      </c>
      <c r="L12" s="26"/>
      <c r="M12" s="27">
        <v>0</v>
      </c>
      <c r="N12" s="28"/>
      <c r="O12" s="27">
        <v>0</v>
      </c>
      <c r="P12" s="28">
        <v>0</v>
      </c>
      <c r="Q12" s="27">
        <v>0</v>
      </c>
      <c r="R12" s="26">
        <v>884250</v>
      </c>
      <c r="S12" s="115">
        <f ca="1">IF(PROVEEDORES[[#This Row],[FECHA DE PAGO]]=0,TODAY()-PROVEEDORES[[#This Row],[FECHA DE FACTURACIÓN]]-PROVEEDORES[[#This Row],[PLAZO Días]],0)</f>
        <v>0</v>
      </c>
      <c r="T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" spans="1:22" ht="21.9" customHeight="1" x14ac:dyDescent="0.3">
      <c r="A13" s="113" t="str">
        <f>+IF(PROVEEDORES[[#This Row],[FECHA DE PAGO]]=PROVEEDORES[[#This Row],[FECHA DE FACTURACIÓN]],"DE CONTADO","CRÉDITO")</f>
        <v>CRÉDITO</v>
      </c>
      <c r="B13" s="51" t="str">
        <f>+IF((PROVEEDORES[[#This Row],[FECHA DE PAGO]]-PROVEEDORES[[#This Row],[FECHA DE FACTURACIÓN]])&gt;PROVEEDORES[[#This Row],[PLAZO Días]],"PAGO VENCIDO")</f>
        <v>PAGO VENCIDO</v>
      </c>
      <c r="C13" s="25">
        <f>+VLOOKUP(PROVEEDORES[[#This Row],[PROVEEDOR]],TERCEROS_INFO[#All],2,FALSE)</f>
        <v>30</v>
      </c>
      <c r="D13" s="30">
        <f>+SUMIFS(PROVEEDORES[Total],PROVEEDORES[PROVEEDOR],PROVEEDORES[[#This Row],[PROVEEDOR]],PROVEEDORES[FECHA DE PAGO],"")</f>
        <v>0</v>
      </c>
      <c r="E13" s="30"/>
      <c r="F13" s="73" t="str">
        <f>+VLOOKUP(PROVEEDORES[[#This Row],[PROVEEDOR]],TERCEROS_INFO[[PROVEEDOR]:[CORREO]],5,FALSE)</f>
        <v>juan.suarez@cosostenible.com;girlesa.ruiz@servipilas.com;joriescobar64@gmail.com</v>
      </c>
      <c r="G13" s="111">
        <v>44214</v>
      </c>
      <c r="H13" s="31" t="s">
        <v>50</v>
      </c>
      <c r="I13" s="111">
        <v>44166</v>
      </c>
      <c r="J13" s="48">
        <v>732</v>
      </c>
      <c r="K13" s="26">
        <v>1110619.9495798319</v>
      </c>
      <c r="L13" s="26"/>
      <c r="M13" s="27">
        <v>211017.79042016808</v>
      </c>
      <c r="N13" s="28"/>
      <c r="O13" s="27">
        <v>0</v>
      </c>
      <c r="P13" s="28">
        <v>2.5000000000000001E-2</v>
      </c>
      <c r="Q13" s="27">
        <v>27765.498739495801</v>
      </c>
      <c r="R13" s="26">
        <v>1293872.2412605041</v>
      </c>
      <c r="S13" s="115">
        <f ca="1">IF(PROVEEDORES[[#This Row],[FECHA DE PAGO]]=0,TODAY()-PROVEEDORES[[#This Row],[FECHA DE FACTURACIÓN]]-PROVEEDORES[[#This Row],[PLAZO Días]],0)</f>
        <v>0</v>
      </c>
      <c r="T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" spans="1:22" ht="21.9" customHeight="1" x14ac:dyDescent="0.3">
      <c r="A14" s="113" t="str">
        <f>+IF(PROVEEDORES[[#This Row],[FECHA DE PAGO]]=PROVEEDORES[[#This Row],[FECHA DE FACTURACIÓN]],"DE CONTADO","CRÉDITO")</f>
        <v>CRÉDITO</v>
      </c>
      <c r="B14" s="51" t="str">
        <f>+IF((PROVEEDORES[[#This Row],[FECHA DE PAGO]]-PROVEEDORES[[#This Row],[FECHA DE FACTURACIÓN]])&gt;PROVEEDORES[[#This Row],[PLAZO Días]],"PAGO VENCIDO")</f>
        <v>PAGO VENCIDO</v>
      </c>
      <c r="C14" s="25">
        <f>+VLOOKUP(PROVEEDORES[[#This Row],[PROVEEDOR]],TERCEROS_INFO[#All],2,FALSE)</f>
        <v>30</v>
      </c>
      <c r="D14" s="30">
        <f>+SUMIFS(PROVEEDORES[Total],PROVEEDORES[PROVEEDOR],PROVEEDORES[[#This Row],[PROVEEDOR]],PROVEEDORES[FECHA DE PAGO],"")</f>
        <v>0</v>
      </c>
      <c r="E14" s="30"/>
      <c r="F14" s="73" t="str">
        <f>+VLOOKUP(PROVEEDORES[[#This Row],[PROVEEDOR]],TERCEROS_INFO[[PROVEEDOR]:[CORREO]],5,FALSE)</f>
        <v>tesoreria@makingbusiness.com.co;girlesa.ruiz@servipilas.com;joriescobar64@gmail.com</v>
      </c>
      <c r="G14" s="111">
        <v>44214</v>
      </c>
      <c r="H14" s="31" t="s">
        <v>32</v>
      </c>
      <c r="I14" s="111">
        <v>44166</v>
      </c>
      <c r="J14" s="48">
        <v>2626</v>
      </c>
      <c r="K14" s="26">
        <v>1961428.5714285716</v>
      </c>
      <c r="L14" s="26"/>
      <c r="M14" s="27">
        <v>372671.42857142858</v>
      </c>
      <c r="N14" s="28"/>
      <c r="O14" s="27">
        <v>0</v>
      </c>
      <c r="P14" s="28">
        <v>2.5000000000000001E-2</v>
      </c>
      <c r="Q14" s="27">
        <v>49035.71428571429</v>
      </c>
      <c r="R14" s="26">
        <v>2285064.2857142859</v>
      </c>
      <c r="S14" s="115">
        <f ca="1">IF(PROVEEDORES[[#This Row],[FECHA DE PAGO]]=0,TODAY()-PROVEEDORES[[#This Row],[FECHA DE FACTURACIÓN]]-PROVEEDORES[[#This Row],[PLAZO Días]],0)</f>
        <v>0</v>
      </c>
      <c r="T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" spans="1:22" ht="21.9" customHeight="1" x14ac:dyDescent="0.3">
      <c r="A15" s="113" t="str">
        <f>+IF(PROVEEDORES[[#This Row],[FECHA DE PAGO]]=PROVEEDORES[[#This Row],[FECHA DE FACTURACIÓN]],"DE CONTADO","CRÉDITO")</f>
        <v>CRÉDITO</v>
      </c>
      <c r="B15" s="51" t="str">
        <f>+IF((PROVEEDORES[[#This Row],[FECHA DE PAGO]]-PROVEEDORES[[#This Row],[FECHA DE FACTURACIÓN]])&gt;PROVEEDORES[[#This Row],[PLAZO Días]],"PAGO VENCIDO")</f>
        <v>PAGO VENCIDO</v>
      </c>
      <c r="C15" s="25">
        <f>+VLOOKUP(PROVEEDORES[[#This Row],[PROVEEDOR]],TERCEROS_INFO[#All],2,FALSE)</f>
        <v>90</v>
      </c>
      <c r="D15" s="30">
        <f>+SUMIFS(PROVEEDORES[Total],PROVEEDORES[PROVEEDOR],PROVEEDORES[[#This Row],[PROVEEDOR]],PROVEEDORES[FECHA DE PAGO],"")</f>
        <v>0</v>
      </c>
      <c r="E15" s="30"/>
      <c r="F15" s="73" t="str">
        <f>+VLOOKUP(PROVEEDORES[[#This Row],[PROVEEDOR]],TERCEROS_INFO[[PROVEEDOR]:[CORREO]],5,FALSE)</f>
        <v/>
      </c>
      <c r="G15" s="111">
        <v>44567</v>
      </c>
      <c r="H15" s="31" t="s">
        <v>1033</v>
      </c>
      <c r="I15" s="111">
        <v>44166</v>
      </c>
      <c r="J15" s="48"/>
      <c r="K15" s="26">
        <v>47205435</v>
      </c>
      <c r="L15" s="26"/>
      <c r="M15" s="27">
        <v>0</v>
      </c>
      <c r="N15" s="28"/>
      <c r="O15" s="27">
        <v>0</v>
      </c>
      <c r="P15" s="28">
        <v>0</v>
      </c>
      <c r="Q15" s="27">
        <v>0</v>
      </c>
      <c r="R15" s="26">
        <v>47205435</v>
      </c>
      <c r="S15" s="115">
        <f ca="1">IF(PROVEEDORES[[#This Row],[FECHA DE PAGO]]=0,TODAY()-PROVEEDORES[[#This Row],[FECHA DE FACTURACIÓN]]-PROVEEDORES[[#This Row],[PLAZO Días]],0)</f>
        <v>0</v>
      </c>
      <c r="T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" spans="1:22" ht="21.9" customHeight="1" x14ac:dyDescent="0.3">
      <c r="A16" s="113" t="str">
        <f>+IF(PROVEEDORES[[#This Row],[FECHA DE PAGO]]=PROVEEDORES[[#This Row],[FECHA DE FACTURACIÓN]],"DE CONTADO","CRÉDITO")</f>
        <v>CRÉDITO</v>
      </c>
      <c r="B16" s="51" t="str">
        <f>+IF((PROVEEDORES[[#This Row],[FECHA DE PAGO]]-PROVEEDORES[[#This Row],[FECHA DE FACTURACIÓN]])&gt;PROVEEDORES[[#This Row],[PLAZO Días]],"PAGO VENCIDO")</f>
        <v>PAGO VENCIDO</v>
      </c>
      <c r="C16" s="25">
        <f>+VLOOKUP(PROVEEDORES[[#This Row],[PROVEEDOR]],TERCEROS_INFO[#All],2,FALSE)</f>
        <v>30</v>
      </c>
      <c r="D16" s="30">
        <f>+SUMIFS(PROVEEDORES[Total],PROVEEDORES[PROVEEDOR],PROVEEDORES[[#This Row],[PROVEEDOR]],PROVEEDORES[FECHA DE PAGO],"")</f>
        <v>3400186.8245000001</v>
      </c>
      <c r="E16" s="30"/>
      <c r="F16" s="73" t="str">
        <f>+VLOOKUP(PROVEEDORES[[#This Row],[PROVEEDOR]],TERCEROS_INFO[[PROVEEDOR]:[CORREO]],5,FALSE)</f>
        <v>contabilidad@amgimportadora.com;mcastellanos@amgimportadora.com;girlesa.ruiz@servipilas.com;joriescobar64@gmail.com</v>
      </c>
      <c r="G16" s="111">
        <v>44214</v>
      </c>
      <c r="H16" s="31" t="s">
        <v>20</v>
      </c>
      <c r="I16" s="111">
        <v>44167</v>
      </c>
      <c r="J16" s="48">
        <v>2766</v>
      </c>
      <c r="K16" s="26">
        <v>1681026.8907563025</v>
      </c>
      <c r="L16" s="26"/>
      <c r="M16" s="27">
        <v>319395.10924369749</v>
      </c>
      <c r="N16" s="28"/>
      <c r="O16" s="27">
        <v>0</v>
      </c>
      <c r="P16" s="28">
        <v>2.5000000000000001E-2</v>
      </c>
      <c r="Q16" s="27">
        <v>42025.672268907569</v>
      </c>
      <c r="R16" s="26">
        <v>1958396.3277310925</v>
      </c>
      <c r="S16" s="115">
        <f ca="1">IF(PROVEEDORES[[#This Row],[FECHA DE PAGO]]=0,TODAY()-PROVEEDORES[[#This Row],[FECHA DE FACTURACIÓN]]-PROVEEDORES[[#This Row],[PLAZO Días]],0)</f>
        <v>0</v>
      </c>
      <c r="T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" spans="1:20" ht="21.9" customHeight="1" x14ac:dyDescent="0.3">
      <c r="A17" s="113" t="str">
        <f>+IF(PROVEEDORES[[#This Row],[FECHA DE PAGO]]=PROVEEDORES[[#This Row],[FECHA DE FACTURACIÓN]],"DE CONTADO","CRÉDITO")</f>
        <v>CRÉDITO</v>
      </c>
      <c r="B17" s="51" t="str">
        <f>+IF((PROVEEDORES[[#This Row],[FECHA DE PAGO]]-PROVEEDORES[[#This Row],[FECHA DE FACTURACIÓN]])&gt;PROVEEDORES[[#This Row],[PLAZO Días]],"PAGO VENCIDO")</f>
        <v>PAGO VENCIDO</v>
      </c>
      <c r="C17" s="25">
        <f>+VLOOKUP(PROVEEDORES[[#This Row],[PROVEEDOR]],TERCEROS_INFO[#All],2,FALSE)</f>
        <v>30</v>
      </c>
      <c r="D17" s="30">
        <f>+SUMIFS(PROVEEDORES[Total],PROVEEDORES[PROVEEDOR],PROVEEDORES[[#This Row],[PROVEEDOR]],PROVEEDORES[FECHA DE PAGO],"")</f>
        <v>0</v>
      </c>
      <c r="E17" s="30"/>
      <c r="F17" s="73" t="str">
        <f>+VLOOKUP(PROVEEDORES[[#This Row],[PROVEEDOR]],TERCEROS_INFO[[PROVEEDOR]:[CORREO]],5,FALSE)</f>
        <v/>
      </c>
      <c r="G17" s="111">
        <v>44221</v>
      </c>
      <c r="H17" s="31" t="s">
        <v>1002</v>
      </c>
      <c r="I17" s="111">
        <v>44168</v>
      </c>
      <c r="J17" s="48"/>
      <c r="K17" s="26">
        <v>785000</v>
      </c>
      <c r="L17" s="26"/>
      <c r="M17" s="27">
        <v>0</v>
      </c>
      <c r="N17" s="28"/>
      <c r="O17" s="27">
        <v>0</v>
      </c>
      <c r="P17" s="28">
        <v>0</v>
      </c>
      <c r="Q17" s="27">
        <v>0</v>
      </c>
      <c r="R17" s="26">
        <v>785000</v>
      </c>
      <c r="S17" s="115">
        <f ca="1">IF(PROVEEDORES[[#This Row],[FECHA DE PAGO]]=0,TODAY()-PROVEEDORES[[#This Row],[FECHA DE FACTURACIÓN]]-PROVEEDORES[[#This Row],[PLAZO Días]],0)</f>
        <v>0</v>
      </c>
      <c r="T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" spans="1:20" ht="21.9" customHeight="1" x14ac:dyDescent="0.3">
      <c r="A18" s="113" t="str">
        <f>+IF(PROVEEDORES[[#This Row],[FECHA DE PAGO]]=PROVEEDORES[[#This Row],[FECHA DE FACTURACIÓN]],"DE CONTADO","CRÉDITO")</f>
        <v>CRÉDITO</v>
      </c>
      <c r="B18" s="51" t="str">
        <f>+IF((PROVEEDORES[[#This Row],[FECHA DE PAGO]]-PROVEEDORES[[#This Row],[FECHA DE FACTURACIÓN]])&gt;PROVEEDORES[[#This Row],[PLAZO Días]],"PAGO VENCIDO")</f>
        <v>PAGO VENCIDO</v>
      </c>
      <c r="C18" s="25">
        <f>+VLOOKUP(PROVEEDORES[[#This Row],[PROVEEDOR]],TERCEROS_INFO[#All],2,FALSE)</f>
        <v>45</v>
      </c>
      <c r="D18" s="30">
        <f>+SUMIFS(PROVEEDORES[Total],PROVEEDORES[PROVEEDOR],PROVEEDORES[[#This Row],[PROVEEDOR]],PROVEEDORES[FECHA DE PAGO],"")</f>
        <v>1070024.2</v>
      </c>
      <c r="E18" s="30"/>
      <c r="F18" s="73" t="str">
        <f>+VLOOKUP(PROVEEDORES[[#This Row],[PROVEEDOR]],TERCEROS_INFO[[PROVEEDOR]:[CORREO]],5,FALSE)</f>
        <v>libardopineda@tronex.com;girlesa.ruiz@servipilas.com;joriescobar64@gmail.com</v>
      </c>
      <c r="G18" s="111">
        <v>44229</v>
      </c>
      <c r="H18" s="31" t="s">
        <v>10</v>
      </c>
      <c r="I18" s="111">
        <v>44168</v>
      </c>
      <c r="J18" s="48" t="s">
        <v>85</v>
      </c>
      <c r="K18" s="26">
        <v>2291200</v>
      </c>
      <c r="L18" s="26"/>
      <c r="M18" s="27">
        <v>435328</v>
      </c>
      <c r="N18" s="28"/>
      <c r="O18" s="27">
        <v>0</v>
      </c>
      <c r="P18" s="28">
        <v>0</v>
      </c>
      <c r="Q18" s="27">
        <v>0</v>
      </c>
      <c r="R18" s="26">
        <v>2726528</v>
      </c>
      <c r="S18" s="115">
        <f ca="1">IF(PROVEEDORES[[#This Row],[FECHA DE PAGO]]=0,TODAY()-PROVEEDORES[[#This Row],[FECHA DE FACTURACIÓN]]-PROVEEDORES[[#This Row],[PLAZO Días]],0)</f>
        <v>0</v>
      </c>
      <c r="T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" spans="1:20" ht="21.9" customHeight="1" x14ac:dyDescent="0.3">
      <c r="A19" s="113" t="str">
        <f>+IF(PROVEEDORES[[#This Row],[FECHA DE PAGO]]=PROVEEDORES[[#This Row],[FECHA DE FACTURACIÓN]],"DE CONTADO","CRÉDITO")</f>
        <v>CRÉDITO</v>
      </c>
      <c r="B19" s="51" t="b">
        <f>+IF((PROVEEDORES[[#This Row],[FECHA DE PAGO]]-PROVEEDORES[[#This Row],[FECHA DE FACTURACIÓN]])&gt;PROVEEDORES[[#This Row],[PLAZO Días]],"PAGO VENCIDO")</f>
        <v>0</v>
      </c>
      <c r="C19" s="25">
        <f>+VLOOKUP(PROVEEDORES[[#This Row],[PROVEEDOR]],TERCEROS_INFO[#All],2,FALSE)</f>
        <v>90</v>
      </c>
      <c r="D19" s="30">
        <f>+SUMIFS(PROVEEDORES[Total],PROVEEDORES[PROVEEDOR],PROVEEDORES[[#This Row],[PROVEEDOR]],PROVEEDORES[FECHA DE PAGO],"")</f>
        <v>0</v>
      </c>
      <c r="E19" s="30"/>
      <c r="F19" s="73" t="str">
        <f>+VLOOKUP(PROVEEDORES[[#This Row],[PROVEEDOR]],TERCEROS_INFO[[PROVEEDOR]:[CORREO]],5,FALSE)</f>
        <v/>
      </c>
      <c r="G19" s="111">
        <v>44240</v>
      </c>
      <c r="H19" s="31" t="s">
        <v>1024</v>
      </c>
      <c r="I19" s="111">
        <v>44168</v>
      </c>
      <c r="J19" s="48">
        <v>1483</v>
      </c>
      <c r="K19" s="26">
        <v>6064000</v>
      </c>
      <c r="L19" s="26"/>
      <c r="M19" s="27">
        <v>0</v>
      </c>
      <c r="N19" s="28"/>
      <c r="O19" s="27">
        <v>0</v>
      </c>
      <c r="P19" s="28">
        <v>0</v>
      </c>
      <c r="Q19" s="27">
        <v>0</v>
      </c>
      <c r="R19" s="26">
        <v>6064000</v>
      </c>
      <c r="S19" s="115">
        <f ca="1">IF(PROVEEDORES[[#This Row],[FECHA DE PAGO]]=0,TODAY()-PROVEEDORES[[#This Row],[FECHA DE FACTURACIÓN]]-PROVEEDORES[[#This Row],[PLAZO Días]],0)</f>
        <v>0</v>
      </c>
      <c r="T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" spans="1:20" ht="21.9" customHeight="1" x14ac:dyDescent="0.3">
      <c r="A20" s="113" t="str">
        <f>+IF(PROVEEDORES[[#This Row],[FECHA DE PAGO]]=PROVEEDORES[[#This Row],[FECHA DE FACTURACIÓN]],"DE CONTADO","CRÉDITO")</f>
        <v>CRÉDITO</v>
      </c>
      <c r="B20" s="51" t="str">
        <f>+IF((PROVEEDORES[[#This Row],[FECHA DE PAGO]]-PROVEEDORES[[#This Row],[FECHA DE FACTURACIÓN]])&gt;PROVEEDORES[[#This Row],[PLAZO Días]],"PAGO VENCIDO")</f>
        <v>PAGO VENCIDO</v>
      </c>
      <c r="C20" s="25">
        <f>+VLOOKUP(PROVEEDORES[[#This Row],[PROVEEDOR]],TERCEROS_INFO[#All],2,FALSE)</f>
        <v>45</v>
      </c>
      <c r="D20" s="30">
        <f>+SUMIFS(PROVEEDORES[Total],PROVEEDORES[PROVEEDOR],PROVEEDORES[[#This Row],[PROVEEDOR]],PROVEEDORES[FECHA DE PAGO],"")</f>
        <v>1070024.2</v>
      </c>
      <c r="E20" s="30"/>
      <c r="F20" s="73" t="str">
        <f>+VLOOKUP(PROVEEDORES[[#This Row],[PROVEEDOR]],TERCEROS_INFO[[PROVEEDOR]:[CORREO]],5,FALSE)</f>
        <v>libardopineda@tronex.com;girlesa.ruiz@servipilas.com;joriescobar64@gmail.com</v>
      </c>
      <c r="G20" s="111">
        <v>44229</v>
      </c>
      <c r="H20" s="31" t="s">
        <v>10</v>
      </c>
      <c r="I20" s="111">
        <v>44169</v>
      </c>
      <c r="J20" s="48" t="s">
        <v>86</v>
      </c>
      <c r="K20" s="26">
        <v>800000</v>
      </c>
      <c r="L20" s="26"/>
      <c r="M20" s="27">
        <v>152000</v>
      </c>
      <c r="N20" s="28"/>
      <c r="O20" s="27">
        <v>0</v>
      </c>
      <c r="P20" s="28">
        <v>0</v>
      </c>
      <c r="Q20" s="27">
        <v>0</v>
      </c>
      <c r="R20" s="26">
        <v>952000</v>
      </c>
      <c r="S20" s="115">
        <f ca="1">IF(PROVEEDORES[[#This Row],[FECHA DE PAGO]]=0,TODAY()-PROVEEDORES[[#This Row],[FECHA DE FACTURACIÓN]]-PROVEEDORES[[#This Row],[PLAZO Días]],0)</f>
        <v>0</v>
      </c>
      <c r="T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" spans="1:20" ht="21.9" customHeight="1" x14ac:dyDescent="0.3">
      <c r="A21" s="113" t="str">
        <f>+IF(PROVEEDORES[[#This Row],[FECHA DE PAGO]]=PROVEEDORES[[#This Row],[FECHA DE FACTURACIÓN]],"DE CONTADO","CRÉDITO")</f>
        <v>CRÉDITO</v>
      </c>
      <c r="B21" s="51" t="str">
        <f>+IF((PROVEEDORES[[#This Row],[FECHA DE PAGO]]-PROVEEDORES[[#This Row],[FECHA DE FACTURACIÓN]])&gt;PROVEEDORES[[#This Row],[PLAZO Días]],"PAGO VENCIDO")</f>
        <v>PAGO VENCIDO</v>
      </c>
      <c r="C21" s="25">
        <f>+VLOOKUP(PROVEEDORES[[#This Row],[PROVEEDOR]],TERCEROS_INFO[#All],2,FALSE)</f>
        <v>30</v>
      </c>
      <c r="D21" s="30">
        <f>+SUMIFS(PROVEEDORES[Total],PROVEEDORES[PROVEEDOR],PROVEEDORES[[#This Row],[PROVEEDOR]],PROVEEDORES[FECHA DE PAGO],"")</f>
        <v>6482443.1751999995</v>
      </c>
      <c r="E21" s="30"/>
      <c r="F21" s="73" t="str">
        <f>+VLOOKUP(PROVEEDORES[[#This Row],[PROVEEDOR]],TERCEROS_INFO[[PROVEEDOR]:[CORREO]],5,FALSE)</f>
        <v>angela.navas@hyrdistribuciones.com;girlesa.ruiz@servipilas.com;joriescobar64@gmail.com</v>
      </c>
      <c r="G21" s="111">
        <v>44214</v>
      </c>
      <c r="H21" s="31" t="s">
        <v>18</v>
      </c>
      <c r="I21" s="111">
        <v>44169</v>
      </c>
      <c r="J21" s="48">
        <v>1031773</v>
      </c>
      <c r="K21" s="26">
        <v>1856607.7310924372</v>
      </c>
      <c r="L21" s="26"/>
      <c r="M21" s="27">
        <v>352755.46890756307</v>
      </c>
      <c r="N21" s="28"/>
      <c r="O21" s="27">
        <v>0</v>
      </c>
      <c r="P21" s="28">
        <v>2.5000000000000001E-2</v>
      </c>
      <c r="Q21" s="27">
        <v>46415.193277310929</v>
      </c>
      <c r="R21" s="26">
        <v>2162948.0067226891</v>
      </c>
      <c r="S21" s="115">
        <f ca="1">IF(PROVEEDORES[[#This Row],[FECHA DE PAGO]]=0,TODAY()-PROVEEDORES[[#This Row],[FECHA DE FACTURACIÓN]]-PROVEEDORES[[#This Row],[PLAZO Días]],0)</f>
        <v>0</v>
      </c>
      <c r="T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" spans="1:20" ht="21.9" customHeight="1" x14ac:dyDescent="0.3">
      <c r="A22" s="113" t="str">
        <f>+IF(PROVEEDORES[[#This Row],[FECHA DE PAGO]]=PROVEEDORES[[#This Row],[FECHA DE FACTURACIÓN]],"DE CONTADO","CRÉDITO")</f>
        <v>CRÉDITO</v>
      </c>
      <c r="B22" s="51" t="str">
        <f>+IF((PROVEEDORES[[#This Row],[FECHA DE PAGO]]-PROVEEDORES[[#This Row],[FECHA DE FACTURACIÓN]])&gt;PROVEEDORES[[#This Row],[PLAZO Días]],"PAGO VENCIDO")</f>
        <v>PAGO VENCIDO</v>
      </c>
      <c r="C22" s="25">
        <f>+VLOOKUP(PROVEEDORES[[#This Row],[PROVEEDOR]],TERCEROS_INFO[#All],2,FALSE)</f>
        <v>30</v>
      </c>
      <c r="D22" s="30">
        <f>+SUMIFS(PROVEEDORES[Total],PROVEEDORES[PROVEEDOR],PROVEEDORES[[#This Row],[PROVEEDOR]],PROVEEDORES[FECHA DE PAGO],"")</f>
        <v>-30345</v>
      </c>
      <c r="E22" s="30"/>
      <c r="F22" s="73" t="str">
        <f>+VLOOKUP(PROVEEDORES[[#This Row],[PROVEEDOR]],TERCEROS_INFO[[PROVEEDOR]:[CORREO]],5,FALSE)</f>
        <v>ventasmegamundo@yahoo.es;girlesa.ruiz@servipilas.com;joriescobar64@gmail.com</v>
      </c>
      <c r="G22" s="111">
        <v>44214</v>
      </c>
      <c r="H22" s="31" t="s">
        <v>1146</v>
      </c>
      <c r="I22" s="111">
        <v>44169</v>
      </c>
      <c r="J22" s="48">
        <v>470</v>
      </c>
      <c r="K22" s="26">
        <v>7478183.1932773115</v>
      </c>
      <c r="L22" s="26"/>
      <c r="M22" s="27">
        <v>1420854.8067226892</v>
      </c>
      <c r="N22" s="28"/>
      <c r="O22" s="27">
        <v>0</v>
      </c>
      <c r="P22" s="28">
        <v>2.5000000000000001E-2</v>
      </c>
      <c r="Q22" s="27">
        <v>186954.57983193279</v>
      </c>
      <c r="R22" s="26">
        <v>8712083.4201680664</v>
      </c>
      <c r="S22" s="115">
        <f ca="1">IF(PROVEEDORES[[#This Row],[FECHA DE PAGO]]=0,TODAY()-PROVEEDORES[[#This Row],[FECHA DE FACTURACIÓN]]-PROVEEDORES[[#This Row],[PLAZO Días]],0)</f>
        <v>0</v>
      </c>
      <c r="T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" spans="1:20" ht="21.9" customHeight="1" x14ac:dyDescent="0.3">
      <c r="A23" s="113" t="str">
        <f>+IF(PROVEEDORES[[#This Row],[FECHA DE PAGO]]=PROVEEDORES[[#This Row],[FECHA DE FACTURACIÓN]],"DE CONTADO","CRÉDITO")</f>
        <v>CRÉDITO</v>
      </c>
      <c r="B23" s="51" t="str">
        <f>+IF((PROVEEDORES[[#This Row],[FECHA DE PAGO]]-PROVEEDORES[[#This Row],[FECHA DE FACTURACIÓN]])&gt;PROVEEDORES[[#This Row],[PLAZO Días]],"PAGO VENCIDO")</f>
        <v>PAGO VENCIDO</v>
      </c>
      <c r="C23" s="25">
        <f>+VLOOKUP(PROVEEDORES[[#This Row],[PROVEEDOR]],TERCEROS_INFO[#All],2,FALSE)</f>
        <v>90</v>
      </c>
      <c r="D23" s="30">
        <f>+SUMIFS(PROVEEDORES[Total],PROVEEDORES[PROVEEDOR],PROVEEDORES[[#This Row],[PROVEEDOR]],PROVEEDORES[FECHA DE PAGO],"")</f>
        <v>0</v>
      </c>
      <c r="E23" s="30"/>
      <c r="F23" s="73" t="str">
        <f>+VLOOKUP(PROVEEDORES[[#This Row],[PROVEEDOR]],TERCEROS_INFO[[PROVEEDOR]:[CORREO]],5,FALSE)</f>
        <v/>
      </c>
      <c r="G23" s="111">
        <v>44375</v>
      </c>
      <c r="H23" s="31" t="s">
        <v>1024</v>
      </c>
      <c r="I23" s="111">
        <v>44169</v>
      </c>
      <c r="J23" s="48">
        <v>1493</v>
      </c>
      <c r="K23" s="26">
        <v>21277000</v>
      </c>
      <c r="L23" s="26"/>
      <c r="M23" s="27">
        <v>0</v>
      </c>
      <c r="N23" s="28"/>
      <c r="O23" s="27">
        <v>0</v>
      </c>
      <c r="P23" s="28">
        <v>0</v>
      </c>
      <c r="Q23" s="27">
        <v>0</v>
      </c>
      <c r="R23" s="26">
        <v>21277000</v>
      </c>
      <c r="S23" s="115">
        <f ca="1">IF(PROVEEDORES[[#This Row],[FECHA DE PAGO]]=0,TODAY()-PROVEEDORES[[#This Row],[FECHA DE FACTURACIÓN]]-PROVEEDORES[[#This Row],[PLAZO Días]],0)</f>
        <v>0</v>
      </c>
      <c r="T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" spans="1:20" ht="21.9" customHeight="1" x14ac:dyDescent="0.3">
      <c r="A24" s="113" t="str">
        <f>+IF(PROVEEDORES[[#This Row],[FECHA DE PAGO]]=PROVEEDORES[[#This Row],[FECHA DE FACTURACIÓN]],"DE CONTADO","CRÉDITO")</f>
        <v>CRÉDITO</v>
      </c>
      <c r="B24" s="51" t="str">
        <f>+IF((PROVEEDORES[[#This Row],[FECHA DE PAGO]]-PROVEEDORES[[#This Row],[FECHA DE FACTURACIÓN]])&gt;PROVEEDORES[[#This Row],[PLAZO Días]],"PAGO VENCIDO")</f>
        <v>PAGO VENCIDO</v>
      </c>
      <c r="C24" s="25">
        <f>+VLOOKUP(PROVEEDORES[[#This Row],[PROVEEDOR]],TERCEROS_INFO[#All],2,FALSE)</f>
        <v>30</v>
      </c>
      <c r="D24" s="30">
        <f>+SUMIFS(PROVEEDORES[Total],PROVEEDORES[PROVEEDOR],PROVEEDORES[[#This Row],[PROVEEDOR]],PROVEEDORES[FECHA DE PAGO],"")</f>
        <v>1119790</v>
      </c>
      <c r="E24" s="30"/>
      <c r="F24" s="73" t="str">
        <f>+VLOOKUP(PROVEEDORES[[#This Row],[PROVEEDOR]],TERCEROS_INFO[[PROVEEDOR]:[CORREO]],5,FALSE)</f>
        <v>MVALENCIA@mps.com.co;girlesa.ruiz@servipilas.com;joriescobar64@gmail.com</v>
      </c>
      <c r="G24" s="111">
        <v>44208</v>
      </c>
      <c r="H24" s="31" t="s">
        <v>17</v>
      </c>
      <c r="I24" s="111">
        <v>44172</v>
      </c>
      <c r="J24" s="48">
        <v>1700677</v>
      </c>
      <c r="K24" s="26">
        <v>2284115.1260504201</v>
      </c>
      <c r="L24" s="26"/>
      <c r="M24" s="27">
        <v>433981.87394957984</v>
      </c>
      <c r="N24" s="28"/>
      <c r="O24" s="27">
        <v>0</v>
      </c>
      <c r="P24" s="28">
        <v>0</v>
      </c>
      <c r="Q24" s="27">
        <v>0</v>
      </c>
      <c r="R24" s="26">
        <v>2718097</v>
      </c>
      <c r="S24" s="115">
        <f ca="1">IF(PROVEEDORES[[#This Row],[FECHA DE PAGO]]=0,TODAY()-PROVEEDORES[[#This Row],[FECHA DE FACTURACIÓN]]-PROVEEDORES[[#This Row],[PLAZO Días]],0)</f>
        <v>0</v>
      </c>
      <c r="T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" spans="1:20" ht="21.9" customHeight="1" x14ac:dyDescent="0.3">
      <c r="A25" s="113" t="str">
        <f>+IF(PROVEEDORES[[#This Row],[FECHA DE PAGO]]=PROVEEDORES[[#This Row],[FECHA DE FACTURACIÓN]],"DE CONTADO","CRÉDITO")</f>
        <v>CRÉDITO</v>
      </c>
      <c r="B25" s="51" t="str">
        <f>+IF((PROVEEDORES[[#This Row],[FECHA DE PAGO]]-PROVEEDORES[[#This Row],[FECHA DE FACTURACIÓN]])&gt;PROVEEDORES[[#This Row],[PLAZO Días]],"PAGO VENCIDO")</f>
        <v>PAGO VENCIDO</v>
      </c>
      <c r="C25" s="25">
        <f>+VLOOKUP(PROVEEDORES[[#This Row],[PROVEEDOR]],TERCEROS_INFO[#All],2,FALSE)</f>
        <v>30</v>
      </c>
      <c r="D25" s="30">
        <f>+SUMIFS(PROVEEDORES[Total],PROVEEDORES[PROVEEDOR],PROVEEDORES[[#This Row],[PROVEEDOR]],PROVEEDORES[FECHA DE PAGO],"")</f>
        <v>452687.9</v>
      </c>
      <c r="E25" s="30"/>
      <c r="F25" s="73" t="str">
        <f>+VLOOKUP(PROVEEDORES[[#This Row],[PROVEEDOR]],TERCEROS_INFO[[PROVEEDOR]:[CORREO]],5,FALSE)</f>
        <v>soluenergiacentro@une.net.co;girlesa.ruiz@servipilas.com;joriescobar64@gmail.com</v>
      </c>
      <c r="G25" s="111">
        <v>44214</v>
      </c>
      <c r="H25" s="31" t="s">
        <v>39</v>
      </c>
      <c r="I25" s="111">
        <v>44174</v>
      </c>
      <c r="J25" s="48">
        <v>147</v>
      </c>
      <c r="K25" s="26">
        <v>395200</v>
      </c>
      <c r="L25" s="26"/>
      <c r="M25" s="27">
        <v>75088</v>
      </c>
      <c r="N25" s="28"/>
      <c r="O25" s="27">
        <v>0</v>
      </c>
      <c r="P25" s="28">
        <v>0</v>
      </c>
      <c r="Q25" s="27">
        <v>0</v>
      </c>
      <c r="R25" s="26">
        <v>470288</v>
      </c>
      <c r="S25" s="115">
        <f ca="1">IF(PROVEEDORES[[#This Row],[FECHA DE PAGO]]=0,TODAY()-PROVEEDORES[[#This Row],[FECHA DE FACTURACIÓN]]-PROVEEDORES[[#This Row],[PLAZO Días]],0)</f>
        <v>0</v>
      </c>
      <c r="T2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" spans="1:20" ht="21.9" customHeight="1" x14ac:dyDescent="0.3">
      <c r="A26" s="113" t="str">
        <f>+IF(PROVEEDORES[[#This Row],[FECHA DE PAGO]]=PROVEEDORES[[#This Row],[FECHA DE FACTURACIÓN]],"DE CONTADO","CRÉDITO")</f>
        <v>CRÉDITO</v>
      </c>
      <c r="B26" s="51" t="str">
        <f>+IF((PROVEEDORES[[#This Row],[FECHA DE PAGO]]-PROVEEDORES[[#This Row],[FECHA DE FACTURACIÓN]])&gt;PROVEEDORES[[#This Row],[PLAZO Días]],"PAGO VENCIDO")</f>
        <v>PAGO VENCIDO</v>
      </c>
      <c r="C26" s="25">
        <f>+VLOOKUP(PROVEEDORES[[#This Row],[PROVEEDOR]],TERCEROS_INFO[#All],2,FALSE)</f>
        <v>30</v>
      </c>
      <c r="D26" s="30">
        <f>+SUMIFS(PROVEEDORES[Total],PROVEEDORES[PROVEEDOR],PROVEEDORES[[#This Row],[PROVEEDOR]],PROVEEDORES[FECHA DE PAGO],"")</f>
        <v>0</v>
      </c>
      <c r="E26" s="30"/>
      <c r="F26" s="73" t="str">
        <f>+VLOOKUP(PROVEEDORES[[#This Row],[PROVEEDOR]],TERCEROS_INFO[[PROVEEDOR]:[CORREO]],5,FALSE)</f>
        <v/>
      </c>
      <c r="G26" s="111">
        <v>44210</v>
      </c>
      <c r="H26" s="31" t="s">
        <v>1005</v>
      </c>
      <c r="I26" s="111">
        <v>44175</v>
      </c>
      <c r="J26" s="48">
        <v>312</v>
      </c>
      <c r="K26" s="26">
        <v>115000</v>
      </c>
      <c r="L26" s="26"/>
      <c r="M26" s="27">
        <v>0</v>
      </c>
      <c r="N26" s="28"/>
      <c r="O26" s="27">
        <v>0</v>
      </c>
      <c r="P26" s="28">
        <v>0</v>
      </c>
      <c r="Q26" s="27">
        <v>0</v>
      </c>
      <c r="R26" s="26">
        <v>115000</v>
      </c>
      <c r="S26" s="115">
        <f ca="1">IF(PROVEEDORES[[#This Row],[FECHA DE PAGO]]=0,TODAY()-PROVEEDORES[[#This Row],[FECHA DE FACTURACIÓN]]-PROVEEDORES[[#This Row],[PLAZO Días]],0)</f>
        <v>0</v>
      </c>
      <c r="T2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" spans="1:20" ht="21.9" customHeight="1" x14ac:dyDescent="0.3">
      <c r="A27" s="113" t="str">
        <f>+IF(PROVEEDORES[[#This Row],[FECHA DE PAGO]]=PROVEEDORES[[#This Row],[FECHA DE FACTURACIÓN]],"DE CONTADO","CRÉDITO")</f>
        <v>CRÉDITO</v>
      </c>
      <c r="B27" s="51" t="str">
        <f>+IF((PROVEEDORES[[#This Row],[FECHA DE PAGO]]-PROVEEDORES[[#This Row],[FECHA DE FACTURACIÓN]])&gt;PROVEEDORES[[#This Row],[PLAZO Días]],"PAGO VENCIDO")</f>
        <v>PAGO VENCIDO</v>
      </c>
      <c r="C27" s="25">
        <f>+VLOOKUP(PROVEEDORES[[#This Row],[PROVEEDOR]],TERCEROS_INFO[#All],2,FALSE)</f>
        <v>30</v>
      </c>
      <c r="D27" s="30">
        <f>+SUMIFS(PROVEEDORES[Total],PROVEEDORES[PROVEEDOR],PROVEEDORES[[#This Row],[PROVEEDOR]],PROVEEDORES[FECHA DE PAGO],"")</f>
        <v>0</v>
      </c>
      <c r="E27" s="30"/>
      <c r="F27" s="73" t="str">
        <f>+VLOOKUP(PROVEEDORES[[#This Row],[PROVEEDOR]],TERCEROS_INFO[[PROVEEDOR]:[CORREO]],5,FALSE)</f>
        <v>yermingg@hotmail.com;girlesa.ruiz@servipilas.com;joriescobar64@gmail.com</v>
      </c>
      <c r="G27" s="111">
        <v>44272</v>
      </c>
      <c r="H27" s="31" t="s">
        <v>1085</v>
      </c>
      <c r="I27" s="111">
        <v>44175</v>
      </c>
      <c r="J27" s="48">
        <v>320167</v>
      </c>
      <c r="K27" s="26">
        <v>596000</v>
      </c>
      <c r="L27" s="26"/>
      <c r="M27" s="27">
        <v>0</v>
      </c>
      <c r="N27" s="28"/>
      <c r="O27" s="27">
        <v>0</v>
      </c>
      <c r="P27" s="28">
        <v>0</v>
      </c>
      <c r="Q27" s="27">
        <v>0</v>
      </c>
      <c r="R27" s="26">
        <v>596000</v>
      </c>
      <c r="S27" s="115">
        <f ca="1">IF(PROVEEDORES[[#This Row],[FECHA DE PAGO]]=0,TODAY()-PROVEEDORES[[#This Row],[FECHA DE FACTURACIÓN]]-PROVEEDORES[[#This Row],[PLAZO Días]],0)</f>
        <v>0</v>
      </c>
      <c r="T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" spans="1:20" ht="21.9" customHeight="1" x14ac:dyDescent="0.3">
      <c r="A28" s="113" t="str">
        <f>+IF(PROVEEDORES[[#This Row],[FECHA DE PAGO]]=PROVEEDORES[[#This Row],[FECHA DE FACTURACIÓN]],"DE CONTADO","CRÉDITO")</f>
        <v>CRÉDITO</v>
      </c>
      <c r="B28" s="51" t="str">
        <f>+IF((PROVEEDORES[[#This Row],[FECHA DE PAGO]]-PROVEEDORES[[#This Row],[FECHA DE FACTURACIÓN]])&gt;PROVEEDORES[[#This Row],[PLAZO Días]],"PAGO VENCIDO")</f>
        <v>PAGO VENCIDO</v>
      </c>
      <c r="C28" s="25">
        <f>+VLOOKUP(PROVEEDORES[[#This Row],[PROVEEDOR]],TERCEROS_INFO[#All],2,FALSE)</f>
        <v>90</v>
      </c>
      <c r="D28" s="30">
        <f>+SUMIFS(PROVEEDORES[Total],PROVEEDORES[PROVEEDOR],PROVEEDORES[[#This Row],[PROVEEDOR]],PROVEEDORES[FECHA DE PAGO],"")</f>
        <v>39058718</v>
      </c>
      <c r="E28" s="30"/>
      <c r="F28" s="73" t="str">
        <f>+VLOOKUP(PROVEEDORES[[#This Row],[PROVEEDOR]],TERCEROS_INFO[[PROVEEDOR]:[CORREO]],5,FALSE)</f>
        <v>mcastillo@kenextrading.com;agarcia@kenextrading.com;girlesa.ruiz@servipilas.com;joriescobar64@gmail.com</v>
      </c>
      <c r="G28" s="111">
        <v>44285</v>
      </c>
      <c r="H28" s="31" t="s">
        <v>31</v>
      </c>
      <c r="I28" s="111">
        <v>44175</v>
      </c>
      <c r="J28" s="48">
        <v>53263</v>
      </c>
      <c r="K28" s="26">
        <v>44070382.352941178</v>
      </c>
      <c r="L28" s="26"/>
      <c r="M28" s="27">
        <v>0</v>
      </c>
      <c r="N28" s="28"/>
      <c r="O28" s="27">
        <v>0</v>
      </c>
      <c r="P28" s="28">
        <v>0</v>
      </c>
      <c r="Q28" s="27">
        <v>0</v>
      </c>
      <c r="R28" s="26">
        <v>44070382.352941178</v>
      </c>
      <c r="S28" s="115">
        <f ca="1">IF(PROVEEDORES[[#This Row],[FECHA DE PAGO]]=0,TODAY()-PROVEEDORES[[#This Row],[FECHA DE FACTURACIÓN]]-PROVEEDORES[[#This Row],[PLAZO Días]],0)</f>
        <v>0</v>
      </c>
      <c r="T2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" spans="1:20" ht="21.9" customHeight="1" x14ac:dyDescent="0.3">
      <c r="A29" s="113" t="str">
        <f>+IF(PROVEEDORES[[#This Row],[FECHA DE PAGO]]=PROVEEDORES[[#This Row],[FECHA DE FACTURACIÓN]],"DE CONTADO","CRÉDITO")</f>
        <v>CRÉDITO</v>
      </c>
      <c r="B29" s="51" t="str">
        <f>+IF((PROVEEDORES[[#This Row],[FECHA DE PAGO]]-PROVEEDORES[[#This Row],[FECHA DE FACTURACIÓN]])&gt;PROVEEDORES[[#This Row],[PLAZO Días]],"PAGO VENCIDO")</f>
        <v>PAGO VENCIDO</v>
      </c>
      <c r="C29" s="25">
        <f>+VLOOKUP(PROVEEDORES[[#This Row],[PROVEEDOR]],TERCEROS_INFO[#All],2,FALSE)</f>
        <v>30</v>
      </c>
      <c r="D29" s="30">
        <f>+SUMIFS(PROVEEDORES[Total],PROVEEDORES[PROVEEDOR],PROVEEDORES[[#This Row],[PROVEEDOR]],PROVEEDORES[FECHA DE PAGO],"")</f>
        <v>2324514.0150000001</v>
      </c>
      <c r="E29" s="30"/>
      <c r="F29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29" s="111">
        <v>44229</v>
      </c>
      <c r="H29" s="31" t="s">
        <v>24</v>
      </c>
      <c r="I29" s="111">
        <v>44176</v>
      </c>
      <c r="J29" s="48" t="s">
        <v>87</v>
      </c>
      <c r="K29" s="26">
        <v>2056764</v>
      </c>
      <c r="L29" s="26"/>
      <c r="M29" s="27">
        <v>390785.16000000003</v>
      </c>
      <c r="N29" s="28"/>
      <c r="O29" s="27">
        <v>0</v>
      </c>
      <c r="P29" s="28">
        <v>2.5000000000000001E-2</v>
      </c>
      <c r="Q29" s="27">
        <v>51419.100000000006</v>
      </c>
      <c r="R29" s="26">
        <v>0</v>
      </c>
      <c r="S29" s="115">
        <f ca="1">IF(PROVEEDORES[[#This Row],[FECHA DE PAGO]]=0,TODAY()-PROVEEDORES[[#This Row],[FECHA DE FACTURACIÓN]]-PROVEEDORES[[#This Row],[PLAZO Días]],0)</f>
        <v>0</v>
      </c>
      <c r="T2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" spans="1:20" ht="21.9" customHeight="1" x14ac:dyDescent="0.3">
      <c r="A30" s="113" t="str">
        <f>+IF(PROVEEDORES[[#This Row],[FECHA DE PAGO]]=PROVEEDORES[[#This Row],[FECHA DE FACTURACIÓN]],"DE CONTADO","CRÉDITO")</f>
        <v>CRÉDITO</v>
      </c>
      <c r="B30" s="51" t="str">
        <f>+IF((PROVEEDORES[[#This Row],[FECHA DE PAGO]]-PROVEEDORES[[#This Row],[FECHA DE FACTURACIÓN]])&gt;PROVEEDORES[[#This Row],[PLAZO Días]],"PAGO VENCIDO")</f>
        <v>PAGO VENCIDO</v>
      </c>
      <c r="C30" s="25">
        <f>+VLOOKUP(PROVEEDORES[[#This Row],[PROVEEDOR]],TERCEROS_INFO[#All],2,FALSE)</f>
        <v>30</v>
      </c>
      <c r="D30" s="30">
        <f>+SUMIFS(PROVEEDORES[Total],PROVEEDORES[PROVEEDOR],PROVEEDORES[[#This Row],[PROVEEDOR]],PROVEEDORES[FECHA DE PAGO],"")</f>
        <v>4078650.6</v>
      </c>
      <c r="E30" s="30"/>
      <c r="F30" s="73" t="str">
        <f>+VLOOKUP(PROVEEDORES[[#This Row],[PROVEEDOR]],TERCEROS_INFO[[PROVEEDOR]:[CORREO]],5,FALSE)</f>
        <v>financiera@nalpicentral.com;girlesa.ruiz@servipilas.com;joriescobar64@gmail.com</v>
      </c>
      <c r="G30" s="111">
        <v>44208</v>
      </c>
      <c r="H30" s="31" t="s">
        <v>1095</v>
      </c>
      <c r="I30" s="111">
        <v>44177</v>
      </c>
      <c r="J30" s="48">
        <v>18964</v>
      </c>
      <c r="K30" s="26">
        <v>539495.79831932776</v>
      </c>
      <c r="L30" s="26"/>
      <c r="M30" s="27">
        <v>102504.20168067228</v>
      </c>
      <c r="N30" s="28"/>
      <c r="O30" s="27">
        <v>0</v>
      </c>
      <c r="P30" s="28">
        <v>0</v>
      </c>
      <c r="Q30" s="27">
        <v>0</v>
      </c>
      <c r="R30" s="26">
        <v>642000</v>
      </c>
      <c r="S30" s="115">
        <f ca="1">IF(PROVEEDORES[[#This Row],[FECHA DE PAGO]]=0,TODAY()-PROVEEDORES[[#This Row],[FECHA DE FACTURACIÓN]]-PROVEEDORES[[#This Row],[PLAZO Días]],0)</f>
        <v>0</v>
      </c>
      <c r="T3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" spans="1:20" ht="21.9" customHeight="1" x14ac:dyDescent="0.3">
      <c r="A31" s="113" t="str">
        <f>+IF(PROVEEDORES[[#This Row],[FECHA DE PAGO]]=PROVEEDORES[[#This Row],[FECHA DE FACTURACIÓN]],"DE CONTADO","CRÉDITO")</f>
        <v>CRÉDITO</v>
      </c>
      <c r="B31" s="51" t="str">
        <f>+IF((PROVEEDORES[[#This Row],[FECHA DE PAGO]]-PROVEEDORES[[#This Row],[FECHA DE FACTURACIÓN]])&gt;PROVEEDORES[[#This Row],[PLAZO Días]],"PAGO VENCIDO")</f>
        <v>PAGO VENCIDO</v>
      </c>
      <c r="C31" s="25">
        <f>+VLOOKUP(PROVEEDORES[[#This Row],[PROVEEDOR]],TERCEROS_INFO[#All],2,FALSE)</f>
        <v>30</v>
      </c>
      <c r="D31" s="30">
        <f>+SUMIFS(PROVEEDORES[Total],PROVEEDORES[PROVEEDOR],PROVEEDORES[[#This Row],[PROVEEDOR]],PROVEEDORES[FECHA DE PAGO],"")</f>
        <v>-30345</v>
      </c>
      <c r="E31" s="30"/>
      <c r="F31" s="73" t="str">
        <f>+VLOOKUP(PROVEEDORES[[#This Row],[PROVEEDOR]],TERCEROS_INFO[[PROVEEDOR]:[CORREO]],5,FALSE)</f>
        <v>ventasmegamundo@yahoo.es;girlesa.ruiz@servipilas.com;joriescobar64@gmail.com</v>
      </c>
      <c r="G31" s="111">
        <v>44239</v>
      </c>
      <c r="H31" s="31" t="s">
        <v>1146</v>
      </c>
      <c r="I31" s="111">
        <v>44179</v>
      </c>
      <c r="J31" s="48">
        <v>528</v>
      </c>
      <c r="K31" s="26">
        <v>630252.9411764706</v>
      </c>
      <c r="L31" s="26"/>
      <c r="M31" s="27">
        <v>119748.05882352941</v>
      </c>
      <c r="N31" s="28"/>
      <c r="O31" s="27">
        <v>0</v>
      </c>
      <c r="P31" s="28">
        <v>0</v>
      </c>
      <c r="Q31" s="27">
        <v>0</v>
      </c>
      <c r="R31" s="26">
        <v>750001</v>
      </c>
      <c r="S31" s="115">
        <f ca="1">IF(PROVEEDORES[[#This Row],[FECHA DE PAGO]]=0,TODAY()-PROVEEDORES[[#This Row],[FECHA DE FACTURACIÓN]]-PROVEEDORES[[#This Row],[PLAZO Días]],0)</f>
        <v>0</v>
      </c>
      <c r="T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" spans="1:20" ht="21.9" customHeight="1" x14ac:dyDescent="0.3">
      <c r="A32" s="113" t="str">
        <f>+IF(PROVEEDORES[[#This Row],[FECHA DE PAGO]]=PROVEEDORES[[#This Row],[FECHA DE FACTURACIÓN]],"DE CONTADO","CRÉDITO")</f>
        <v>CRÉDITO</v>
      </c>
      <c r="B32" s="51" t="str">
        <f>+IF((PROVEEDORES[[#This Row],[FECHA DE PAGO]]-PROVEEDORES[[#This Row],[FECHA DE FACTURACIÓN]])&gt;PROVEEDORES[[#This Row],[PLAZO Días]],"PAGO VENCIDO")</f>
        <v>PAGO VENCIDO</v>
      </c>
      <c r="C32" s="25">
        <f>+VLOOKUP(PROVEEDORES[[#This Row],[PROVEEDOR]],TERCEROS_INFO[#All],2,FALSE)</f>
        <v>30</v>
      </c>
      <c r="D32" s="30">
        <f>+SUMIFS(PROVEEDORES[Total],PROVEEDORES[PROVEEDOR],PROVEEDORES[[#This Row],[PROVEEDOR]],PROVEEDORES[FECHA DE PAGO],"")</f>
        <v>10764600</v>
      </c>
      <c r="E32" s="30"/>
      <c r="F32" s="73" t="str">
        <f>+VLOOKUP(PROVEEDORES[[#This Row],[PROVEEDOR]],TERCEROS_INFO[[PROVEEDOR]:[CORREO]],5,FALSE)</f>
        <v>apresupuesto@widexcolombia.com;girlesa.ruiz@servipilas.com;joriescobar64@gmail.com</v>
      </c>
      <c r="G32" s="111">
        <v>44239</v>
      </c>
      <c r="H32" s="31" t="s">
        <v>11</v>
      </c>
      <c r="I32" s="111">
        <v>44179</v>
      </c>
      <c r="J32" s="48" t="s">
        <v>88</v>
      </c>
      <c r="K32" s="26">
        <v>1980000</v>
      </c>
      <c r="L32" s="26"/>
      <c r="M32" s="27">
        <v>376200</v>
      </c>
      <c r="N32" s="28"/>
      <c r="O32" s="27">
        <v>0</v>
      </c>
      <c r="P32" s="28">
        <v>2.5000000000000001E-2</v>
      </c>
      <c r="Q32" s="27">
        <v>49500</v>
      </c>
      <c r="R32" s="26">
        <v>2306700</v>
      </c>
      <c r="S32" s="115">
        <f ca="1">IF(PROVEEDORES[[#This Row],[FECHA DE PAGO]]=0,TODAY()-PROVEEDORES[[#This Row],[FECHA DE FACTURACIÓN]]-PROVEEDORES[[#This Row],[PLAZO Días]],0)</f>
        <v>0</v>
      </c>
      <c r="T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" spans="1:20" ht="21.9" customHeight="1" x14ac:dyDescent="0.3">
      <c r="A33" s="113" t="str">
        <f>+IF(PROVEEDORES[[#This Row],[FECHA DE PAGO]]=PROVEEDORES[[#This Row],[FECHA DE FACTURACIÓN]],"DE CONTADO","CRÉDITO")</f>
        <v>CRÉDITO</v>
      </c>
      <c r="B33" s="51" t="str">
        <f>+IF((PROVEEDORES[[#This Row],[FECHA DE PAGO]]-PROVEEDORES[[#This Row],[FECHA DE FACTURACIÓN]])&gt;PROVEEDORES[[#This Row],[PLAZO Días]],"PAGO VENCIDO")</f>
        <v>PAGO VENCIDO</v>
      </c>
      <c r="C33" s="25">
        <f>+VLOOKUP(PROVEEDORES[[#This Row],[PROVEEDOR]],TERCEROS_INFO[#All],2,FALSE)</f>
        <v>30</v>
      </c>
      <c r="D33" s="30">
        <f>+SUMIFS(PROVEEDORES[Total],PROVEEDORES[PROVEEDOR],PROVEEDORES[[#This Row],[PROVEEDOR]],PROVEEDORES[FECHA DE PAGO],"")</f>
        <v>4078650.6</v>
      </c>
      <c r="E33" s="30"/>
      <c r="F33" s="73" t="str">
        <f>+VLOOKUP(PROVEEDORES[[#This Row],[PROVEEDOR]],TERCEROS_INFO[[PROVEEDOR]:[CORREO]],5,FALSE)</f>
        <v>financiera@nalpicentral.com;girlesa.ruiz@servipilas.com;joriescobar64@gmail.com</v>
      </c>
      <c r="G33" s="111">
        <v>44257</v>
      </c>
      <c r="H33" s="31" t="s">
        <v>1095</v>
      </c>
      <c r="I33" s="111">
        <v>44180</v>
      </c>
      <c r="J33" s="48">
        <v>19269</v>
      </c>
      <c r="K33" s="26">
        <v>3336616</v>
      </c>
      <c r="L33" s="26">
        <v>71448</v>
      </c>
      <c r="M33" s="27">
        <v>620381.92000000004</v>
      </c>
      <c r="N33" s="28"/>
      <c r="O33" s="27">
        <v>0</v>
      </c>
      <c r="P33" s="28">
        <v>2.5000000000000001E-2</v>
      </c>
      <c r="Q33" s="27">
        <v>81629.200000000012</v>
      </c>
      <c r="R33" s="26">
        <v>3803920.7199999997</v>
      </c>
      <c r="S33" s="115">
        <f ca="1">IF(PROVEEDORES[[#This Row],[FECHA DE PAGO]]=0,TODAY()-PROVEEDORES[[#This Row],[FECHA DE FACTURACIÓN]]-PROVEEDORES[[#This Row],[PLAZO Días]],0)</f>
        <v>0</v>
      </c>
      <c r="T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" spans="1:20" ht="21.9" customHeight="1" x14ac:dyDescent="0.3">
      <c r="A34" s="113" t="str">
        <f>+IF(PROVEEDORES[[#This Row],[FECHA DE PAGO]]=PROVEEDORES[[#This Row],[FECHA DE FACTURACIÓN]],"DE CONTADO","CRÉDITO")</f>
        <v>CRÉDITO</v>
      </c>
      <c r="B34" s="51" t="b">
        <f>+IF((PROVEEDORES[[#This Row],[FECHA DE PAGO]]-PROVEEDORES[[#This Row],[FECHA DE FACTURACIÓN]])&gt;PROVEEDORES[[#This Row],[PLAZO Días]],"PAGO VENCIDO")</f>
        <v>0</v>
      </c>
      <c r="C34" s="25">
        <f>+VLOOKUP(PROVEEDORES[[#This Row],[PROVEEDOR]],TERCEROS_INFO[#All],2,FALSE)</f>
        <v>30</v>
      </c>
      <c r="D34" s="30">
        <f>+SUMIFS(PROVEEDORES[Total],PROVEEDORES[PROVEEDOR],PROVEEDORES[[#This Row],[PROVEEDOR]],PROVEEDORES[FECHA DE PAGO],"")</f>
        <v>3750700</v>
      </c>
      <c r="E34" s="30"/>
      <c r="F34" s="73" t="str">
        <f>+VLOOKUP(PROVEEDORES[[#This Row],[PROVEEDOR]],TERCEROS_INFO[[PROVEEDOR]:[CORREO]],5,FALSE)</f>
        <v/>
      </c>
      <c r="G34" s="111">
        <v>44198</v>
      </c>
      <c r="H34" s="31" t="s">
        <v>996</v>
      </c>
      <c r="I34" s="111">
        <v>44180</v>
      </c>
      <c r="J34" s="48" t="s">
        <v>669</v>
      </c>
      <c r="K34" s="26">
        <v>4071500</v>
      </c>
      <c r="L34" s="26"/>
      <c r="M34" s="27">
        <v>0</v>
      </c>
      <c r="N34" s="28"/>
      <c r="O34" s="27">
        <v>0</v>
      </c>
      <c r="P34" s="28">
        <v>0</v>
      </c>
      <c r="Q34" s="27">
        <v>0</v>
      </c>
      <c r="R34" s="26">
        <v>4071500</v>
      </c>
      <c r="S34" s="115">
        <f ca="1">IF(PROVEEDORES[[#This Row],[FECHA DE PAGO]]=0,TODAY()-PROVEEDORES[[#This Row],[FECHA DE FACTURACIÓN]]-PROVEEDORES[[#This Row],[PLAZO Días]],0)</f>
        <v>0</v>
      </c>
      <c r="T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" spans="1:20" ht="21.9" customHeight="1" x14ac:dyDescent="0.3">
      <c r="A35" s="113" t="str">
        <f>+IF(PROVEEDORES[[#This Row],[FECHA DE PAGO]]=PROVEEDORES[[#This Row],[FECHA DE FACTURACIÓN]],"DE CONTADO","CRÉDITO")</f>
        <v>CRÉDITO</v>
      </c>
      <c r="B35" s="51" t="str">
        <f>+IF((PROVEEDORES[[#This Row],[FECHA DE PAGO]]-PROVEEDORES[[#This Row],[FECHA DE FACTURACIÓN]])&gt;PROVEEDORES[[#This Row],[PLAZO Días]],"PAGO VENCIDO")</f>
        <v>PAGO VENCIDO</v>
      </c>
      <c r="C35" s="25">
        <f>+VLOOKUP(PROVEEDORES[[#This Row],[PROVEEDOR]],TERCEROS_INFO[#All],2,FALSE)</f>
        <v>45</v>
      </c>
      <c r="D35" s="30">
        <f>+SUMIFS(PROVEEDORES[Total],PROVEEDORES[PROVEEDOR],PROVEEDORES[[#This Row],[PROVEEDOR]],PROVEEDORES[FECHA DE PAGO],"")</f>
        <v>1070024.2</v>
      </c>
      <c r="E35" s="30"/>
      <c r="F35" s="73" t="str">
        <f>+VLOOKUP(PROVEEDORES[[#This Row],[PROVEEDOR]],TERCEROS_INFO[[PROVEEDOR]:[CORREO]],5,FALSE)</f>
        <v>libardopineda@tronex.com;girlesa.ruiz@servipilas.com;joriescobar64@gmail.com</v>
      </c>
      <c r="G35" s="111">
        <v>44229</v>
      </c>
      <c r="H35" s="31" t="s">
        <v>10</v>
      </c>
      <c r="I35" s="111">
        <v>44181</v>
      </c>
      <c r="J35" s="48" t="s">
        <v>91</v>
      </c>
      <c r="K35" s="26">
        <v>920000</v>
      </c>
      <c r="L35" s="26"/>
      <c r="M35" s="27">
        <v>174800</v>
      </c>
      <c r="N35" s="28"/>
      <c r="O35" s="27">
        <v>0</v>
      </c>
      <c r="P35" s="28">
        <v>0</v>
      </c>
      <c r="Q35" s="27">
        <v>0</v>
      </c>
      <c r="R35" s="26">
        <v>-510000.68</v>
      </c>
      <c r="S35" s="115">
        <f ca="1">IF(PROVEEDORES[[#This Row],[FECHA DE PAGO]]=0,TODAY()-PROVEEDORES[[#This Row],[FECHA DE FACTURACIÓN]]-PROVEEDORES[[#This Row],[PLAZO Días]],0)</f>
        <v>0</v>
      </c>
      <c r="T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" spans="1:20" ht="21.9" customHeight="1" x14ac:dyDescent="0.3">
      <c r="A36" s="113" t="str">
        <f>+IF(PROVEEDORES[[#This Row],[FECHA DE PAGO]]=PROVEEDORES[[#This Row],[FECHA DE FACTURACIÓN]],"DE CONTADO","CRÉDITO")</f>
        <v>CRÉDITO</v>
      </c>
      <c r="B36" s="51" t="str">
        <f>+IF((PROVEEDORES[[#This Row],[FECHA DE PAGO]]-PROVEEDORES[[#This Row],[FECHA DE FACTURACIÓN]])&gt;PROVEEDORES[[#This Row],[PLAZO Días]],"PAGO VENCIDO")</f>
        <v>PAGO VENCIDO</v>
      </c>
      <c r="C36" s="25">
        <f>+VLOOKUP(PROVEEDORES[[#This Row],[PROVEEDOR]],TERCEROS_INFO[#All],2,FALSE)</f>
        <v>30</v>
      </c>
      <c r="D36" s="30">
        <f>+SUMIFS(PROVEEDORES[Total],PROVEEDORES[PROVEEDOR],PROVEEDORES[[#This Row],[PROVEEDOR]],PROVEEDORES[FECHA DE PAGO],"")</f>
        <v>0</v>
      </c>
      <c r="E36" s="30"/>
      <c r="F36" s="73" t="str">
        <f>+VLOOKUP(PROVEEDORES[[#This Row],[PROVEEDOR]],TERCEROS_INFO[[PROVEEDOR]:[CORREO]],5,FALSE)</f>
        <v>Fernando.Carmona@energizer.com;girlesa.ruiz@servipilas.com;joriescobar64@gmail.com</v>
      </c>
      <c r="G36" s="111">
        <v>44243</v>
      </c>
      <c r="H36" s="31" t="s">
        <v>47</v>
      </c>
      <c r="I36" s="111">
        <v>44181</v>
      </c>
      <c r="J36" s="48">
        <v>160215342</v>
      </c>
      <c r="K36" s="26">
        <v>1631002</v>
      </c>
      <c r="L36" s="26"/>
      <c r="M36" s="27">
        <v>309890.38</v>
      </c>
      <c r="N36" s="28"/>
      <c r="O36" s="27">
        <v>0</v>
      </c>
      <c r="P36" s="28">
        <v>0</v>
      </c>
      <c r="Q36" s="27">
        <v>0</v>
      </c>
      <c r="R36" s="26">
        <v>1940892.38</v>
      </c>
      <c r="S36" s="115">
        <f ca="1">IF(PROVEEDORES[[#This Row],[FECHA DE PAGO]]=0,TODAY()-PROVEEDORES[[#This Row],[FECHA DE FACTURACIÓN]]-PROVEEDORES[[#This Row],[PLAZO Días]],0)</f>
        <v>0</v>
      </c>
      <c r="T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" spans="1:20" ht="21.9" customHeight="1" x14ac:dyDescent="0.3">
      <c r="A37" s="113" t="str">
        <f>+IF(PROVEEDORES[[#This Row],[FECHA DE PAGO]]=PROVEEDORES[[#This Row],[FECHA DE FACTURACIÓN]],"DE CONTADO","CRÉDITO")</f>
        <v>CRÉDITO</v>
      </c>
      <c r="B37" s="51" t="str">
        <f>+IF((PROVEEDORES[[#This Row],[FECHA DE PAGO]]-PROVEEDORES[[#This Row],[FECHA DE FACTURACIÓN]])&gt;PROVEEDORES[[#This Row],[PLAZO Días]],"PAGO VENCIDO")</f>
        <v>PAGO VENCIDO</v>
      </c>
      <c r="C37" s="25">
        <f>+VLOOKUP(PROVEEDORES[[#This Row],[PROVEEDOR]],TERCEROS_INFO[#All],2,FALSE)</f>
        <v>30</v>
      </c>
      <c r="D37" s="30">
        <f>+SUMIFS(PROVEEDORES[Total],PROVEEDORES[PROVEEDOR],PROVEEDORES[[#This Row],[PROVEEDOR]],PROVEEDORES[FECHA DE PAGO],"")</f>
        <v>10764600</v>
      </c>
      <c r="E37" s="30"/>
      <c r="F37" s="73" t="str">
        <f>+VLOOKUP(PROVEEDORES[[#This Row],[PROVEEDOR]],TERCEROS_INFO[[PROVEEDOR]:[CORREO]],5,FALSE)</f>
        <v>apresupuesto@widexcolombia.com;girlesa.ruiz@servipilas.com;joriescobar64@gmail.com</v>
      </c>
      <c r="G37" s="111">
        <v>44214</v>
      </c>
      <c r="H37" s="31" t="s">
        <v>11</v>
      </c>
      <c r="I37" s="111">
        <v>44182</v>
      </c>
      <c r="J37" s="48" t="s">
        <v>89</v>
      </c>
      <c r="K37" s="26">
        <v>1980000</v>
      </c>
      <c r="L37" s="26"/>
      <c r="M37" s="27">
        <v>376200</v>
      </c>
      <c r="N37" s="28"/>
      <c r="O37" s="27">
        <v>0</v>
      </c>
      <c r="P37" s="28">
        <v>2.5000000000000001E-2</v>
      </c>
      <c r="Q37" s="27">
        <v>49500</v>
      </c>
      <c r="R37" s="26">
        <v>2306700</v>
      </c>
      <c r="S37" s="115">
        <f ca="1">IF(PROVEEDORES[[#This Row],[FECHA DE PAGO]]=0,TODAY()-PROVEEDORES[[#This Row],[FECHA DE FACTURACIÓN]]-PROVEEDORES[[#This Row],[PLAZO Días]],0)</f>
        <v>0</v>
      </c>
      <c r="T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" spans="1:20" ht="21.9" customHeight="1" x14ac:dyDescent="0.3">
      <c r="A38" s="113" t="str">
        <f>+IF(PROVEEDORES[[#This Row],[FECHA DE PAGO]]=PROVEEDORES[[#This Row],[FECHA DE FACTURACIÓN]],"DE CONTADO","CRÉDITO")</f>
        <v>CRÉDITO</v>
      </c>
      <c r="B38" s="51" t="b">
        <f>+IF((PROVEEDORES[[#This Row],[FECHA DE PAGO]]-PROVEEDORES[[#This Row],[FECHA DE FACTURACIÓN]])&gt;PROVEEDORES[[#This Row],[PLAZO Días]],"PAGO VENCIDO")</f>
        <v>0</v>
      </c>
      <c r="C38" s="25">
        <f>+VLOOKUP(PROVEEDORES[[#This Row],[PROVEEDOR]],TERCEROS_INFO[#All],2,FALSE)</f>
        <v>30</v>
      </c>
      <c r="D38" s="30">
        <f>+SUMIFS(PROVEEDORES[Total],PROVEEDORES[PROVEEDOR],PROVEEDORES[[#This Row],[PROVEEDOR]],PROVEEDORES[FECHA DE PAGO],"")</f>
        <v>0</v>
      </c>
      <c r="E38" s="30"/>
      <c r="F38" s="73" t="str">
        <f>+VLOOKUP(PROVEEDORES[[#This Row],[PROVEEDOR]],TERCEROS_INFO[[PROVEEDOR]:[CORREO]],5,FALSE)</f>
        <v>avelinacomer@gmail.com;girlesa.ruiz@servipilas.com;joriescobar64@gmail.com</v>
      </c>
      <c r="G38" s="111">
        <v>44208</v>
      </c>
      <c r="H38" s="31" t="s">
        <v>1000</v>
      </c>
      <c r="I38" s="111">
        <v>44183</v>
      </c>
      <c r="J38" s="48" t="s">
        <v>98</v>
      </c>
      <c r="K38" s="26">
        <v>770400</v>
      </c>
      <c r="L38" s="26"/>
      <c r="M38" s="27">
        <v>0</v>
      </c>
      <c r="N38" s="28"/>
      <c r="O38" s="27">
        <v>0</v>
      </c>
      <c r="P38" s="28">
        <v>0</v>
      </c>
      <c r="Q38" s="27">
        <v>0</v>
      </c>
      <c r="R38" s="26">
        <v>770400</v>
      </c>
      <c r="S38" s="115">
        <f ca="1">IF(PROVEEDORES[[#This Row],[FECHA DE PAGO]]=0,TODAY()-PROVEEDORES[[#This Row],[FECHA DE FACTURACIÓN]]-PROVEEDORES[[#This Row],[PLAZO Días]],0)</f>
        <v>0</v>
      </c>
      <c r="T3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" spans="1:20" ht="21.9" customHeight="1" x14ac:dyDescent="0.3">
      <c r="A39" s="113" t="str">
        <f>+IF(PROVEEDORES[[#This Row],[FECHA DE PAGO]]=PROVEEDORES[[#This Row],[FECHA DE FACTURACIÓN]],"DE CONTADO","CRÉDITO")</f>
        <v>CRÉDITO</v>
      </c>
      <c r="B39" s="51" t="str">
        <f>+IF((PROVEEDORES[[#This Row],[FECHA DE PAGO]]-PROVEEDORES[[#This Row],[FECHA DE FACTURACIÓN]])&gt;PROVEEDORES[[#This Row],[PLAZO Días]],"PAGO VENCIDO")</f>
        <v>PAGO VENCIDO</v>
      </c>
      <c r="C39" s="25">
        <f>+VLOOKUP(PROVEEDORES[[#This Row],[PROVEEDOR]],TERCEROS_INFO[#All],2,FALSE)</f>
        <v>30</v>
      </c>
      <c r="D39" s="30">
        <f>+SUMIFS(PROVEEDORES[Total],PROVEEDORES[PROVEEDOR],PROVEEDORES[[#This Row],[PROVEEDOR]],PROVEEDORES[FECHA DE PAGO],"")</f>
        <v>0</v>
      </c>
      <c r="E39" s="30"/>
      <c r="F39" s="73" t="str">
        <f>+VLOOKUP(PROVEEDORES[[#This Row],[PROVEEDOR]],TERCEROS_INFO[[PROVEEDOR]:[CORREO]],5,FALSE)</f>
        <v>variedades.sfg@gmail.com;girlesa.ruiz@servipilas.com;joriescobar64@gmail.com</v>
      </c>
      <c r="G39" s="111">
        <v>44290</v>
      </c>
      <c r="H39" s="31" t="s">
        <v>988</v>
      </c>
      <c r="I39" s="111">
        <v>44183</v>
      </c>
      <c r="J39" s="48">
        <v>537</v>
      </c>
      <c r="K39" s="26">
        <v>1086000</v>
      </c>
      <c r="L39" s="26"/>
      <c r="M39" s="27">
        <v>0</v>
      </c>
      <c r="N39" s="28"/>
      <c r="O39" s="27">
        <v>0</v>
      </c>
      <c r="P39" s="28">
        <v>0</v>
      </c>
      <c r="Q39" s="27">
        <v>0</v>
      </c>
      <c r="R39" s="26">
        <v>1086000</v>
      </c>
      <c r="S39" s="115">
        <f ca="1">IF(PROVEEDORES[[#This Row],[FECHA DE PAGO]]=0,TODAY()-PROVEEDORES[[#This Row],[FECHA DE FACTURACIÓN]]-PROVEEDORES[[#This Row],[PLAZO Días]],0)</f>
        <v>0</v>
      </c>
      <c r="T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" spans="1:20" ht="21.9" customHeight="1" x14ac:dyDescent="0.3">
      <c r="A40" s="113" t="str">
        <f>+IF(PROVEEDORES[[#This Row],[FECHA DE PAGO]]=PROVEEDORES[[#This Row],[FECHA DE FACTURACIÓN]],"DE CONTADO","CRÉDITO")</f>
        <v>CRÉDITO</v>
      </c>
      <c r="B40" s="51" t="str">
        <f>+IF((PROVEEDORES[[#This Row],[FECHA DE PAGO]]-PROVEEDORES[[#This Row],[FECHA DE FACTURACIÓN]])&gt;PROVEEDORES[[#This Row],[PLAZO Días]],"PAGO VENCIDO")</f>
        <v>PAGO VENCIDO</v>
      </c>
      <c r="C40" s="25">
        <f>+VLOOKUP(PROVEEDORES[[#This Row],[PROVEEDOR]],TERCEROS_INFO[#All],2,FALSE)</f>
        <v>30</v>
      </c>
      <c r="D40" s="30">
        <f>+SUMIFS(PROVEEDORES[Total],PROVEEDORES[PROVEEDOR],PROVEEDORES[[#This Row],[PROVEEDOR]],PROVEEDORES[FECHA DE PAGO],"")</f>
        <v>4078650.6</v>
      </c>
      <c r="E40" s="30"/>
      <c r="F40" s="73" t="str">
        <f>+VLOOKUP(PROVEEDORES[[#This Row],[PROVEEDOR]],TERCEROS_INFO[[PROVEEDOR]:[CORREO]],5,FALSE)</f>
        <v>financiera@nalpicentral.com;girlesa.ruiz@servipilas.com;joriescobar64@gmail.com</v>
      </c>
      <c r="G40" s="111">
        <v>44257</v>
      </c>
      <c r="H40" s="31" t="s">
        <v>1095</v>
      </c>
      <c r="I40" s="111">
        <v>44183</v>
      </c>
      <c r="J40" s="48">
        <v>19328</v>
      </c>
      <c r="K40" s="26">
        <v>1465068</v>
      </c>
      <c r="L40" s="26">
        <v>133188</v>
      </c>
      <c r="M40" s="27">
        <v>253057.2</v>
      </c>
      <c r="N40" s="28"/>
      <c r="O40" s="27">
        <v>0</v>
      </c>
      <c r="P40" s="28">
        <v>2.5000000000000001E-2</v>
      </c>
      <c r="Q40" s="27">
        <v>33297</v>
      </c>
      <c r="R40" s="26">
        <v>1551640.2</v>
      </c>
      <c r="S40" s="115">
        <f ca="1">IF(PROVEEDORES[[#This Row],[FECHA DE PAGO]]=0,TODAY()-PROVEEDORES[[#This Row],[FECHA DE FACTURACIÓN]]-PROVEEDORES[[#This Row],[PLAZO Días]],0)</f>
        <v>0</v>
      </c>
      <c r="T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" spans="1:20" ht="21.9" customHeight="1" x14ac:dyDescent="0.3">
      <c r="A41" s="113" t="str">
        <f>+IF(PROVEEDORES[[#This Row],[FECHA DE PAGO]]=PROVEEDORES[[#This Row],[FECHA DE FACTURACIÓN]],"DE CONTADO","CRÉDITO")</f>
        <v>CRÉDITO</v>
      </c>
      <c r="B41" s="51" t="str">
        <f>+IF((PROVEEDORES[[#This Row],[FECHA DE PAGO]]-PROVEEDORES[[#This Row],[FECHA DE FACTURACIÓN]])&gt;PROVEEDORES[[#This Row],[PLAZO Días]],"PAGO VENCIDO")</f>
        <v>PAGO VENCIDO</v>
      </c>
      <c r="C41" s="25">
        <f>+VLOOKUP(PROVEEDORES[[#This Row],[PROVEEDOR]],TERCEROS_INFO[#All],2,FALSE)</f>
        <v>30</v>
      </c>
      <c r="D41" s="30">
        <f>+SUMIFS(PROVEEDORES[Total],PROVEEDORES[PROVEEDOR],PROVEEDORES[[#This Row],[PROVEEDOR]],PROVEEDORES[FECHA DE PAGO],"")</f>
        <v>0</v>
      </c>
      <c r="E41" s="30"/>
      <c r="F41" s="73" t="str">
        <f>+VLOOKUP(PROVEEDORES[[#This Row],[PROVEEDOR]],TERCEROS_INFO[[PROVEEDOR]:[CORREO]],5,FALSE)</f>
        <v>variedades.sfg@gmail.com;girlesa.ruiz@servipilas.com;joriescobar64@gmail.com</v>
      </c>
      <c r="G41" s="111">
        <v>44271</v>
      </c>
      <c r="H41" s="31" t="s">
        <v>988</v>
      </c>
      <c r="I41" s="111">
        <v>44183</v>
      </c>
      <c r="J41" s="48">
        <v>538</v>
      </c>
      <c r="K41" s="26">
        <v>3268500</v>
      </c>
      <c r="L41" s="26"/>
      <c r="M41" s="27">
        <v>0</v>
      </c>
      <c r="N41" s="28"/>
      <c r="O41" s="27">
        <v>0</v>
      </c>
      <c r="P41" s="28">
        <v>0</v>
      </c>
      <c r="Q41" s="27">
        <v>0</v>
      </c>
      <c r="R41" s="26">
        <v>3268500</v>
      </c>
      <c r="S41" s="115">
        <f ca="1">IF(PROVEEDORES[[#This Row],[FECHA DE PAGO]]=0,TODAY()-PROVEEDORES[[#This Row],[FECHA DE FACTURACIÓN]]-PROVEEDORES[[#This Row],[PLAZO Días]],0)</f>
        <v>0</v>
      </c>
      <c r="T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" spans="1:20" ht="21.9" customHeight="1" x14ac:dyDescent="0.3">
      <c r="A42" s="113" t="str">
        <f>+IF(PROVEEDORES[[#This Row],[FECHA DE PAGO]]=PROVEEDORES[[#This Row],[FECHA DE FACTURACIÓN]],"DE CONTADO","CRÉDITO")</f>
        <v>CRÉDITO</v>
      </c>
      <c r="B42" s="51" t="str">
        <f>+IF((PROVEEDORES[[#This Row],[FECHA DE PAGO]]-PROVEEDORES[[#This Row],[FECHA DE FACTURACIÓN]])&gt;PROVEEDORES[[#This Row],[PLAZO Días]],"PAGO VENCIDO")</f>
        <v>PAGO VENCIDO</v>
      </c>
      <c r="C42" s="25">
        <f>+VLOOKUP(PROVEEDORES[[#This Row],[PROVEEDOR]],TERCEROS_INFO[#All],2,FALSE)</f>
        <v>30</v>
      </c>
      <c r="D42" s="30">
        <f>+SUMIFS(PROVEEDORES[Total],PROVEEDORES[PROVEEDOR],PROVEEDORES[[#This Row],[PROVEEDOR]],PROVEEDORES[FECHA DE PAGO],"")</f>
        <v>0</v>
      </c>
      <c r="E42" s="30"/>
      <c r="F42" s="73" t="str">
        <f>+VLOOKUP(PROVEEDORES[[#This Row],[PROVEEDOR]],TERCEROS_INFO[[PROVEEDOR]:[CORREO]],5,FALSE)</f>
        <v/>
      </c>
      <c r="G42" s="111">
        <v>44230</v>
      </c>
      <c r="H42" s="31" t="s">
        <v>1030</v>
      </c>
      <c r="I42" s="111">
        <v>44183</v>
      </c>
      <c r="J42" s="48"/>
      <c r="K42" s="26">
        <v>3778000</v>
      </c>
      <c r="L42" s="26"/>
      <c r="M42" s="27">
        <v>0</v>
      </c>
      <c r="N42" s="28">
        <v>0.04</v>
      </c>
      <c r="O42" s="27">
        <v>151120</v>
      </c>
      <c r="P42" s="28">
        <v>0</v>
      </c>
      <c r="Q42" s="27">
        <v>0</v>
      </c>
      <c r="R42" s="26">
        <v>3626880</v>
      </c>
      <c r="S42" s="115">
        <f ca="1">IF(PROVEEDORES[[#This Row],[FECHA DE PAGO]]=0,TODAY()-PROVEEDORES[[#This Row],[FECHA DE FACTURACIÓN]]-PROVEEDORES[[#This Row],[PLAZO Días]],0)</f>
        <v>0</v>
      </c>
      <c r="T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" spans="1:20" ht="21.9" customHeight="1" x14ac:dyDescent="0.3">
      <c r="A43" s="113" t="str">
        <f>+IF(PROVEEDORES[[#This Row],[FECHA DE PAGO]]=PROVEEDORES[[#This Row],[FECHA DE FACTURACIÓN]],"DE CONTADO","CRÉDITO")</f>
        <v>CRÉDITO</v>
      </c>
      <c r="B43" s="51" t="str">
        <f>+IF((PROVEEDORES[[#This Row],[FECHA DE PAGO]]-PROVEEDORES[[#This Row],[FECHA DE FACTURACIÓN]])&gt;PROVEEDORES[[#This Row],[PLAZO Días]],"PAGO VENCIDO")</f>
        <v>PAGO VENCIDO</v>
      </c>
      <c r="C43" s="25">
        <f>+VLOOKUP(PROVEEDORES[[#This Row],[PROVEEDOR]],TERCEROS_INFO[#All],2,FALSE)</f>
        <v>90</v>
      </c>
      <c r="D43" s="30">
        <f>+SUMIFS(PROVEEDORES[Total],PROVEEDORES[PROVEEDOR],PROVEEDORES[[#This Row],[PROVEEDOR]],PROVEEDORES[FECHA DE PAGO],"")</f>
        <v>26364243.66155</v>
      </c>
      <c r="E43" s="30"/>
      <c r="F43" s="73" t="str">
        <f>+VLOOKUP(PROVEEDORES[[#This Row],[PROVEEDOR]],TERCEROS_INFO[[PROVEEDOR]:[CORREO]],5,FALSE)</f>
        <v>javiergomez_72@hotmail.com ;girlesa.ruiz@servipilas.com;joriescobar64@gmail.com</v>
      </c>
      <c r="G43" s="111">
        <v>44351</v>
      </c>
      <c r="H43" s="31" t="s">
        <v>12</v>
      </c>
      <c r="I43" s="111">
        <v>44185</v>
      </c>
      <c r="J43" s="48" t="s">
        <v>97</v>
      </c>
      <c r="K43" s="26">
        <v>5804201.6890756302</v>
      </c>
      <c r="L43" s="26"/>
      <c r="M43" s="27">
        <v>1102798.3209243699</v>
      </c>
      <c r="N43" s="28"/>
      <c r="O43" s="27">
        <v>0</v>
      </c>
      <c r="P43" s="28">
        <v>2.5000000000000001E-2</v>
      </c>
      <c r="Q43" s="27">
        <v>145105.04222689077</v>
      </c>
      <c r="R43" s="26">
        <v>6761894.9677731087</v>
      </c>
      <c r="S43" s="115">
        <f ca="1">IF(PROVEEDORES[[#This Row],[FECHA DE PAGO]]=0,TODAY()-PROVEEDORES[[#This Row],[FECHA DE FACTURACIÓN]]-PROVEEDORES[[#This Row],[PLAZO Días]],0)</f>
        <v>0</v>
      </c>
      <c r="T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" spans="1:20" ht="21.9" customHeight="1" x14ac:dyDescent="0.3">
      <c r="A44" s="113" t="str">
        <f>+IF(PROVEEDORES[[#This Row],[FECHA DE PAGO]]=PROVEEDORES[[#This Row],[FECHA DE FACTURACIÓN]],"DE CONTADO","CRÉDITO")</f>
        <v>CRÉDITO</v>
      </c>
      <c r="B44" s="51" t="str">
        <f>+IF((PROVEEDORES[[#This Row],[FECHA DE PAGO]]-PROVEEDORES[[#This Row],[FECHA DE FACTURACIÓN]])&gt;PROVEEDORES[[#This Row],[PLAZO Días]],"PAGO VENCIDO")</f>
        <v>PAGO VENCIDO</v>
      </c>
      <c r="C44" s="25">
        <f>+VLOOKUP(PROVEEDORES[[#This Row],[PROVEEDOR]],TERCEROS_INFO[#All],2,FALSE)</f>
        <v>90</v>
      </c>
      <c r="D44" s="30">
        <f>+SUMIFS(PROVEEDORES[Total],PROVEEDORES[PROVEEDOR],PROVEEDORES[[#This Row],[PROVEEDOR]],PROVEEDORES[FECHA DE PAGO],"")</f>
        <v>26364243.66155</v>
      </c>
      <c r="E44" s="30"/>
      <c r="F44" s="73" t="str">
        <f>+VLOOKUP(PROVEEDORES[[#This Row],[PROVEEDOR]],TERCEROS_INFO[[PROVEEDOR]:[CORREO]],5,FALSE)</f>
        <v>javiergomez_72@hotmail.com ;girlesa.ruiz@servipilas.com;joriescobar64@gmail.com</v>
      </c>
      <c r="G44" s="111">
        <v>44351</v>
      </c>
      <c r="H44" s="31" t="s">
        <v>12</v>
      </c>
      <c r="I44" s="111">
        <v>44185</v>
      </c>
      <c r="J44" s="48" t="s">
        <v>96</v>
      </c>
      <c r="K44" s="26">
        <v>12248739.529411765</v>
      </c>
      <c r="L44" s="26"/>
      <c r="M44" s="27">
        <v>2327260.5105882352</v>
      </c>
      <c r="N44" s="28"/>
      <c r="O44" s="27">
        <v>0</v>
      </c>
      <c r="P44" s="28">
        <v>2.5000000000000001E-2</v>
      </c>
      <c r="Q44" s="27">
        <v>306218.48823529412</v>
      </c>
      <c r="R44" s="26">
        <v>14269781.551764704</v>
      </c>
      <c r="S44" s="115">
        <f ca="1">IF(PROVEEDORES[[#This Row],[FECHA DE PAGO]]=0,TODAY()-PROVEEDORES[[#This Row],[FECHA DE FACTURACIÓN]]-PROVEEDORES[[#This Row],[PLAZO Días]],0)</f>
        <v>0</v>
      </c>
      <c r="T4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" spans="1:20" ht="21.9" customHeight="1" x14ac:dyDescent="0.3">
      <c r="A45" s="113" t="str">
        <f>+IF(PROVEEDORES[[#This Row],[FECHA DE PAGO]]=PROVEEDORES[[#This Row],[FECHA DE FACTURACIÓN]],"DE CONTADO","CRÉDITO")</f>
        <v>CRÉDITO</v>
      </c>
      <c r="B45" s="51" t="str">
        <f>+IF((PROVEEDORES[[#This Row],[FECHA DE PAGO]]-PROVEEDORES[[#This Row],[FECHA DE FACTURACIÓN]])&gt;PROVEEDORES[[#This Row],[PLAZO Días]],"PAGO VENCIDO")</f>
        <v>PAGO VENCIDO</v>
      </c>
      <c r="C45" s="25">
        <f>+VLOOKUP(PROVEEDORES[[#This Row],[PROVEEDOR]],TERCEROS_INFO[#All],2,FALSE)</f>
        <v>30</v>
      </c>
      <c r="D45" s="30">
        <f>+SUMIFS(PROVEEDORES[Total],PROVEEDORES[PROVEEDOR],PROVEEDORES[[#This Row],[PROVEEDOR]],PROVEEDORES[FECHA DE PAGO],"")</f>
        <v>0</v>
      </c>
      <c r="E45" s="30"/>
      <c r="F45" s="73" t="str">
        <f>+VLOOKUP(PROVEEDORES[[#This Row],[PROVEEDOR]],TERCEROS_INFO[[PROVEEDOR]:[CORREO]],5,FALSE)</f>
        <v>yermingg@hotmail.com;girlesa.ruiz@servipilas.com;joriescobar64@gmail.com</v>
      </c>
      <c r="G45" s="111">
        <v>44335</v>
      </c>
      <c r="H45" s="31" t="s">
        <v>1085</v>
      </c>
      <c r="I45" s="111">
        <v>44186</v>
      </c>
      <c r="J45" s="48" t="s">
        <v>670</v>
      </c>
      <c r="K45" s="26">
        <v>380000</v>
      </c>
      <c r="L45" s="26"/>
      <c r="M45" s="27">
        <v>0</v>
      </c>
      <c r="N45" s="28"/>
      <c r="O45" s="27">
        <v>0</v>
      </c>
      <c r="P45" s="28">
        <v>0</v>
      </c>
      <c r="Q45" s="27">
        <v>0</v>
      </c>
      <c r="R45" s="26">
        <v>380000</v>
      </c>
      <c r="S45" s="115">
        <f ca="1">IF(PROVEEDORES[[#This Row],[FECHA DE PAGO]]=0,TODAY()-PROVEEDORES[[#This Row],[FECHA DE FACTURACIÓN]]-PROVEEDORES[[#This Row],[PLAZO Días]],0)</f>
        <v>0</v>
      </c>
      <c r="T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" spans="1:20" ht="21.9" customHeight="1" x14ac:dyDescent="0.3">
      <c r="A46" s="113" t="str">
        <f>+IF(PROVEEDORES[[#This Row],[FECHA DE PAGO]]=PROVEEDORES[[#This Row],[FECHA DE FACTURACIÓN]],"DE CONTADO","CRÉDITO")</f>
        <v>CRÉDITO</v>
      </c>
      <c r="B46" s="51" t="str">
        <f>+IF((PROVEEDORES[[#This Row],[FECHA DE PAGO]]-PROVEEDORES[[#This Row],[FECHA DE FACTURACIÓN]])&gt;PROVEEDORES[[#This Row],[PLAZO Días]],"PAGO VENCIDO")</f>
        <v>PAGO VENCIDO</v>
      </c>
      <c r="C46" s="25">
        <f>+VLOOKUP(PROVEEDORES[[#This Row],[PROVEEDOR]],TERCEROS_INFO[#All],2,FALSE)</f>
        <v>30</v>
      </c>
      <c r="D46" s="30">
        <f>+SUMIFS(PROVEEDORES[Total],PROVEEDORES[PROVEEDOR],PROVEEDORES[[#This Row],[PROVEEDOR]],PROVEEDORES[FECHA DE PAGO],"")</f>
        <v>0</v>
      </c>
      <c r="E46" s="30"/>
      <c r="F46" s="73" t="str">
        <f>+VLOOKUP(PROVEEDORES[[#This Row],[PROVEEDOR]],TERCEROS_INFO[[PROVEEDOR]:[CORREO]],5,FALSE)</f>
        <v>yermingg@hotmail.com;girlesa.ruiz@servipilas.com;joriescobar64@gmail.com</v>
      </c>
      <c r="G46" s="111">
        <v>44272</v>
      </c>
      <c r="H46" s="31" t="s">
        <v>1085</v>
      </c>
      <c r="I46" s="111">
        <v>44186</v>
      </c>
      <c r="J46" s="48">
        <v>320277</v>
      </c>
      <c r="K46" s="26">
        <v>2087500</v>
      </c>
      <c r="L46" s="26"/>
      <c r="M46" s="27">
        <v>0</v>
      </c>
      <c r="N46" s="28"/>
      <c r="O46" s="27">
        <v>0</v>
      </c>
      <c r="P46" s="28">
        <v>0</v>
      </c>
      <c r="Q46" s="27">
        <v>0</v>
      </c>
      <c r="R46" s="26">
        <v>2087500</v>
      </c>
      <c r="S46" s="115">
        <f ca="1">IF(PROVEEDORES[[#This Row],[FECHA DE PAGO]]=0,TODAY()-PROVEEDORES[[#This Row],[FECHA DE FACTURACIÓN]]-PROVEEDORES[[#This Row],[PLAZO Días]],0)</f>
        <v>0</v>
      </c>
      <c r="T4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" spans="1:20" ht="21.9" customHeight="1" x14ac:dyDescent="0.3">
      <c r="A47" s="113" t="str">
        <f>+IF(PROVEEDORES[[#This Row],[FECHA DE PAGO]]=PROVEEDORES[[#This Row],[FECHA DE FACTURACIÓN]],"DE CONTADO","CRÉDITO")</f>
        <v>CRÉDITO</v>
      </c>
      <c r="B47" s="51" t="str">
        <f>+IF((PROVEEDORES[[#This Row],[FECHA DE PAGO]]-PROVEEDORES[[#This Row],[FECHA DE FACTURACIÓN]])&gt;PROVEEDORES[[#This Row],[PLAZO Días]],"PAGO VENCIDO")</f>
        <v>PAGO VENCIDO</v>
      </c>
      <c r="C47" s="25">
        <f>+VLOOKUP(PROVEEDORES[[#This Row],[PROVEEDOR]],TERCEROS_INFO[#All],2,FALSE)</f>
        <v>30</v>
      </c>
      <c r="D47" s="30">
        <f>+SUMIFS(PROVEEDORES[Total],PROVEEDORES[PROVEEDOR],PROVEEDORES[[#This Row],[PROVEEDOR]],PROVEEDORES[FECHA DE PAGO],"")</f>
        <v>0</v>
      </c>
      <c r="E47" s="30"/>
      <c r="F47" s="73" t="str">
        <f>+VLOOKUP(PROVEEDORES[[#This Row],[PROVEEDOR]],TERCEROS_INFO[[PROVEEDOR]:[CORREO]],5,FALSE)</f>
        <v>yermingg@hotmail.com;girlesa.ruiz@servipilas.com;joriescobar64@gmail.com</v>
      </c>
      <c r="G47" s="111">
        <v>44335</v>
      </c>
      <c r="H47" s="31" t="s">
        <v>1085</v>
      </c>
      <c r="I47" s="111">
        <v>44186</v>
      </c>
      <c r="J47" s="48" t="s">
        <v>671</v>
      </c>
      <c r="K47" s="26">
        <v>2415900</v>
      </c>
      <c r="L47" s="26"/>
      <c r="M47" s="27">
        <v>0</v>
      </c>
      <c r="N47" s="28"/>
      <c r="O47" s="27">
        <v>0</v>
      </c>
      <c r="P47" s="28">
        <v>0</v>
      </c>
      <c r="Q47" s="27">
        <v>0</v>
      </c>
      <c r="R47" s="26">
        <v>2415900</v>
      </c>
      <c r="S47" s="115">
        <f ca="1">IF(PROVEEDORES[[#This Row],[FECHA DE PAGO]]=0,TODAY()-PROVEEDORES[[#This Row],[FECHA DE FACTURACIÓN]]-PROVEEDORES[[#This Row],[PLAZO Días]],0)</f>
        <v>0</v>
      </c>
      <c r="T4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" spans="1:20" ht="21.9" customHeight="1" x14ac:dyDescent="0.3">
      <c r="A48" s="113" t="str">
        <f>+IF(PROVEEDORES[[#This Row],[FECHA DE PAGO]]=PROVEEDORES[[#This Row],[FECHA DE FACTURACIÓN]],"DE CONTADO","CRÉDITO")</f>
        <v>CRÉDITO</v>
      </c>
      <c r="B48" s="51" t="str">
        <f>+IF((PROVEEDORES[[#This Row],[FECHA DE PAGO]]-PROVEEDORES[[#This Row],[FECHA DE FACTURACIÓN]])&gt;PROVEEDORES[[#This Row],[PLAZO Días]],"PAGO VENCIDO")</f>
        <v>PAGO VENCIDO</v>
      </c>
      <c r="C48" s="25">
        <f>+VLOOKUP(PROVEEDORES[[#This Row],[PROVEEDOR]],TERCEROS_INFO[#All],2,FALSE)</f>
        <v>90</v>
      </c>
      <c r="D48" s="30">
        <f>+SUMIFS(PROVEEDORES[Total],PROVEEDORES[PROVEEDOR],PROVEEDORES[[#This Row],[PROVEEDOR]],PROVEEDORES[FECHA DE PAGO],"")</f>
        <v>24974028.109999996</v>
      </c>
      <c r="E48" s="30"/>
      <c r="F48" s="73" t="str">
        <f>+VLOOKUP(PROVEEDORES[[#This Row],[PROVEEDOR]],TERCEROS_INFO[[PROVEEDOR]:[CORREO]],5,FALSE)</f>
        <v>criszapata1234@gmail.com;girlesa.ruiz@servipilas.com;joriescobar64@gmail.com</v>
      </c>
      <c r="G48" s="111">
        <v>44366</v>
      </c>
      <c r="H48" s="31" t="s">
        <v>78</v>
      </c>
      <c r="I48" s="111">
        <v>44186</v>
      </c>
      <c r="J48" s="48" t="s">
        <v>93</v>
      </c>
      <c r="K48" s="26">
        <v>6861342.8571428573</v>
      </c>
      <c r="L48" s="26"/>
      <c r="M48" s="27">
        <v>1303655.142857143</v>
      </c>
      <c r="N48" s="28"/>
      <c r="O48" s="27">
        <v>0</v>
      </c>
      <c r="P48" s="28">
        <v>2.5000000000000001E-2</v>
      </c>
      <c r="Q48" s="27">
        <v>171533.57142857145</v>
      </c>
      <c r="R48" s="26">
        <v>7993464.4285714282</v>
      </c>
      <c r="S48" s="115">
        <f ca="1">IF(PROVEEDORES[[#This Row],[FECHA DE PAGO]]=0,TODAY()-PROVEEDORES[[#This Row],[FECHA DE FACTURACIÓN]]-PROVEEDORES[[#This Row],[PLAZO Días]],0)</f>
        <v>0</v>
      </c>
      <c r="T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" spans="1:20" ht="21.9" customHeight="1" x14ac:dyDescent="0.3">
      <c r="A49" s="113" t="str">
        <f>+IF(PROVEEDORES[[#This Row],[FECHA DE PAGO]]=PROVEEDORES[[#This Row],[FECHA DE FACTURACIÓN]],"DE CONTADO","CRÉDITO")</f>
        <v>CRÉDITO</v>
      </c>
      <c r="B49" s="51" t="str">
        <f>+IF((PROVEEDORES[[#This Row],[FECHA DE PAGO]]-PROVEEDORES[[#This Row],[FECHA DE FACTURACIÓN]])&gt;PROVEEDORES[[#This Row],[PLAZO Días]],"PAGO VENCIDO")</f>
        <v>PAGO VENCIDO</v>
      </c>
      <c r="C49" s="25">
        <f>+VLOOKUP(PROVEEDORES[[#This Row],[PROVEEDOR]],TERCEROS_INFO[#All],2,FALSE)</f>
        <v>90</v>
      </c>
      <c r="D49" s="30">
        <f>+SUMIFS(PROVEEDORES[Total],PROVEEDORES[PROVEEDOR],PROVEEDORES[[#This Row],[PROVEEDOR]],PROVEEDORES[FECHA DE PAGO],"")</f>
        <v>24974028.109999996</v>
      </c>
      <c r="E49" s="30"/>
      <c r="F49" s="73" t="str">
        <f>+VLOOKUP(PROVEEDORES[[#This Row],[PROVEEDOR]],TERCEROS_INFO[[PROVEEDOR]:[CORREO]],5,FALSE)</f>
        <v>criszapata1234@gmail.com;girlesa.ruiz@servipilas.com;joriescobar64@gmail.com</v>
      </c>
      <c r="G49" s="111">
        <v>44292</v>
      </c>
      <c r="H49" s="31" t="s">
        <v>78</v>
      </c>
      <c r="I49" s="111">
        <v>44186</v>
      </c>
      <c r="J49" s="48" t="s">
        <v>95</v>
      </c>
      <c r="K49" s="26">
        <v>10899167.226890758</v>
      </c>
      <c r="L49" s="26"/>
      <c r="M49" s="27">
        <v>2070841.7731092439</v>
      </c>
      <c r="N49" s="28"/>
      <c r="O49" s="27">
        <v>0</v>
      </c>
      <c r="P49" s="28">
        <v>2.5000000000000001E-2</v>
      </c>
      <c r="Q49" s="27">
        <v>272479.18067226897</v>
      </c>
      <c r="R49" s="26">
        <v>12697529.819327733</v>
      </c>
      <c r="S49" s="115">
        <f ca="1">IF(PROVEEDORES[[#This Row],[FECHA DE PAGO]]=0,TODAY()-PROVEEDORES[[#This Row],[FECHA DE FACTURACIÓN]]-PROVEEDORES[[#This Row],[PLAZO Días]],0)</f>
        <v>0</v>
      </c>
      <c r="T4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" spans="1:20" ht="21.9" customHeight="1" x14ac:dyDescent="0.3">
      <c r="A50" s="113" t="str">
        <f>+IF(PROVEEDORES[[#This Row],[FECHA DE PAGO]]=PROVEEDORES[[#This Row],[FECHA DE FACTURACIÓN]],"DE CONTADO","CRÉDITO")</f>
        <v>CRÉDITO</v>
      </c>
      <c r="B50" s="51" t="b">
        <f>+IF((PROVEEDORES[[#This Row],[FECHA DE PAGO]]-PROVEEDORES[[#This Row],[FECHA DE FACTURACIÓN]])&gt;PROVEEDORES[[#This Row],[PLAZO Días]],"PAGO VENCIDO")</f>
        <v>0</v>
      </c>
      <c r="C50" s="25">
        <f>+VLOOKUP(PROVEEDORES[[#This Row],[PROVEEDOR]],TERCEROS_INFO[#All],2,FALSE)</f>
        <v>30</v>
      </c>
      <c r="D50" s="30">
        <f>+SUMIFS(PROVEEDORES[Total],PROVEEDORES[PROVEEDOR],PROVEEDORES[[#This Row],[PROVEEDOR]],PROVEEDORES[FECHA DE PAGO],"")</f>
        <v>0</v>
      </c>
      <c r="E50" s="30"/>
      <c r="F50" s="73" t="str">
        <f>+VLOOKUP(PROVEEDORES[[#This Row],[PROVEEDOR]],TERCEROS_INFO[[PROVEEDOR]:[CORREO]],5,FALSE)</f>
        <v/>
      </c>
      <c r="G50" s="111">
        <v>44201</v>
      </c>
      <c r="H50" s="31" t="s">
        <v>1005</v>
      </c>
      <c r="I50" s="111">
        <v>44187</v>
      </c>
      <c r="J50" s="48"/>
      <c r="K50" s="26">
        <v>90000</v>
      </c>
      <c r="L50" s="26"/>
      <c r="M50" s="27">
        <v>0</v>
      </c>
      <c r="N50" s="28"/>
      <c r="O50" s="27">
        <v>0</v>
      </c>
      <c r="P50" s="28">
        <v>0</v>
      </c>
      <c r="Q50" s="27">
        <v>0</v>
      </c>
      <c r="R50" s="26">
        <v>90000</v>
      </c>
      <c r="S50" s="115">
        <f ca="1">IF(PROVEEDORES[[#This Row],[FECHA DE PAGO]]=0,TODAY()-PROVEEDORES[[#This Row],[FECHA DE FACTURACIÓN]]-PROVEEDORES[[#This Row],[PLAZO Días]],0)</f>
        <v>0</v>
      </c>
      <c r="T5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" spans="1:20" ht="21.9" customHeight="1" x14ac:dyDescent="0.3">
      <c r="A51" s="113" t="str">
        <f>+IF(PROVEEDORES[[#This Row],[FECHA DE PAGO]]=PROVEEDORES[[#This Row],[FECHA DE FACTURACIÓN]],"DE CONTADO","CRÉDITO")</f>
        <v>CRÉDITO</v>
      </c>
      <c r="B51" s="51" t="str">
        <f>+IF((PROVEEDORES[[#This Row],[FECHA DE PAGO]]-PROVEEDORES[[#This Row],[FECHA DE FACTURACIÓN]])&gt;PROVEEDORES[[#This Row],[PLAZO Días]],"PAGO VENCIDO")</f>
        <v>PAGO VENCIDO</v>
      </c>
      <c r="C51" s="25">
        <f>+VLOOKUP(PROVEEDORES[[#This Row],[PROVEEDOR]],TERCEROS_INFO[#All],2,FALSE)</f>
        <v>45</v>
      </c>
      <c r="D51" s="30">
        <f>+SUMIFS(PROVEEDORES[Total],PROVEEDORES[PROVEEDOR],PROVEEDORES[[#This Row],[PROVEEDOR]],PROVEEDORES[FECHA DE PAGO],"")</f>
        <v>1070024.2</v>
      </c>
      <c r="E51" s="30"/>
      <c r="F51" s="73" t="str">
        <f>+VLOOKUP(PROVEEDORES[[#This Row],[PROVEEDOR]],TERCEROS_INFO[[PROVEEDOR]:[CORREO]],5,FALSE)</f>
        <v>libardopineda@tronex.com;girlesa.ruiz@servipilas.com;joriescobar64@gmail.com</v>
      </c>
      <c r="G51" s="111">
        <v>44257</v>
      </c>
      <c r="H51" s="31" t="s">
        <v>10</v>
      </c>
      <c r="I51" s="111">
        <v>44187</v>
      </c>
      <c r="J51" s="48" t="s">
        <v>90</v>
      </c>
      <c r="K51" s="26">
        <v>800000</v>
      </c>
      <c r="L51" s="26"/>
      <c r="M51" s="27">
        <v>152000</v>
      </c>
      <c r="N51" s="28"/>
      <c r="O51" s="27">
        <v>0</v>
      </c>
      <c r="P51" s="28">
        <v>0</v>
      </c>
      <c r="Q51" s="27">
        <v>0</v>
      </c>
      <c r="R51" s="26">
        <v>952000</v>
      </c>
      <c r="S51" s="115">
        <f ca="1">IF(PROVEEDORES[[#This Row],[FECHA DE PAGO]]=0,TODAY()-PROVEEDORES[[#This Row],[FECHA DE FACTURACIÓN]]-PROVEEDORES[[#This Row],[PLAZO Días]],0)</f>
        <v>0</v>
      </c>
      <c r="T5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" spans="1:20" ht="21.9" customHeight="1" x14ac:dyDescent="0.3">
      <c r="A52" s="113" t="str">
        <f>+IF(PROVEEDORES[[#This Row],[FECHA DE PAGO]]=PROVEEDORES[[#This Row],[FECHA DE FACTURACIÓN]],"DE CONTADO","CRÉDITO")</f>
        <v>CRÉDITO</v>
      </c>
      <c r="B52" s="51" t="str">
        <f>+IF((PROVEEDORES[[#This Row],[FECHA DE PAGO]]-PROVEEDORES[[#This Row],[FECHA DE FACTURACIÓN]])&gt;PROVEEDORES[[#This Row],[PLAZO Días]],"PAGO VENCIDO")</f>
        <v>PAGO VENCIDO</v>
      </c>
      <c r="C52" s="25">
        <f>+VLOOKUP(PROVEEDORES[[#This Row],[PROVEEDOR]],TERCEROS_INFO[#All],2,FALSE)</f>
        <v>45</v>
      </c>
      <c r="D52" s="30">
        <f>+SUMIFS(PROVEEDORES[Total],PROVEEDORES[PROVEEDOR],PROVEEDORES[[#This Row],[PROVEEDOR]],PROVEEDORES[FECHA DE PAGO],"")</f>
        <v>1070024.2</v>
      </c>
      <c r="E52" s="30"/>
      <c r="F52" s="73" t="str">
        <f>+VLOOKUP(PROVEEDORES[[#This Row],[PROVEEDOR]],TERCEROS_INFO[[PROVEEDOR]:[CORREO]],5,FALSE)</f>
        <v>libardopineda@tronex.com;girlesa.ruiz@servipilas.com;joriescobar64@gmail.com</v>
      </c>
      <c r="G52" s="111">
        <v>44257</v>
      </c>
      <c r="H52" s="31" t="s">
        <v>10</v>
      </c>
      <c r="I52" s="111">
        <v>44187</v>
      </c>
      <c r="J52" s="48" t="s">
        <v>92</v>
      </c>
      <c r="K52" s="26">
        <v>1386000</v>
      </c>
      <c r="L52" s="26"/>
      <c r="M52" s="27">
        <v>263340</v>
      </c>
      <c r="N52" s="28"/>
      <c r="O52" s="27">
        <v>0</v>
      </c>
      <c r="P52" s="28">
        <v>0</v>
      </c>
      <c r="Q52" s="27">
        <v>0</v>
      </c>
      <c r="R52" s="26">
        <v>1649340</v>
      </c>
      <c r="S52" s="115">
        <f ca="1">IF(PROVEEDORES[[#This Row],[FECHA DE PAGO]]=0,TODAY()-PROVEEDORES[[#This Row],[FECHA DE FACTURACIÓN]]-PROVEEDORES[[#This Row],[PLAZO Días]],0)</f>
        <v>0</v>
      </c>
      <c r="T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" spans="1:20" ht="21.9" customHeight="1" x14ac:dyDescent="0.3">
      <c r="A53" s="113" t="str">
        <f>+IF(PROVEEDORES[[#This Row],[FECHA DE PAGO]]=PROVEEDORES[[#This Row],[FECHA DE FACTURACIÓN]],"DE CONTADO","CRÉDITO")</f>
        <v>CRÉDITO</v>
      </c>
      <c r="B53" s="51" t="str">
        <f>+IF((PROVEEDORES[[#This Row],[FECHA DE PAGO]]-PROVEEDORES[[#This Row],[FECHA DE FACTURACIÓN]])&gt;PROVEEDORES[[#This Row],[PLAZO Días]],"PAGO VENCIDO")</f>
        <v>PAGO VENCIDO</v>
      </c>
      <c r="C53" s="25">
        <f>+VLOOKUP(PROVEEDORES[[#This Row],[PROVEEDOR]],TERCEROS_INFO[#All],2,FALSE)</f>
        <v>30</v>
      </c>
      <c r="D53" s="30">
        <f>+SUMIFS(PROVEEDORES[Total],PROVEEDORES[PROVEEDOR],PROVEEDORES[[#This Row],[PROVEEDOR]],PROVEEDORES[FECHA DE PAGO],"")</f>
        <v>0</v>
      </c>
      <c r="E53" s="30"/>
      <c r="F53" s="73" t="str">
        <f>+VLOOKUP(PROVEEDORES[[#This Row],[PROVEEDOR]],TERCEROS_INFO[[PROVEEDOR]:[CORREO]],5,FALSE)</f>
        <v/>
      </c>
      <c r="G53" s="111">
        <v>44235</v>
      </c>
      <c r="H53" s="31" t="s">
        <v>1060</v>
      </c>
      <c r="I53" s="111">
        <v>44187</v>
      </c>
      <c r="J53" s="48">
        <v>46883</v>
      </c>
      <c r="K53" s="26">
        <v>2046000</v>
      </c>
      <c r="L53" s="26"/>
      <c r="M53" s="27">
        <v>0</v>
      </c>
      <c r="N53" s="28"/>
      <c r="O53" s="27">
        <v>0</v>
      </c>
      <c r="P53" s="28">
        <v>0</v>
      </c>
      <c r="Q53" s="27">
        <v>0</v>
      </c>
      <c r="R53" s="26">
        <v>2046000</v>
      </c>
      <c r="S53" s="115">
        <f ca="1">IF(PROVEEDORES[[#This Row],[FECHA DE PAGO]]=0,TODAY()-PROVEEDORES[[#This Row],[FECHA DE FACTURACIÓN]]-PROVEEDORES[[#This Row],[PLAZO Días]],0)</f>
        <v>0</v>
      </c>
      <c r="T5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" spans="1:20" ht="21.9" customHeight="1" x14ac:dyDescent="0.3">
      <c r="A54" s="113" t="str">
        <f>+IF(PROVEEDORES[[#This Row],[FECHA DE PAGO]]=PROVEEDORES[[#This Row],[FECHA DE FACTURACIÓN]],"DE CONTADO","CRÉDITO")</f>
        <v>CRÉDITO</v>
      </c>
      <c r="B54" s="51" t="str">
        <f>+IF((PROVEEDORES[[#This Row],[FECHA DE PAGO]]-PROVEEDORES[[#This Row],[FECHA DE FACTURACIÓN]])&gt;PROVEEDORES[[#This Row],[PLAZO Días]],"PAGO VENCIDO")</f>
        <v>PAGO VENCIDO</v>
      </c>
      <c r="C54" s="25">
        <f>+VLOOKUP(PROVEEDORES[[#This Row],[PROVEEDOR]],TERCEROS_INFO[#All],2,FALSE)</f>
        <v>30</v>
      </c>
      <c r="D54" s="30">
        <f>+SUMIFS(PROVEEDORES[Total],PROVEEDORES[PROVEEDOR],PROVEEDORES[[#This Row],[PROVEEDOR]],PROVEEDORES[FECHA DE PAGO],"")</f>
        <v>21832129.73</v>
      </c>
      <c r="E54" s="30"/>
      <c r="F54" s="73" t="str">
        <f>+VLOOKUP(PROVEEDORES[[#This Row],[PROVEEDOR]],TERCEROS_INFO[[PROVEEDOR]:[CORREO]],5,FALSE)</f>
        <v>cartera1@grupostatur.com;girlesa.ruiz@servipilas.com;joriescobar64@gmail.com</v>
      </c>
      <c r="G54" s="111">
        <v>44243</v>
      </c>
      <c r="H54" s="31" t="s">
        <v>9</v>
      </c>
      <c r="I54" s="111">
        <v>44187</v>
      </c>
      <c r="J54" s="48">
        <v>68545</v>
      </c>
      <c r="K54" s="26">
        <v>5954922</v>
      </c>
      <c r="L54" s="26"/>
      <c r="M54" s="27">
        <v>1131435.18</v>
      </c>
      <c r="N54" s="28">
        <v>0.04</v>
      </c>
      <c r="O54" s="27">
        <v>238196.88</v>
      </c>
      <c r="P54" s="28">
        <v>2.5000000000000001E-2</v>
      </c>
      <c r="Q54" s="27">
        <v>148873.05000000002</v>
      </c>
      <c r="R54" s="26">
        <v>6699287.25</v>
      </c>
      <c r="S54" s="115">
        <f ca="1">IF(PROVEEDORES[[#This Row],[FECHA DE PAGO]]=0,TODAY()-PROVEEDORES[[#This Row],[FECHA DE FACTURACIÓN]]-PROVEEDORES[[#This Row],[PLAZO Días]],0)</f>
        <v>0</v>
      </c>
      <c r="T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" spans="1:20" ht="21.9" customHeight="1" x14ac:dyDescent="0.3">
      <c r="A55" s="113" t="str">
        <f>+IF(PROVEEDORES[[#This Row],[FECHA DE PAGO]]=PROVEEDORES[[#This Row],[FECHA DE FACTURACIÓN]],"DE CONTADO","CRÉDITO")</f>
        <v>CRÉDITO</v>
      </c>
      <c r="B55" s="51" t="str">
        <f>+IF((PROVEEDORES[[#This Row],[FECHA DE PAGO]]-PROVEEDORES[[#This Row],[FECHA DE FACTURACIÓN]])&gt;PROVEEDORES[[#This Row],[PLAZO Días]],"PAGO VENCIDO")</f>
        <v>PAGO VENCIDO</v>
      </c>
      <c r="C55" s="25">
        <f>+VLOOKUP(PROVEEDORES[[#This Row],[PROVEEDOR]],TERCEROS_INFO[#All],2,FALSE)</f>
        <v>90</v>
      </c>
      <c r="D55" s="30">
        <f>+SUMIFS(PROVEEDORES[Total],PROVEEDORES[PROVEEDOR],PROVEEDORES[[#This Row],[PROVEEDOR]],PROVEEDORES[FECHA DE PAGO],"")</f>
        <v>24974028.109999996</v>
      </c>
      <c r="E55" s="30"/>
      <c r="F55" s="73" t="str">
        <f>+VLOOKUP(PROVEEDORES[[#This Row],[PROVEEDOR]],TERCEROS_INFO[[PROVEEDOR]:[CORREO]],5,FALSE)</f>
        <v>criszapata1234@gmail.com;girlesa.ruiz@servipilas.com;joriescobar64@gmail.com</v>
      </c>
      <c r="G55" s="111">
        <v>44366</v>
      </c>
      <c r="H55" s="31" t="s">
        <v>78</v>
      </c>
      <c r="I55" s="111">
        <v>44188</v>
      </c>
      <c r="J55" s="48" t="s">
        <v>94</v>
      </c>
      <c r="K55" s="26">
        <v>1109243.6974789917</v>
      </c>
      <c r="L55" s="26"/>
      <c r="M55" s="27">
        <v>210756.30252100842</v>
      </c>
      <c r="N55" s="28"/>
      <c r="O55" s="27">
        <v>0</v>
      </c>
      <c r="P55" s="28">
        <v>2.5000000000000001E-2</v>
      </c>
      <c r="Q55" s="27">
        <v>27731.092436974795</v>
      </c>
      <c r="R55" s="26">
        <v>1292268.9075630251</v>
      </c>
      <c r="S55" s="115">
        <f ca="1">IF(PROVEEDORES[[#This Row],[FECHA DE PAGO]]=0,TODAY()-PROVEEDORES[[#This Row],[FECHA DE FACTURACIÓN]]-PROVEEDORES[[#This Row],[PLAZO Días]],0)</f>
        <v>0</v>
      </c>
      <c r="T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" spans="1:20" ht="21.9" customHeight="1" x14ac:dyDescent="0.3">
      <c r="A56" s="113" t="str">
        <f>+IF(PROVEEDORES[[#This Row],[FECHA DE PAGO]]=PROVEEDORES[[#This Row],[FECHA DE FACTURACIÓN]],"DE CONTADO","CRÉDITO")</f>
        <v>CRÉDITO</v>
      </c>
      <c r="B56" s="51" t="str">
        <f>+IF((PROVEEDORES[[#This Row],[FECHA DE PAGO]]-PROVEEDORES[[#This Row],[FECHA DE FACTURACIÓN]])&gt;PROVEEDORES[[#This Row],[PLAZO Días]],"PAGO VENCIDO")</f>
        <v>PAGO VENCIDO</v>
      </c>
      <c r="C56" s="25">
        <f>+VLOOKUP(PROVEEDORES[[#This Row],[PROVEEDOR]],TERCEROS_INFO[#All],2,FALSE)</f>
        <v>30</v>
      </c>
      <c r="D56" s="30">
        <f>+SUMIFS(PROVEEDORES[Total],PROVEEDORES[PROVEEDOR],PROVEEDORES[[#This Row],[PROVEEDOR]],PROVEEDORES[FECHA DE PAGO],"")</f>
        <v>3400186.8245000001</v>
      </c>
      <c r="E56" s="30"/>
      <c r="F56" s="73" t="str">
        <f>+VLOOKUP(PROVEEDORES[[#This Row],[PROVEEDOR]],TERCEROS_INFO[[PROVEEDOR]:[CORREO]],5,FALSE)</f>
        <v>contabilidad@amgimportadora.com;mcastellanos@amgimportadora.com;girlesa.ruiz@servipilas.com;joriescobar64@gmail.com</v>
      </c>
      <c r="G56" s="111">
        <v>44230</v>
      </c>
      <c r="H56" s="31" t="s">
        <v>20</v>
      </c>
      <c r="I56" s="111">
        <v>44188</v>
      </c>
      <c r="J56" s="48">
        <v>2967</v>
      </c>
      <c r="K56" s="26">
        <v>1833067</v>
      </c>
      <c r="L56" s="26"/>
      <c r="M56" s="27">
        <v>348282.73</v>
      </c>
      <c r="N56" s="28"/>
      <c r="O56" s="27">
        <v>0</v>
      </c>
      <c r="P56" s="28">
        <v>2.5000000000000001E-2</v>
      </c>
      <c r="Q56" s="27">
        <v>45826.675000000003</v>
      </c>
      <c r="R56" s="26">
        <v>2135523.0550000002</v>
      </c>
      <c r="S56" s="115">
        <f ca="1">IF(PROVEEDORES[[#This Row],[FECHA DE PAGO]]=0,TODAY()-PROVEEDORES[[#This Row],[FECHA DE FACTURACIÓN]]-PROVEEDORES[[#This Row],[PLAZO Días]],0)</f>
        <v>0</v>
      </c>
      <c r="T5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" spans="1:20" ht="21.9" customHeight="1" x14ac:dyDescent="0.3">
      <c r="A57" s="113" t="str">
        <f>+IF(PROVEEDORES[[#This Row],[FECHA DE PAGO]]=PROVEEDORES[[#This Row],[FECHA DE FACTURACIÓN]],"DE CONTADO","CRÉDITO")</f>
        <v>CRÉDITO</v>
      </c>
      <c r="B57" s="51" t="b">
        <f>+IF((PROVEEDORES[[#This Row],[FECHA DE PAGO]]-PROVEEDORES[[#This Row],[FECHA DE FACTURACIÓN]])&gt;PROVEEDORES[[#This Row],[PLAZO Días]],"PAGO VENCIDO")</f>
        <v>0</v>
      </c>
      <c r="C57" s="25">
        <f>+VLOOKUP(PROVEEDORES[[#This Row],[PROVEEDOR]],TERCEROS_INFO[#All],2,FALSE)</f>
        <v>30</v>
      </c>
      <c r="D57" s="30">
        <f>+SUMIFS(PROVEEDORES[Total],PROVEEDORES[PROVEEDOR],PROVEEDORES[[#This Row],[PROVEEDOR]],PROVEEDORES[FECHA DE PAGO],"")</f>
        <v>0</v>
      </c>
      <c r="E57" s="30"/>
      <c r="F57" s="73" t="str">
        <f>+VLOOKUP(PROVEEDORES[[#This Row],[PROVEEDOR]],TERCEROS_INFO[[PROVEEDOR]:[CORREO]],5,FALSE)</f>
        <v/>
      </c>
      <c r="G57" s="111">
        <v>44201</v>
      </c>
      <c r="H57" s="31" t="s">
        <v>1005</v>
      </c>
      <c r="I57" s="111">
        <v>44189</v>
      </c>
      <c r="J57" s="48"/>
      <c r="K57" s="26">
        <v>265000</v>
      </c>
      <c r="L57" s="26"/>
      <c r="M57" s="27">
        <v>0</v>
      </c>
      <c r="N57" s="28"/>
      <c r="O57" s="27">
        <v>0</v>
      </c>
      <c r="P57" s="28">
        <v>0</v>
      </c>
      <c r="Q57" s="27">
        <v>0</v>
      </c>
      <c r="R57" s="26">
        <v>265000</v>
      </c>
      <c r="S57" s="115">
        <f ca="1">IF(PROVEEDORES[[#This Row],[FECHA DE PAGO]]=0,TODAY()-PROVEEDORES[[#This Row],[FECHA DE FACTURACIÓN]]-PROVEEDORES[[#This Row],[PLAZO Días]],0)</f>
        <v>0</v>
      </c>
      <c r="T5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" spans="1:20" ht="21.9" customHeight="1" x14ac:dyDescent="0.3">
      <c r="A58" s="113" t="str">
        <f>+IF(PROVEEDORES[[#This Row],[FECHA DE PAGO]]=PROVEEDORES[[#This Row],[FECHA DE FACTURACIÓN]],"DE CONTADO","CRÉDITO")</f>
        <v>CRÉDITO</v>
      </c>
      <c r="B58" s="51" t="str">
        <f>+IF((PROVEEDORES[[#This Row],[FECHA DE PAGO]]-PROVEEDORES[[#This Row],[FECHA DE FACTURACIÓN]])&gt;PROVEEDORES[[#This Row],[PLAZO Días]],"PAGO VENCIDO")</f>
        <v>PAGO VENCIDO</v>
      </c>
      <c r="C58" s="25">
        <f>+VLOOKUP(PROVEEDORES[[#This Row],[PROVEEDOR]],TERCEROS_INFO[#All],2,FALSE)</f>
        <v>30</v>
      </c>
      <c r="D58" s="30">
        <f>+SUMIFS(PROVEEDORES[Total],PROVEEDORES[PROVEEDOR],PROVEEDORES[[#This Row],[PROVEEDOR]],PROVEEDORES[FECHA DE PAGO],"")</f>
        <v>0</v>
      </c>
      <c r="E58" s="30"/>
      <c r="F58" s="73" t="str">
        <f>+VLOOKUP(PROVEEDORES[[#This Row],[PROVEEDOR]],TERCEROS_INFO[[PROVEEDOR]:[CORREO]],5,FALSE)</f>
        <v>globalpowerc2018@gmail.com;girlesa.ruiz@servipilas.com;joriescobar64@gmail.com</v>
      </c>
      <c r="G58" s="111">
        <v>44229</v>
      </c>
      <c r="H58" s="31" t="s">
        <v>1057</v>
      </c>
      <c r="I58" s="111">
        <v>44191</v>
      </c>
      <c r="J58" s="48">
        <v>906</v>
      </c>
      <c r="K58" s="26">
        <v>1460000</v>
      </c>
      <c r="L58" s="26"/>
      <c r="M58" s="27">
        <v>0</v>
      </c>
      <c r="N58" s="28"/>
      <c r="O58" s="27">
        <v>0</v>
      </c>
      <c r="P58" s="28">
        <v>0</v>
      </c>
      <c r="Q58" s="27">
        <v>0</v>
      </c>
      <c r="R58" s="26">
        <v>1460000</v>
      </c>
      <c r="S58" s="115">
        <f ca="1">IF(PROVEEDORES[[#This Row],[FECHA DE PAGO]]=0,TODAY()-PROVEEDORES[[#This Row],[FECHA DE FACTURACIÓN]]-PROVEEDORES[[#This Row],[PLAZO Días]],0)</f>
        <v>0</v>
      </c>
      <c r="T5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" spans="1:20" ht="21.9" customHeight="1" x14ac:dyDescent="0.3">
      <c r="A59" s="113" t="str">
        <f>+IF(PROVEEDORES[[#This Row],[FECHA DE PAGO]]=PROVEEDORES[[#This Row],[FECHA DE FACTURACIÓN]],"DE CONTADO","CRÉDITO")</f>
        <v>CRÉDITO</v>
      </c>
      <c r="B59" s="51" t="str">
        <f>+IF((PROVEEDORES[[#This Row],[FECHA DE PAGO]]-PROVEEDORES[[#This Row],[FECHA DE FACTURACIÓN]])&gt;PROVEEDORES[[#This Row],[PLAZO Días]],"PAGO VENCIDO")</f>
        <v>PAGO VENCIDO</v>
      </c>
      <c r="C59" s="25">
        <f>+VLOOKUP(PROVEEDORES[[#This Row],[PROVEEDOR]],TERCEROS_INFO[#All],2,FALSE)</f>
        <v>30</v>
      </c>
      <c r="D59" s="30">
        <f>+SUMIFS(PROVEEDORES[Total],PROVEEDORES[PROVEEDOR],PROVEEDORES[[#This Row],[PROVEEDOR]],PROVEEDORES[FECHA DE PAGO],"")</f>
        <v>6482443.1751999995</v>
      </c>
      <c r="E59" s="30"/>
      <c r="F59" s="73" t="str">
        <f>+VLOOKUP(PROVEEDORES[[#This Row],[PROVEEDOR]],TERCEROS_INFO[[PROVEEDOR]:[CORREO]],5,FALSE)</f>
        <v>angela.navas@hyrdistribuciones.com;girlesa.ruiz@servipilas.com;joriescobar64@gmail.com</v>
      </c>
      <c r="G59" s="111">
        <v>44239</v>
      </c>
      <c r="H59" s="31" t="s">
        <v>18</v>
      </c>
      <c r="I59" s="111">
        <v>44191</v>
      </c>
      <c r="J59" s="48">
        <v>1032784</v>
      </c>
      <c r="K59" s="26">
        <v>1615387.1176470588</v>
      </c>
      <c r="L59" s="26"/>
      <c r="M59" s="27">
        <v>306923.55235294119</v>
      </c>
      <c r="N59" s="28"/>
      <c r="O59" s="27">
        <v>0</v>
      </c>
      <c r="P59" s="28">
        <v>2.5000000000000001E-2</v>
      </c>
      <c r="Q59" s="27">
        <v>40384.677941176473</v>
      </c>
      <c r="R59" s="26">
        <v>1881925.9920588234</v>
      </c>
      <c r="S59" s="115">
        <f ca="1">IF(PROVEEDORES[[#This Row],[FECHA DE PAGO]]=0,TODAY()-PROVEEDORES[[#This Row],[FECHA DE FACTURACIÓN]]-PROVEEDORES[[#This Row],[PLAZO Días]],0)</f>
        <v>0</v>
      </c>
      <c r="T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" spans="1:20" ht="21.9" customHeight="1" x14ac:dyDescent="0.3">
      <c r="A60" s="113" t="str">
        <f>+IF(PROVEEDORES[[#This Row],[FECHA DE PAGO]]=PROVEEDORES[[#This Row],[FECHA DE FACTURACIÓN]],"DE CONTADO","CRÉDITO")</f>
        <v>CRÉDITO</v>
      </c>
      <c r="B60" s="51" t="str">
        <f>+IF((PROVEEDORES[[#This Row],[FECHA DE PAGO]]-PROVEEDORES[[#This Row],[FECHA DE FACTURACIÓN]])&gt;PROVEEDORES[[#This Row],[PLAZO Días]],"PAGO VENCIDO")</f>
        <v>PAGO VENCIDO</v>
      </c>
      <c r="C60" s="25">
        <f>+VLOOKUP(PROVEEDORES[[#This Row],[PROVEEDOR]],TERCEROS_INFO[#All],2,FALSE)</f>
        <v>90</v>
      </c>
      <c r="D60" s="30">
        <f>+SUMIFS(PROVEEDORES[Total],PROVEEDORES[PROVEEDOR],PROVEEDORES[[#This Row],[PROVEEDOR]],PROVEEDORES[FECHA DE PAGO],"")</f>
        <v>26364243.66155</v>
      </c>
      <c r="E60" s="30"/>
      <c r="F60" s="73" t="str">
        <f>+VLOOKUP(PROVEEDORES[[#This Row],[PROVEEDOR]],TERCEROS_INFO[[PROVEEDOR]:[CORREO]],5,FALSE)</f>
        <v>javiergomez_72@hotmail.com ;girlesa.ruiz@servipilas.com;joriescobar64@gmail.com</v>
      </c>
      <c r="G60" s="111">
        <v>44351</v>
      </c>
      <c r="H60" s="31" t="s">
        <v>12</v>
      </c>
      <c r="I60" s="111">
        <v>44193</v>
      </c>
      <c r="J60" s="48" t="s">
        <v>370</v>
      </c>
      <c r="K60" s="26">
        <v>-25210.084033613399</v>
      </c>
      <c r="L60" s="26"/>
      <c r="M60" s="27">
        <v>-4789.9159663865457</v>
      </c>
      <c r="N60" s="28"/>
      <c r="O60" s="27">
        <v>0</v>
      </c>
      <c r="P60" s="28">
        <v>0</v>
      </c>
      <c r="Q60" s="27">
        <v>0</v>
      </c>
      <c r="R60" s="26">
        <v>-29999.999999999945</v>
      </c>
      <c r="S60" s="115">
        <f ca="1">IF(PROVEEDORES[[#This Row],[FECHA DE PAGO]]=0,TODAY()-PROVEEDORES[[#This Row],[FECHA DE FACTURACIÓN]]-PROVEEDORES[[#This Row],[PLAZO Días]],0)</f>
        <v>0</v>
      </c>
      <c r="T6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" spans="1:20" ht="21.9" customHeight="1" x14ac:dyDescent="0.3">
      <c r="A61" s="113" t="str">
        <f>+IF(PROVEEDORES[[#This Row],[FECHA DE PAGO]]=PROVEEDORES[[#This Row],[FECHA DE FACTURACIÓN]],"DE CONTADO","CRÉDITO")</f>
        <v>CRÉDITO</v>
      </c>
      <c r="B61" s="51" t="b">
        <f>+IF((PROVEEDORES[[#This Row],[FECHA DE PAGO]]-PROVEEDORES[[#This Row],[FECHA DE FACTURACIÓN]])&gt;PROVEEDORES[[#This Row],[PLAZO Días]],"PAGO VENCIDO")</f>
        <v>0</v>
      </c>
      <c r="C61" s="25">
        <f>+VLOOKUP(PROVEEDORES[[#This Row],[PROVEEDOR]],TERCEROS_INFO[#All],2,FALSE)</f>
        <v>30</v>
      </c>
      <c r="D61" s="30">
        <f>+SUMIFS(PROVEEDORES[Total],PROVEEDORES[PROVEEDOR],PROVEEDORES[[#This Row],[PROVEEDOR]],PROVEEDORES[FECHA DE PAGO],"")</f>
        <v>0</v>
      </c>
      <c r="E61" s="30"/>
      <c r="F61" s="73" t="str">
        <f>+VLOOKUP(PROVEEDORES[[#This Row],[PROVEEDOR]],TERCEROS_INFO[[PROVEEDOR]:[CORREO]],5,FALSE)</f>
        <v>swizzeraux2@gmail.com;girlesa.ruiz@servipilas.com;joriescobar64@gmail.com</v>
      </c>
      <c r="G61" s="111">
        <v>44211</v>
      </c>
      <c r="H61" s="31" t="s">
        <v>1077</v>
      </c>
      <c r="I61" s="111">
        <v>44194</v>
      </c>
      <c r="J61" s="48">
        <v>2664</v>
      </c>
      <c r="K61" s="26">
        <v>121550</v>
      </c>
      <c r="L61" s="26"/>
      <c r="M61" s="27">
        <v>0</v>
      </c>
      <c r="N61" s="28"/>
      <c r="O61" s="27">
        <v>0</v>
      </c>
      <c r="P61" s="28">
        <v>0</v>
      </c>
      <c r="Q61" s="27">
        <v>0</v>
      </c>
      <c r="R61" s="26">
        <v>121550</v>
      </c>
      <c r="S61" s="115">
        <f ca="1">IF(PROVEEDORES[[#This Row],[FECHA DE PAGO]]=0,TODAY()-PROVEEDORES[[#This Row],[FECHA DE FACTURACIÓN]]-PROVEEDORES[[#This Row],[PLAZO Días]],0)</f>
        <v>0</v>
      </c>
      <c r="T6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" spans="1:20" ht="21.9" customHeight="1" x14ac:dyDescent="0.3">
      <c r="A62" s="113" t="str">
        <f>+IF(PROVEEDORES[[#This Row],[FECHA DE PAGO]]=PROVEEDORES[[#This Row],[FECHA DE FACTURACIÓN]],"DE CONTADO","CRÉDITO")</f>
        <v>CRÉDITO</v>
      </c>
      <c r="B62" s="51" t="b">
        <f>+IF((PROVEEDORES[[#This Row],[FECHA DE PAGO]]-PROVEEDORES[[#This Row],[FECHA DE FACTURACIÓN]])&gt;PROVEEDORES[[#This Row],[PLAZO Días]],"PAGO VENCIDO")</f>
        <v>0</v>
      </c>
      <c r="C62" s="25">
        <f>+VLOOKUP(PROVEEDORES[[#This Row],[PROVEEDOR]],TERCEROS_INFO[#All],2,FALSE)</f>
        <v>90</v>
      </c>
      <c r="D62" s="30">
        <f>+SUMIFS(PROVEEDORES[Total],PROVEEDORES[PROVEEDOR],PROVEEDORES[[#This Row],[PROVEEDOR]],PROVEEDORES[FECHA DE PAGO],"")</f>
        <v>26364243.66155</v>
      </c>
      <c r="E62" s="30"/>
      <c r="F62" s="73" t="str">
        <f>+VLOOKUP(PROVEEDORES[[#This Row],[PROVEEDOR]],TERCEROS_INFO[[PROVEEDOR]:[CORREO]],5,FALSE)</f>
        <v>javiergomez_72@hotmail.com ;girlesa.ruiz@servipilas.com;joriescobar64@gmail.com</v>
      </c>
      <c r="G62" s="111">
        <v>44250</v>
      </c>
      <c r="H62" s="31" t="s">
        <v>12</v>
      </c>
      <c r="I62" s="111">
        <v>44195</v>
      </c>
      <c r="J62" s="48" t="s">
        <v>229</v>
      </c>
      <c r="K62" s="26">
        <v>-54622</v>
      </c>
      <c r="L62" s="26"/>
      <c r="M62" s="27">
        <v>-10378.18</v>
      </c>
      <c r="N62" s="28"/>
      <c r="O62" s="27">
        <v>0</v>
      </c>
      <c r="P62" s="28">
        <v>0</v>
      </c>
      <c r="Q62" s="27">
        <v>0</v>
      </c>
      <c r="R62" s="26">
        <v>-65000.18</v>
      </c>
      <c r="S62" s="115">
        <f ca="1">IF(PROVEEDORES[[#This Row],[FECHA DE PAGO]]=0,TODAY()-PROVEEDORES[[#This Row],[FECHA DE FACTURACIÓN]]-PROVEEDORES[[#This Row],[PLAZO Días]],0)</f>
        <v>0</v>
      </c>
      <c r="T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" spans="1:20" ht="21.9" customHeight="1" x14ac:dyDescent="0.3">
      <c r="A63" s="113" t="str">
        <f>+IF(PROVEEDORES[[#This Row],[FECHA DE PAGO]]=PROVEEDORES[[#This Row],[FECHA DE FACTURACIÓN]],"DE CONTADO","CRÉDITO")</f>
        <v>CRÉDITO</v>
      </c>
      <c r="B63" s="51" t="str">
        <f>+IF((PROVEEDORES[[#This Row],[FECHA DE PAGO]]-PROVEEDORES[[#This Row],[FECHA DE FACTURACIÓN]])&gt;PROVEEDORES[[#This Row],[PLAZO Días]],"PAGO VENCIDO")</f>
        <v>PAGO VENCIDO</v>
      </c>
      <c r="C63" s="25">
        <f>+VLOOKUP(PROVEEDORES[[#This Row],[PROVEEDOR]],TERCEROS_INFO[#All],2,FALSE)</f>
        <v>90</v>
      </c>
      <c r="D63" s="30">
        <f>+SUMIFS(PROVEEDORES[Total],PROVEEDORES[PROVEEDOR],PROVEEDORES[[#This Row],[PROVEEDOR]],PROVEEDORES[FECHA DE PAGO],"")</f>
        <v>0</v>
      </c>
      <c r="E63" s="30"/>
      <c r="F63" s="73" t="str">
        <f>+VLOOKUP(PROVEEDORES[[#This Row],[PROVEEDOR]],TERCEROS_INFO[[PROVEEDOR]:[CORREO]],5,FALSE)</f>
        <v/>
      </c>
      <c r="G63" s="111">
        <v>44567</v>
      </c>
      <c r="H63" s="31" t="s">
        <v>1033</v>
      </c>
      <c r="I63" s="111">
        <v>44196</v>
      </c>
      <c r="J63" s="48"/>
      <c r="K63" s="26">
        <v>-20009300</v>
      </c>
      <c r="L63" s="26"/>
      <c r="M63" s="27">
        <v>0</v>
      </c>
      <c r="N63" s="28"/>
      <c r="O63" s="27">
        <v>0</v>
      </c>
      <c r="P63" s="28">
        <v>0</v>
      </c>
      <c r="Q63" s="27">
        <v>0</v>
      </c>
      <c r="R63" s="26">
        <v>-20009300</v>
      </c>
      <c r="S63" s="115">
        <f ca="1">IF(PROVEEDORES[[#This Row],[FECHA DE PAGO]]=0,TODAY()-PROVEEDORES[[#This Row],[FECHA DE FACTURACIÓN]]-PROVEEDORES[[#This Row],[PLAZO Días]],0)</f>
        <v>0</v>
      </c>
      <c r="T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" spans="1:20" ht="21.9" customHeight="1" x14ac:dyDescent="0.3">
      <c r="A64" s="113" t="str">
        <f>+IF(PROVEEDORES[[#This Row],[FECHA DE PAGO]]=PROVEEDORES[[#This Row],[FECHA DE FACTURACIÓN]],"DE CONTADO","CRÉDITO")</f>
        <v>CRÉDITO</v>
      </c>
      <c r="B64" s="51" t="str">
        <f>+IF((PROVEEDORES[[#This Row],[FECHA DE PAGO]]-PROVEEDORES[[#This Row],[FECHA DE FACTURACIÓN]])&gt;PROVEEDORES[[#This Row],[PLAZO Días]],"PAGO VENCIDO")</f>
        <v>PAGO VENCIDO</v>
      </c>
      <c r="C64" s="25">
        <f>+VLOOKUP(PROVEEDORES[[#This Row],[PROVEEDOR]],TERCEROS_INFO[#All],2,FALSE)</f>
        <v>30</v>
      </c>
      <c r="D64" s="30">
        <f>+SUMIFS(PROVEEDORES[Total],PROVEEDORES[PROVEEDOR],PROVEEDORES[[#This Row],[PROVEEDOR]],PROVEEDORES[FECHA DE PAGO],"")</f>
        <v>148000</v>
      </c>
      <c r="E64" s="30"/>
      <c r="F64" s="73" t="str">
        <f>+VLOOKUP(PROVEEDORES[[#This Row],[PROVEEDOR]],TERCEROS_INFO[[PROVEEDOR]:[CORREO]],5,FALSE)</f>
        <v>jarlysas@gmail.com;o.clockinternational@gmail.com;girlesa.ruiz@servipilas.com;joriescobar64@gmail.com</v>
      </c>
      <c r="G64" s="111">
        <v>44414</v>
      </c>
      <c r="H64" s="31" t="s">
        <v>1048</v>
      </c>
      <c r="I64" s="111">
        <v>44196</v>
      </c>
      <c r="J64" s="48" t="s">
        <v>672</v>
      </c>
      <c r="K64" s="26">
        <v>-510000.68</v>
      </c>
      <c r="L64" s="26"/>
      <c r="M64" s="27">
        <v>0</v>
      </c>
      <c r="N64" s="28"/>
      <c r="O64" s="27">
        <v>0</v>
      </c>
      <c r="P64" s="28">
        <v>0</v>
      </c>
      <c r="Q64" s="27">
        <v>0</v>
      </c>
      <c r="R64" s="26">
        <v>-510000.68</v>
      </c>
      <c r="S64" s="115">
        <f ca="1">IF(PROVEEDORES[[#This Row],[FECHA DE PAGO]]=0,TODAY()-PROVEEDORES[[#This Row],[FECHA DE FACTURACIÓN]]-PROVEEDORES[[#This Row],[PLAZO Días]],0)</f>
        <v>0</v>
      </c>
      <c r="T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" spans="1:20" ht="21.9" customHeight="1" x14ac:dyDescent="0.3">
      <c r="A65" s="113" t="str">
        <f>+IF(PROVEEDORES[[#This Row],[FECHA DE PAGO]]=PROVEEDORES[[#This Row],[FECHA DE FACTURACIÓN]],"DE CONTADO","CRÉDITO")</f>
        <v>CRÉDITO</v>
      </c>
      <c r="B65" s="51" t="b">
        <f>+IF((PROVEEDORES[[#This Row],[FECHA DE PAGO]]-PROVEEDORES[[#This Row],[FECHA DE FACTURACIÓN]])&gt;PROVEEDORES[[#This Row],[PLAZO Días]],"PAGO VENCIDO")</f>
        <v>0</v>
      </c>
      <c r="C65" s="25">
        <f>+VLOOKUP(PROVEEDORES[[#This Row],[PROVEEDOR]],TERCEROS_INFO[#All],2,FALSE)</f>
        <v>30</v>
      </c>
      <c r="D65" s="30">
        <f>+SUMIFS(PROVEEDORES[Total],PROVEEDORES[PROVEEDOR],PROVEEDORES[[#This Row],[PROVEEDOR]],PROVEEDORES[FECHA DE PAGO],"")</f>
        <v>0</v>
      </c>
      <c r="E65" s="30"/>
      <c r="F65" s="73" t="str">
        <f>+VLOOKUP(PROVEEDORES[[#This Row],[PROVEEDOR]],TERCEROS_INFO[[PROVEEDOR]:[CORREO]],5,FALSE)</f>
        <v>senalizacionyavisos@gmail.com;girlesa.ruiz@servipilas.com;joriescobar64@gmail.com</v>
      </c>
      <c r="G65" s="111">
        <v>44198</v>
      </c>
      <c r="H65" s="31" t="s">
        <v>341</v>
      </c>
      <c r="I65" s="111">
        <v>44197</v>
      </c>
      <c r="J65" s="48">
        <v>422</v>
      </c>
      <c r="K65" s="26">
        <v>54000</v>
      </c>
      <c r="L65" s="26"/>
      <c r="M65" s="27">
        <v>10260</v>
      </c>
      <c r="N65" s="28"/>
      <c r="O65" s="27">
        <v>0</v>
      </c>
      <c r="P65" s="28">
        <v>0</v>
      </c>
      <c r="Q65" s="27">
        <v>0</v>
      </c>
      <c r="R65" s="26">
        <v>64260</v>
      </c>
      <c r="S65" s="115">
        <f ca="1">IF(PROVEEDORES[[#This Row],[FECHA DE PAGO]]=0,TODAY()-PROVEEDORES[[#This Row],[FECHA DE FACTURACIÓN]]-PROVEEDORES[[#This Row],[PLAZO Días]],0)</f>
        <v>0</v>
      </c>
      <c r="T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" spans="1:20" ht="21.9" customHeight="1" x14ac:dyDescent="0.3">
      <c r="A66" s="113" t="str">
        <f>+IF(PROVEEDORES[[#This Row],[FECHA DE PAGO]]=PROVEEDORES[[#This Row],[FECHA DE FACTURACIÓN]],"DE CONTADO","CRÉDITO")</f>
        <v>CRÉDITO</v>
      </c>
      <c r="B66" s="51" t="b">
        <f>+IF((PROVEEDORES[[#This Row],[FECHA DE PAGO]]-PROVEEDORES[[#This Row],[FECHA DE FACTURACIÓN]])&gt;PROVEEDORES[[#This Row],[PLAZO Días]],"PAGO VENCIDO")</f>
        <v>0</v>
      </c>
      <c r="C66" s="25">
        <f>+VLOOKUP(PROVEEDORES[[#This Row],[PROVEEDOR]],TERCEROS_INFO[#All],2,FALSE)</f>
        <v>30</v>
      </c>
      <c r="D66" s="30">
        <f>+SUMIFS(PROVEEDORES[Total],PROVEEDORES[PROVEEDOR],PROVEEDORES[[#This Row],[PROVEEDOR]],PROVEEDORES[FECHA DE PAGO],"")</f>
        <v>0</v>
      </c>
      <c r="E66" s="30"/>
      <c r="F66" s="73" t="str">
        <f>+VLOOKUP(PROVEEDORES[[#This Row],[PROVEEDOR]],TERCEROS_INFO[[PROVEEDOR]:[CORREO]],5,FALSE)</f>
        <v>PSE</v>
      </c>
      <c r="G66" s="111">
        <v>44225</v>
      </c>
      <c r="H66" s="31" t="s">
        <v>342</v>
      </c>
      <c r="I66" s="111">
        <v>44197</v>
      </c>
      <c r="J66" s="48"/>
      <c r="K66" s="26">
        <v>340400</v>
      </c>
      <c r="L66" s="26"/>
      <c r="M66" s="27">
        <v>0</v>
      </c>
      <c r="N66" s="28"/>
      <c r="O66" s="27">
        <v>0</v>
      </c>
      <c r="P66" s="28">
        <v>0</v>
      </c>
      <c r="Q66" s="27">
        <v>0</v>
      </c>
      <c r="R66" s="26">
        <v>340400</v>
      </c>
      <c r="S66" s="115">
        <f ca="1">IF(PROVEEDORES[[#This Row],[FECHA DE PAGO]]=0,TODAY()-PROVEEDORES[[#This Row],[FECHA DE FACTURACIÓN]]-PROVEEDORES[[#This Row],[PLAZO Días]],0)</f>
        <v>0</v>
      </c>
      <c r="T6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" spans="1:20" ht="21.9" customHeight="1" x14ac:dyDescent="0.3">
      <c r="A67" s="113" t="str">
        <f>+IF(PROVEEDORES[[#This Row],[FECHA DE PAGO]]=PROVEEDORES[[#This Row],[FECHA DE FACTURACIÓN]],"DE CONTADO","CRÉDITO")</f>
        <v>CRÉDITO</v>
      </c>
      <c r="B67" s="51" t="str">
        <f>+IF((PROVEEDORES[[#This Row],[FECHA DE PAGO]]-PROVEEDORES[[#This Row],[FECHA DE FACTURACIÓN]])&gt;PROVEEDORES[[#This Row],[PLAZO Días]],"PAGO VENCIDO")</f>
        <v>PAGO VENCIDO</v>
      </c>
      <c r="C67" s="25">
        <f>+VLOOKUP(PROVEEDORES[[#This Row],[PROVEEDOR]],TERCEROS_INFO[#All],2,FALSE)</f>
        <v>30</v>
      </c>
      <c r="D67" s="30">
        <f>+SUMIFS(PROVEEDORES[Total],PROVEEDORES[PROVEEDOR],PROVEEDORES[[#This Row],[PROVEEDOR]],PROVEEDORES[FECHA DE PAGO],"")</f>
        <v>0</v>
      </c>
      <c r="E67" s="30"/>
      <c r="F67" s="73" t="str">
        <f>+VLOOKUP(PROVEEDORES[[#This Row],[PROVEEDOR]],TERCEROS_INFO[[PROVEEDOR]:[CORREO]],5,FALSE)</f>
        <v>contabilidad@comercialweb.com.co;info@servipilas.com</v>
      </c>
      <c r="G67" s="111">
        <v>44229</v>
      </c>
      <c r="H67" s="31" t="s">
        <v>344</v>
      </c>
      <c r="I67" s="111">
        <v>44197</v>
      </c>
      <c r="J67" s="48">
        <v>204</v>
      </c>
      <c r="K67" s="26">
        <v>490000</v>
      </c>
      <c r="L67" s="26"/>
      <c r="M67" s="27">
        <v>0</v>
      </c>
      <c r="N67" s="28"/>
      <c r="O67" s="27">
        <v>0</v>
      </c>
      <c r="P67" s="28">
        <v>0</v>
      </c>
      <c r="Q67" s="27">
        <v>0</v>
      </c>
      <c r="R67" s="26">
        <v>490000</v>
      </c>
      <c r="S67" s="115">
        <f ca="1">IF(PROVEEDORES[[#This Row],[FECHA DE PAGO]]=0,TODAY()-PROVEEDORES[[#This Row],[FECHA DE FACTURACIÓN]]-PROVEEDORES[[#This Row],[PLAZO Días]],0)</f>
        <v>0</v>
      </c>
      <c r="T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" spans="1:20" ht="21.9" customHeight="1" x14ac:dyDescent="0.3">
      <c r="A68" s="113" t="str">
        <f>+IF(PROVEEDORES[[#This Row],[FECHA DE PAGO]]=PROVEEDORES[[#This Row],[FECHA DE FACTURACIÓN]],"DE CONTADO","CRÉDITO")</f>
        <v>CRÉDITO</v>
      </c>
      <c r="B68" s="51" t="b">
        <f>+IF((PROVEEDORES[[#This Row],[FECHA DE PAGO]]-PROVEEDORES[[#This Row],[FECHA DE FACTURACIÓN]])&gt;PROVEEDORES[[#This Row],[PLAZO Días]],"PAGO VENCIDO")</f>
        <v>0</v>
      </c>
      <c r="C68" s="25">
        <f>+VLOOKUP(PROVEEDORES[[#This Row],[PROVEEDOR]],TERCEROS_INFO[#All],2,FALSE)</f>
        <v>30</v>
      </c>
      <c r="D68" s="30">
        <f>+SUMIFS(PROVEEDORES[Total],PROVEEDORES[PROVEEDOR],PROVEEDORES[[#This Row],[PROVEEDOR]],PROVEEDORES[FECHA DE PAGO],"")</f>
        <v>0</v>
      </c>
      <c r="E68" s="30"/>
      <c r="F68" s="73" t="str">
        <f>+VLOOKUP(PROVEEDORES[[#This Row],[PROVEEDOR]],TERCEROS_INFO[[PROVEEDOR]:[CORREO]],5,FALSE)</f>
        <v>vromero@flashinternational.us;girlesa.ruiz@servipilas.com;joriescobar64@gmail.com</v>
      </c>
      <c r="G68" s="111">
        <v>44204</v>
      </c>
      <c r="H68" s="31" t="s">
        <v>144</v>
      </c>
      <c r="I68" s="111">
        <v>44200</v>
      </c>
      <c r="J68" s="48">
        <v>9660</v>
      </c>
      <c r="K68" s="26">
        <v>406800</v>
      </c>
      <c r="L68" s="26"/>
      <c r="M68" s="27">
        <v>0</v>
      </c>
      <c r="N68" s="28"/>
      <c r="O68" s="27">
        <v>0</v>
      </c>
      <c r="P68" s="28">
        <v>0</v>
      </c>
      <c r="Q68" s="27">
        <v>0</v>
      </c>
      <c r="R68" s="26">
        <v>406800</v>
      </c>
      <c r="S68" s="115">
        <f ca="1">IF(PROVEEDORES[[#This Row],[FECHA DE PAGO]]=0,TODAY()-PROVEEDORES[[#This Row],[FECHA DE FACTURACIÓN]]-PROVEEDORES[[#This Row],[PLAZO Días]],0)</f>
        <v>0</v>
      </c>
      <c r="T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" spans="1:20" ht="21.9" customHeight="1" x14ac:dyDescent="0.3">
      <c r="A69" s="113" t="str">
        <f>+IF(PROVEEDORES[[#This Row],[FECHA DE PAGO]]=PROVEEDORES[[#This Row],[FECHA DE FACTURACIÓN]],"DE CONTADO","CRÉDITO")</f>
        <v>CRÉDITO</v>
      </c>
      <c r="B69" s="51" t="b">
        <f>+IF((PROVEEDORES[[#This Row],[FECHA DE PAGO]]-PROVEEDORES[[#This Row],[FECHA DE FACTURACIÓN]])&gt;PROVEEDORES[[#This Row],[PLAZO Días]],"PAGO VENCIDO")</f>
        <v>0</v>
      </c>
      <c r="C69" s="25">
        <f>+VLOOKUP(PROVEEDORES[[#This Row],[PROVEEDOR]],TERCEROS_INFO[#All],2,FALSE)</f>
        <v>30</v>
      </c>
      <c r="D69" s="30">
        <f>+SUMIFS(PROVEEDORES[Total],PROVEEDORES[PROVEEDOR],PROVEEDORES[[#This Row],[PROVEEDOR]],PROVEEDORES[FECHA DE PAGO],"")</f>
        <v>1119790</v>
      </c>
      <c r="E69" s="30"/>
      <c r="F69" s="73" t="str">
        <f>+VLOOKUP(PROVEEDORES[[#This Row],[PROVEEDOR]],TERCEROS_INFO[[PROVEEDOR]:[CORREO]],5,FALSE)</f>
        <v>MVALENCIA@mps.com.co;girlesa.ruiz@servipilas.com;joriescobar64@gmail.com</v>
      </c>
      <c r="G69" s="111">
        <v>44208</v>
      </c>
      <c r="H69" s="31" t="s">
        <v>17</v>
      </c>
      <c r="I69" s="111">
        <v>44201</v>
      </c>
      <c r="J69" s="48">
        <v>1710675</v>
      </c>
      <c r="K69" s="26">
        <v>302521.00840336137</v>
      </c>
      <c r="L69" s="26"/>
      <c r="M69" s="27">
        <v>57478.991596638662</v>
      </c>
      <c r="N69" s="28"/>
      <c r="O69" s="27">
        <v>0</v>
      </c>
      <c r="P69" s="28">
        <v>0</v>
      </c>
      <c r="Q69" s="27">
        <v>0</v>
      </c>
      <c r="R69" s="26">
        <v>360000</v>
      </c>
      <c r="S69" s="115">
        <f ca="1">IF(PROVEEDORES[[#This Row],[FECHA DE PAGO]]=0,TODAY()-PROVEEDORES[[#This Row],[FECHA DE FACTURACIÓN]]-PROVEEDORES[[#This Row],[PLAZO Días]],0)</f>
        <v>0</v>
      </c>
      <c r="T6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" spans="1:20" ht="21.9" customHeight="1" x14ac:dyDescent="0.3">
      <c r="A70" s="113" t="str">
        <f>+IF(PROVEEDORES[[#This Row],[FECHA DE PAGO]]=PROVEEDORES[[#This Row],[FECHA DE FACTURACIÓN]],"DE CONTADO","CRÉDITO")</f>
        <v>DE CONTADO</v>
      </c>
      <c r="B70" s="51" t="b">
        <f>+IF((PROVEEDORES[[#This Row],[FECHA DE PAGO]]-PROVEEDORES[[#This Row],[FECHA DE FACTURACIÓN]])&gt;PROVEEDORES[[#This Row],[PLAZO Días]],"PAGO VENCIDO")</f>
        <v>0</v>
      </c>
      <c r="C70" s="25">
        <f>+VLOOKUP(PROVEEDORES[[#This Row],[PROVEEDOR]],TERCEROS_INFO[#All],2,FALSE)</f>
        <v>30</v>
      </c>
      <c r="D70" s="30">
        <f>+SUMIFS(PROVEEDORES[Total],PROVEEDORES[PROVEEDOR],PROVEEDORES[[#This Row],[PROVEEDOR]],PROVEEDORES[FECHA DE PAGO],"")</f>
        <v>0</v>
      </c>
      <c r="E70" s="30"/>
      <c r="F70" s="73" t="str">
        <f>+VLOOKUP(PROVEEDORES[[#This Row],[PROVEEDOR]],TERCEROS_INFO[[PROVEEDOR]:[CORREO]],5,FALSE)</f>
        <v/>
      </c>
      <c r="G70" s="111">
        <v>44201</v>
      </c>
      <c r="H70" s="31" t="s">
        <v>1037</v>
      </c>
      <c r="I70" s="111">
        <v>44201</v>
      </c>
      <c r="J70" s="48" t="s">
        <v>673</v>
      </c>
      <c r="K70" s="26">
        <v>750000</v>
      </c>
      <c r="L70" s="26"/>
      <c r="M70" s="27">
        <v>0</v>
      </c>
      <c r="N70" s="28"/>
      <c r="O70" s="27">
        <v>0</v>
      </c>
      <c r="P70" s="28">
        <v>0</v>
      </c>
      <c r="Q70" s="27">
        <v>0</v>
      </c>
      <c r="R70" s="26">
        <v>750000</v>
      </c>
      <c r="S70" s="115">
        <f ca="1">IF(PROVEEDORES[[#This Row],[FECHA DE PAGO]]=0,TODAY()-PROVEEDORES[[#This Row],[FECHA DE FACTURACIÓN]]-PROVEEDORES[[#This Row],[PLAZO Días]],0)</f>
        <v>0</v>
      </c>
      <c r="T7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" spans="1:20" ht="21.9" customHeight="1" x14ac:dyDescent="0.3">
      <c r="A71" s="113" t="str">
        <f>+IF(PROVEEDORES[[#This Row],[FECHA DE PAGO]]=PROVEEDORES[[#This Row],[FECHA DE FACTURACIÓN]],"DE CONTADO","CRÉDITO")</f>
        <v>CRÉDITO</v>
      </c>
      <c r="B71" s="51" t="b">
        <f>+IF((PROVEEDORES[[#This Row],[FECHA DE PAGO]]-PROVEEDORES[[#This Row],[FECHA DE FACTURACIÓN]])&gt;PROVEEDORES[[#This Row],[PLAZO Días]],"PAGO VENCIDO")</f>
        <v>0</v>
      </c>
      <c r="C71" s="25">
        <f>+VLOOKUP(PROVEEDORES[[#This Row],[PROVEEDOR]],TERCEROS_INFO[#All],2,FALSE)</f>
        <v>45</v>
      </c>
      <c r="D71" s="30">
        <f>+SUMIFS(PROVEEDORES[Total],PROVEEDORES[PROVEEDOR],PROVEEDORES[[#This Row],[PROVEEDOR]],PROVEEDORES[FECHA DE PAGO],"")</f>
        <v>17760678.600000001</v>
      </c>
      <c r="E71" s="30"/>
      <c r="F71" s="73" t="str">
        <f>+VLOOKUP(PROVEEDORES[[#This Row],[PROVEEDOR]],TERCEROS_INFO[[PROVEEDOR]:[CORREO]],5,FALSE)</f>
        <v>zully.florez@powest.com;girlesa.ruiz@servipilas.com;joriescobar64@gmail.com</v>
      </c>
      <c r="G71" s="111">
        <v>44239</v>
      </c>
      <c r="H71" s="31" t="s">
        <v>19</v>
      </c>
      <c r="I71" s="111">
        <v>44201</v>
      </c>
      <c r="J71" s="48" t="s">
        <v>104</v>
      </c>
      <c r="K71" s="26">
        <v>3875040.3361344538</v>
      </c>
      <c r="L71" s="26"/>
      <c r="M71" s="27">
        <v>736257.66386554623</v>
      </c>
      <c r="N71" s="28"/>
      <c r="O71" s="27">
        <v>0</v>
      </c>
      <c r="P71" s="28">
        <v>0</v>
      </c>
      <c r="Q71" s="27">
        <v>0</v>
      </c>
      <c r="R71" s="26">
        <v>4611298</v>
      </c>
      <c r="S71" s="115">
        <f ca="1">IF(PROVEEDORES[[#This Row],[FECHA DE PAGO]]=0,TODAY()-PROVEEDORES[[#This Row],[FECHA DE FACTURACIÓN]]-PROVEEDORES[[#This Row],[PLAZO Días]],0)</f>
        <v>0</v>
      </c>
      <c r="T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" spans="1:20" ht="21.9" customHeight="1" x14ac:dyDescent="0.3">
      <c r="A72" s="113" t="str">
        <f>+IF(PROVEEDORES[[#This Row],[FECHA DE PAGO]]=PROVEEDORES[[#This Row],[FECHA DE FACTURACIÓN]],"DE CONTADO","CRÉDITO")</f>
        <v>CRÉDITO</v>
      </c>
      <c r="B72" s="51" t="str">
        <f>+IF((PROVEEDORES[[#This Row],[FECHA DE PAGO]]-PROVEEDORES[[#This Row],[FECHA DE FACTURACIÓN]])&gt;PROVEEDORES[[#This Row],[PLAZO Días]],"PAGO VENCIDO")</f>
        <v>PAGO VENCIDO</v>
      </c>
      <c r="C72" s="25">
        <f>+VLOOKUP(PROVEEDORES[[#This Row],[PROVEEDOR]],TERCEROS_INFO[#All],2,FALSE)</f>
        <v>90</v>
      </c>
      <c r="D72" s="30">
        <f>+SUMIFS(PROVEEDORES[Total],PROVEEDORES[PROVEEDOR],PROVEEDORES[[#This Row],[PROVEEDOR]],PROVEEDORES[FECHA DE PAGO],"")</f>
        <v>0</v>
      </c>
      <c r="E72" s="30"/>
      <c r="F72" s="73" t="str">
        <f>+VLOOKUP(PROVEEDORES[[#This Row],[PROVEEDOR]],TERCEROS_INFO[[PROVEEDOR]:[CORREO]],5,FALSE)</f>
        <v/>
      </c>
      <c r="G72" s="111">
        <v>44567</v>
      </c>
      <c r="H72" s="31" t="s">
        <v>1033</v>
      </c>
      <c r="I72" s="111">
        <v>44203</v>
      </c>
      <c r="J72" s="48"/>
      <c r="K72" s="26">
        <v>-5180200</v>
      </c>
      <c r="L72" s="26"/>
      <c r="M72" s="27">
        <v>0</v>
      </c>
      <c r="N72" s="28"/>
      <c r="O72" s="27">
        <v>0</v>
      </c>
      <c r="P72" s="28">
        <v>0</v>
      </c>
      <c r="Q72" s="27">
        <v>0</v>
      </c>
      <c r="R72" s="26">
        <v>-5180200</v>
      </c>
      <c r="S72" s="115">
        <f ca="1">IF(PROVEEDORES[[#This Row],[FECHA DE PAGO]]=0,TODAY()-PROVEEDORES[[#This Row],[FECHA DE FACTURACIÓN]]-PROVEEDORES[[#This Row],[PLAZO Días]],0)</f>
        <v>0</v>
      </c>
      <c r="T7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" spans="1:20" ht="21.9" customHeight="1" x14ac:dyDescent="0.3">
      <c r="A73" s="113" t="str">
        <f>+IF(PROVEEDORES[[#This Row],[FECHA DE PAGO]]=PROVEEDORES[[#This Row],[FECHA DE FACTURACIÓN]],"DE CONTADO","CRÉDITO")</f>
        <v>DE CONTADO</v>
      </c>
      <c r="B73" s="51" t="b">
        <f>+IF((PROVEEDORES[[#This Row],[FECHA DE PAGO]]-PROVEEDORES[[#This Row],[FECHA DE FACTURACIÓN]])&gt;PROVEEDORES[[#This Row],[PLAZO Días]],"PAGO VENCIDO")</f>
        <v>0</v>
      </c>
      <c r="C73" s="25">
        <f>+VLOOKUP(PROVEEDORES[[#This Row],[PROVEEDOR]],TERCEROS_INFO[#All],2,FALSE)</f>
        <v>30</v>
      </c>
      <c r="D73" s="30">
        <f>+SUMIFS(PROVEEDORES[Total],PROVEEDORES[PROVEEDOR],PROVEEDORES[[#This Row],[PROVEEDOR]],PROVEEDORES[FECHA DE PAGO],"")</f>
        <v>0</v>
      </c>
      <c r="E73" s="30"/>
      <c r="F73" s="73" t="str">
        <f>+VLOOKUP(PROVEEDORES[[#This Row],[PROVEEDOR]],TERCEROS_INFO[[PROVEEDOR]:[CORREO]],5,FALSE)</f>
        <v/>
      </c>
      <c r="G73" s="111">
        <v>44204</v>
      </c>
      <c r="H73" s="31" t="s">
        <v>37</v>
      </c>
      <c r="I73" s="111">
        <v>44204</v>
      </c>
      <c r="J73" s="48">
        <v>8935</v>
      </c>
      <c r="K73" s="26">
        <v>139700</v>
      </c>
      <c r="L73" s="26"/>
      <c r="M73" s="27">
        <v>26543</v>
      </c>
      <c r="N73" s="28"/>
      <c r="O73" s="27">
        <v>0</v>
      </c>
      <c r="P73" s="28">
        <v>0</v>
      </c>
      <c r="Q73" s="27">
        <v>0</v>
      </c>
      <c r="R73" s="26">
        <v>166243</v>
      </c>
      <c r="S73" s="115">
        <f ca="1">IF(PROVEEDORES[[#This Row],[FECHA DE PAGO]]=0,TODAY()-PROVEEDORES[[#This Row],[FECHA DE FACTURACIÓN]]-PROVEEDORES[[#This Row],[PLAZO Días]],0)</f>
        <v>0</v>
      </c>
      <c r="T7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" spans="1:20" ht="21.9" customHeight="1" x14ac:dyDescent="0.3">
      <c r="A74" s="113" t="str">
        <f>+IF(PROVEEDORES[[#This Row],[FECHA DE PAGO]]=PROVEEDORES[[#This Row],[FECHA DE FACTURACIÓN]],"DE CONTADO","CRÉDITO")</f>
        <v>CRÉDITO</v>
      </c>
      <c r="B74" s="51" t="str">
        <f>+IF((PROVEEDORES[[#This Row],[FECHA DE PAGO]]-PROVEEDORES[[#This Row],[FECHA DE FACTURACIÓN]])&gt;PROVEEDORES[[#This Row],[PLAZO Días]],"PAGO VENCIDO")</f>
        <v>PAGO VENCIDO</v>
      </c>
      <c r="C74" s="25">
        <f>+VLOOKUP(PROVEEDORES[[#This Row],[PROVEEDOR]],TERCEROS_INFO[#All],2,FALSE)</f>
        <v>30</v>
      </c>
      <c r="D74" s="30">
        <f>+SUMIFS(PROVEEDORES[Total],PROVEEDORES[PROVEEDOR],PROVEEDORES[[#This Row],[PROVEEDOR]],PROVEEDORES[FECHA DE PAGO],"")</f>
        <v>0</v>
      </c>
      <c r="E74" s="30"/>
      <c r="F74" s="73" t="str">
        <f>+VLOOKUP(PROVEEDORES[[#This Row],[PROVEEDOR]],TERCEROS_INFO[[PROVEEDOR]:[CORREO]],5,FALSE)</f>
        <v>vromero@flashinternational.us;girlesa.ruiz@servipilas.com;joriescobar64@gmail.com</v>
      </c>
      <c r="G74" s="111">
        <v>44248</v>
      </c>
      <c r="H74" s="31" t="s">
        <v>135</v>
      </c>
      <c r="I74" s="111">
        <v>44204</v>
      </c>
      <c r="J74" s="48" t="s">
        <v>674</v>
      </c>
      <c r="K74" s="26">
        <v>1372000</v>
      </c>
      <c r="L74" s="26"/>
      <c r="M74" s="27">
        <v>0</v>
      </c>
      <c r="N74" s="28"/>
      <c r="O74" s="27">
        <v>0</v>
      </c>
      <c r="P74" s="28">
        <v>0</v>
      </c>
      <c r="Q74" s="27">
        <v>0</v>
      </c>
      <c r="R74" s="26">
        <v>1372000</v>
      </c>
      <c r="S74" s="115">
        <f ca="1">IF(PROVEEDORES[[#This Row],[FECHA DE PAGO]]=0,TODAY()-PROVEEDORES[[#This Row],[FECHA DE FACTURACIÓN]]-PROVEEDORES[[#This Row],[PLAZO Días]],0)</f>
        <v>0</v>
      </c>
      <c r="T7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" spans="1:20" ht="21.9" customHeight="1" x14ac:dyDescent="0.3">
      <c r="A75" s="113" t="str">
        <f>+IF(PROVEEDORES[[#This Row],[FECHA DE PAGO]]=PROVEEDORES[[#This Row],[FECHA DE FACTURACIÓN]],"DE CONTADO","CRÉDITO")</f>
        <v>CRÉDITO</v>
      </c>
      <c r="B75" s="51" t="b">
        <f>+IF((PROVEEDORES[[#This Row],[FECHA DE PAGO]]-PROVEEDORES[[#This Row],[FECHA DE FACTURACIÓN]])&gt;PROVEEDORES[[#This Row],[PLAZO Días]],"PAGO VENCIDO")</f>
        <v>0</v>
      </c>
      <c r="C75" s="25">
        <f>+VLOOKUP(PROVEEDORES[[#This Row],[PROVEEDOR]],TERCEROS_INFO[#All],2,FALSE)</f>
        <v>30</v>
      </c>
      <c r="D75" s="30">
        <f>+SUMIFS(PROVEEDORES[Total],PROVEEDORES[PROVEEDOR],PROVEEDORES[[#This Row],[PROVEEDOR]],PROVEEDORES[FECHA DE PAGO],"")</f>
        <v>0</v>
      </c>
      <c r="E75" s="30"/>
      <c r="F75" s="73" t="str">
        <f>+VLOOKUP(PROVEEDORES[[#This Row],[PROVEEDOR]],TERCEROS_INFO[[PROVEEDOR]:[CORREO]],5,FALSE)</f>
        <v>vromero@flashinternational.us;girlesa.ruiz@servipilas.com;joriescobar64@gmail.com</v>
      </c>
      <c r="G75" s="111">
        <v>44198</v>
      </c>
      <c r="H75" s="31" t="s">
        <v>135</v>
      </c>
      <c r="I75" s="111">
        <v>44204</v>
      </c>
      <c r="J75" s="48" t="s">
        <v>105</v>
      </c>
      <c r="K75" s="26">
        <v>1732000</v>
      </c>
      <c r="L75" s="26"/>
      <c r="M75" s="27">
        <v>0</v>
      </c>
      <c r="N75" s="28"/>
      <c r="O75" s="27">
        <v>0</v>
      </c>
      <c r="P75" s="28">
        <v>0</v>
      </c>
      <c r="Q75" s="27">
        <v>0</v>
      </c>
      <c r="R75" s="26">
        <v>1732000</v>
      </c>
      <c r="S75" s="115">
        <f ca="1">IF(PROVEEDORES[[#This Row],[FECHA DE PAGO]]=0,TODAY()-PROVEEDORES[[#This Row],[FECHA DE FACTURACIÓN]]-PROVEEDORES[[#This Row],[PLAZO Días]],0)</f>
        <v>0</v>
      </c>
      <c r="T7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" spans="1:20" ht="21.9" customHeight="1" x14ac:dyDescent="0.3">
      <c r="A76" s="113" t="str">
        <f>+IF(PROVEEDORES[[#This Row],[FECHA DE PAGO]]=PROVEEDORES[[#This Row],[FECHA DE FACTURACIÓN]],"DE CONTADO","CRÉDITO")</f>
        <v>CRÉDITO</v>
      </c>
      <c r="B76" s="51" t="b">
        <f>+IF((PROVEEDORES[[#This Row],[FECHA DE PAGO]]-PROVEEDORES[[#This Row],[FECHA DE FACTURACIÓN]])&gt;PROVEEDORES[[#This Row],[PLAZO Días]],"PAGO VENCIDO")</f>
        <v>0</v>
      </c>
      <c r="C76" s="25">
        <f>+VLOOKUP(PROVEEDORES[[#This Row],[PROVEEDOR]],TERCEROS_INFO[#All],2,FALSE)</f>
        <v>10</v>
      </c>
      <c r="D76" s="30">
        <f>+SUMIFS(PROVEEDORES[Total],PROVEEDORES[PROVEEDOR],PROVEEDORES[[#This Row],[PROVEEDOR]],PROVEEDORES[FECHA DE PAGO],"")</f>
        <v>0</v>
      </c>
      <c r="E76" s="30"/>
      <c r="F76" s="73" t="str">
        <f>+VLOOKUP(PROVEEDORES[[#This Row],[PROVEEDOR]],TERCEROS_INFO[[PROVEEDOR]:[CORREO]],5,FALSE)</f>
        <v/>
      </c>
      <c r="G76" s="111">
        <v>44215</v>
      </c>
      <c r="H76" s="31" t="s">
        <v>23</v>
      </c>
      <c r="I76" s="111">
        <v>44205</v>
      </c>
      <c r="J76" s="48">
        <v>279400</v>
      </c>
      <c r="K76" s="26">
        <v>4590250</v>
      </c>
      <c r="L76" s="26"/>
      <c r="M76" s="27">
        <v>0</v>
      </c>
      <c r="N76" s="28"/>
      <c r="O76" s="27">
        <v>0</v>
      </c>
      <c r="P76" s="28">
        <v>0</v>
      </c>
      <c r="Q76" s="27">
        <v>0</v>
      </c>
      <c r="R76" s="26">
        <v>4590250</v>
      </c>
      <c r="S76" s="115">
        <f ca="1">IF(PROVEEDORES[[#This Row],[FECHA DE PAGO]]=0,TODAY()-PROVEEDORES[[#This Row],[FECHA DE FACTURACIÓN]]-PROVEEDORES[[#This Row],[PLAZO Días]],0)</f>
        <v>0</v>
      </c>
      <c r="T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" spans="1:20" ht="21.9" customHeight="1" x14ac:dyDescent="0.3">
      <c r="A77" s="113" t="str">
        <f>+IF(PROVEEDORES[[#This Row],[FECHA DE PAGO]]=PROVEEDORES[[#This Row],[FECHA DE FACTURACIÓN]],"DE CONTADO","CRÉDITO")</f>
        <v>CRÉDITO</v>
      </c>
      <c r="B77" s="51" t="str">
        <f>+IF((PROVEEDORES[[#This Row],[FECHA DE PAGO]]-PROVEEDORES[[#This Row],[FECHA DE FACTURACIÓN]])&gt;PROVEEDORES[[#This Row],[PLAZO Días]],"PAGO VENCIDO")</f>
        <v>PAGO VENCIDO</v>
      </c>
      <c r="C77" s="25">
        <f>+VLOOKUP(PROVEEDORES[[#This Row],[PROVEEDOR]],TERCEROS_INFO[#All],2,FALSE)</f>
        <v>30</v>
      </c>
      <c r="D77" s="30">
        <f>+SUMIFS(PROVEEDORES[Total],PROVEEDORES[PROVEEDOR],PROVEEDORES[[#This Row],[PROVEEDOR]],PROVEEDORES[FECHA DE PAGO],"")</f>
        <v>6482443.1751999995</v>
      </c>
      <c r="E77" s="30"/>
      <c r="F77" s="73" t="str">
        <f>+VLOOKUP(PROVEEDORES[[#This Row],[PROVEEDOR]],TERCEROS_INFO[[PROVEEDOR]:[CORREO]],5,FALSE)</f>
        <v>angela.navas@hyrdistribuciones.com;girlesa.ruiz@servipilas.com;joriescobar64@gmail.com</v>
      </c>
      <c r="G77" s="111">
        <v>44257</v>
      </c>
      <c r="H77" s="31" t="s">
        <v>18</v>
      </c>
      <c r="I77" s="111">
        <v>44208</v>
      </c>
      <c r="J77" s="48">
        <v>1033186</v>
      </c>
      <c r="K77" s="26">
        <v>2093726.1764705882</v>
      </c>
      <c r="L77" s="26"/>
      <c r="M77" s="27">
        <v>397807.97352941177</v>
      </c>
      <c r="N77" s="28"/>
      <c r="O77" s="27">
        <v>0</v>
      </c>
      <c r="P77" s="28">
        <v>2.5000000000000001E-2</v>
      </c>
      <c r="Q77" s="27">
        <v>52343.154411764706</v>
      </c>
      <c r="R77" s="26">
        <v>2439190.9955882351</v>
      </c>
      <c r="S77" s="115">
        <f ca="1">IF(PROVEEDORES[[#This Row],[FECHA DE PAGO]]=0,TODAY()-PROVEEDORES[[#This Row],[FECHA DE FACTURACIÓN]]-PROVEEDORES[[#This Row],[PLAZO Días]],0)</f>
        <v>0</v>
      </c>
      <c r="T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" spans="1:20" ht="21.9" customHeight="1" x14ac:dyDescent="0.3">
      <c r="A78" s="113" t="str">
        <f>+IF(PROVEEDORES[[#This Row],[FECHA DE PAGO]]=PROVEEDORES[[#This Row],[FECHA DE FACTURACIÓN]],"DE CONTADO","CRÉDITO")</f>
        <v>DE CONTADO</v>
      </c>
      <c r="B78" s="51" t="b">
        <f>+IF((PROVEEDORES[[#This Row],[FECHA DE PAGO]]-PROVEEDORES[[#This Row],[FECHA DE FACTURACIÓN]])&gt;PROVEEDORES[[#This Row],[PLAZO Días]],"PAGO VENCIDO")</f>
        <v>0</v>
      </c>
      <c r="C78" s="25">
        <f>+VLOOKUP(PROVEEDORES[[#This Row],[PROVEEDOR]],TERCEROS_INFO[#All],2,FALSE)</f>
        <v>30</v>
      </c>
      <c r="D78" s="30">
        <f>+SUMIFS(PROVEEDORES[Total],PROVEEDORES[PROVEEDOR],PROVEEDORES[[#This Row],[PROVEEDOR]],PROVEEDORES[FECHA DE PAGO],"")</f>
        <v>0</v>
      </c>
      <c r="E78" s="30"/>
      <c r="F78" s="73" t="str">
        <f>+VLOOKUP(PROVEEDORES[[#This Row],[PROVEEDOR]],TERCEROS_INFO[[PROVEEDOR]:[CORREO]],5,FALSE)</f>
        <v/>
      </c>
      <c r="G78" s="111">
        <v>44209</v>
      </c>
      <c r="H78" s="31" t="s">
        <v>107</v>
      </c>
      <c r="I78" s="111">
        <v>44209</v>
      </c>
      <c r="J78" s="48">
        <v>245</v>
      </c>
      <c r="K78" s="26">
        <v>46386.478991596647</v>
      </c>
      <c r="L78" s="26"/>
      <c r="M78" s="27">
        <v>8813.4310084033623</v>
      </c>
      <c r="N78" s="28"/>
      <c r="O78" s="27">
        <v>0</v>
      </c>
      <c r="P78" s="28">
        <v>0</v>
      </c>
      <c r="Q78" s="27">
        <v>0</v>
      </c>
      <c r="R78" s="26">
        <v>55199.910000000011</v>
      </c>
      <c r="S78" s="115">
        <f ca="1">IF(PROVEEDORES[[#This Row],[FECHA DE PAGO]]=0,TODAY()-PROVEEDORES[[#This Row],[FECHA DE FACTURACIÓN]]-PROVEEDORES[[#This Row],[PLAZO Días]],0)</f>
        <v>0</v>
      </c>
      <c r="T7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" spans="1:20" ht="21.9" customHeight="1" x14ac:dyDescent="0.3">
      <c r="A79" s="113" t="str">
        <f>+IF(PROVEEDORES[[#This Row],[FECHA DE PAGO]]=PROVEEDORES[[#This Row],[FECHA DE FACTURACIÓN]],"DE CONTADO","CRÉDITO")</f>
        <v>DE CONTADO</v>
      </c>
      <c r="B79" s="51" t="b">
        <f>+IF((PROVEEDORES[[#This Row],[FECHA DE PAGO]]-PROVEEDORES[[#This Row],[FECHA DE FACTURACIÓN]])&gt;PROVEEDORES[[#This Row],[PLAZO Días]],"PAGO VENCIDO")</f>
        <v>0</v>
      </c>
      <c r="C79" s="25">
        <f>+VLOOKUP(PROVEEDORES[[#This Row],[PROVEEDOR]],TERCEROS_INFO[#All],2,FALSE)</f>
        <v>30</v>
      </c>
      <c r="D79" s="30">
        <f>+SUMIFS(PROVEEDORES[Total],PROVEEDORES[PROVEEDOR],PROVEEDORES[[#This Row],[PROVEEDOR]],PROVEEDORES[FECHA DE PAGO],"")</f>
        <v>0</v>
      </c>
      <c r="E79" s="30"/>
      <c r="F79" s="73" t="str">
        <f>+VLOOKUP(PROVEEDORES[[#This Row],[PROVEEDOR]],TERCEROS_INFO[[PROVEEDOR]:[CORREO]],5,FALSE)</f>
        <v/>
      </c>
      <c r="G79" s="111">
        <v>44209</v>
      </c>
      <c r="H79" s="31" t="s">
        <v>1079</v>
      </c>
      <c r="I79" s="111">
        <v>44209</v>
      </c>
      <c r="J79" s="48">
        <v>2365</v>
      </c>
      <c r="K79" s="26">
        <v>65000</v>
      </c>
      <c r="L79" s="26"/>
      <c r="M79" s="27">
        <v>0</v>
      </c>
      <c r="N79" s="28"/>
      <c r="O79" s="27">
        <v>0</v>
      </c>
      <c r="P79" s="28">
        <v>0</v>
      </c>
      <c r="Q79" s="27">
        <v>0</v>
      </c>
      <c r="R79" s="26">
        <v>65000</v>
      </c>
      <c r="S79" s="115">
        <f ca="1">IF(PROVEEDORES[[#This Row],[FECHA DE PAGO]]=0,TODAY()-PROVEEDORES[[#This Row],[FECHA DE FACTURACIÓN]]-PROVEEDORES[[#This Row],[PLAZO Días]],0)</f>
        <v>0</v>
      </c>
      <c r="T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" spans="1:20" ht="21.9" customHeight="1" x14ac:dyDescent="0.3">
      <c r="A80" s="113" t="str">
        <f>+IF(PROVEEDORES[[#This Row],[FECHA DE PAGO]]=PROVEEDORES[[#This Row],[FECHA DE FACTURACIÓN]],"DE CONTADO","CRÉDITO")</f>
        <v>CRÉDITO</v>
      </c>
      <c r="B80" s="51" t="b">
        <f>+IF((PROVEEDORES[[#This Row],[FECHA DE PAGO]]-PROVEEDORES[[#This Row],[FECHA DE FACTURACIÓN]])&gt;PROVEEDORES[[#This Row],[PLAZO Días]],"PAGO VENCIDO")</f>
        <v>0</v>
      </c>
      <c r="C80" s="25">
        <f>+VLOOKUP(PROVEEDORES[[#This Row],[PROVEEDOR]],TERCEROS_INFO[#All],2,FALSE)</f>
        <v>30</v>
      </c>
      <c r="D80" s="30">
        <f>+SUMIFS(PROVEEDORES[Total],PROVEEDORES[PROVEEDOR],PROVEEDORES[[#This Row],[PROVEEDOR]],PROVEEDORES[FECHA DE PAGO],"")</f>
        <v>0</v>
      </c>
      <c r="E80" s="30"/>
      <c r="F80" s="73" t="str">
        <f>+VLOOKUP(PROVEEDORES[[#This Row],[PROVEEDOR]],TERCEROS_INFO[[PROVEEDOR]:[CORREO]],5,FALSE)</f>
        <v>CARLOSARCILAMENSAJERIA@gmail.com;girlesa.ruiz@servipilas.com;joriescobar64@gmail.com</v>
      </c>
      <c r="G80" s="111">
        <v>44210</v>
      </c>
      <c r="H80" s="31" t="s">
        <v>1046</v>
      </c>
      <c r="I80" s="111">
        <v>44209</v>
      </c>
      <c r="J80" s="48"/>
      <c r="K80" s="26">
        <v>241000</v>
      </c>
      <c r="L80" s="26"/>
      <c r="M80" s="27">
        <v>0</v>
      </c>
      <c r="N80" s="28"/>
      <c r="O80" s="27">
        <v>0</v>
      </c>
      <c r="P80" s="28">
        <v>0</v>
      </c>
      <c r="Q80" s="27">
        <v>0</v>
      </c>
      <c r="R80" s="26">
        <v>241000</v>
      </c>
      <c r="S80" s="115">
        <f ca="1">IF(PROVEEDORES[[#This Row],[FECHA DE PAGO]]=0,TODAY()-PROVEEDORES[[#This Row],[FECHA DE FACTURACIÓN]]-PROVEEDORES[[#This Row],[PLAZO Días]],0)</f>
        <v>0</v>
      </c>
      <c r="T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" spans="1:20" ht="21.9" customHeight="1" x14ac:dyDescent="0.3">
      <c r="A81" s="113" t="str">
        <f>+IF(PROVEEDORES[[#This Row],[FECHA DE PAGO]]=PROVEEDORES[[#This Row],[FECHA DE FACTURACIÓN]],"DE CONTADO","CRÉDITO")</f>
        <v>CRÉDITO</v>
      </c>
      <c r="B81" s="51" t="str">
        <f>+IF((PROVEEDORES[[#This Row],[FECHA DE PAGO]]-PROVEEDORES[[#This Row],[FECHA DE FACTURACIÓN]])&gt;PROVEEDORES[[#This Row],[PLAZO Días]],"PAGO VENCIDO")</f>
        <v>PAGO VENCIDO</v>
      </c>
      <c r="C81" s="25">
        <f>+VLOOKUP(PROVEEDORES[[#This Row],[PROVEEDOR]],TERCEROS_INFO[#All],2,FALSE)</f>
        <v>45</v>
      </c>
      <c r="D81" s="30">
        <f>+SUMIFS(PROVEEDORES[Total],PROVEEDORES[PROVEEDOR],PROVEEDORES[[#This Row],[PROVEEDOR]],PROVEEDORES[FECHA DE PAGO],"")</f>
        <v>1070024.2</v>
      </c>
      <c r="E81" s="30"/>
      <c r="F81" s="73" t="str">
        <f>+VLOOKUP(PROVEEDORES[[#This Row],[PROVEEDOR]],TERCEROS_INFO[[PROVEEDOR]:[CORREO]],5,FALSE)</f>
        <v>libardopineda@tronex.com;girlesa.ruiz@servipilas.com;joriescobar64@gmail.com</v>
      </c>
      <c r="G81" s="111">
        <v>44257</v>
      </c>
      <c r="H81" s="31" t="s">
        <v>10</v>
      </c>
      <c r="I81" s="111">
        <v>44209</v>
      </c>
      <c r="J81" s="48" t="s">
        <v>106</v>
      </c>
      <c r="K81" s="26">
        <v>938000</v>
      </c>
      <c r="L81" s="26"/>
      <c r="M81" s="27">
        <v>178220</v>
      </c>
      <c r="N81" s="28"/>
      <c r="O81" s="27">
        <v>0</v>
      </c>
      <c r="P81" s="28">
        <v>0</v>
      </c>
      <c r="Q81" s="27">
        <v>0</v>
      </c>
      <c r="R81" s="26">
        <v>1116220</v>
      </c>
      <c r="S81" s="115">
        <f ca="1">IF(PROVEEDORES[[#This Row],[FECHA DE PAGO]]=0,TODAY()-PROVEEDORES[[#This Row],[FECHA DE FACTURACIÓN]]-PROVEEDORES[[#This Row],[PLAZO Días]],0)</f>
        <v>0</v>
      </c>
      <c r="T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" spans="1:20" ht="21.9" customHeight="1" x14ac:dyDescent="0.3">
      <c r="A82" s="113" t="str">
        <f>+IF(PROVEEDORES[[#This Row],[FECHA DE PAGO]]=PROVEEDORES[[#This Row],[FECHA DE FACTURACIÓN]],"DE CONTADO","CRÉDITO")</f>
        <v>CRÉDITO</v>
      </c>
      <c r="B82" s="51" t="str">
        <f>+IF((PROVEEDORES[[#This Row],[FECHA DE PAGO]]-PROVEEDORES[[#This Row],[FECHA DE FACTURACIÓN]])&gt;PROVEEDORES[[#This Row],[PLAZO Días]],"PAGO VENCIDO")</f>
        <v>PAGO VENCIDO</v>
      </c>
      <c r="C82" s="25">
        <f>+VLOOKUP(PROVEEDORES[[#This Row],[PROVEEDOR]],TERCEROS_INFO[#All],2,FALSE)</f>
        <v>30</v>
      </c>
      <c r="D82" s="30">
        <f>+SUMIFS(PROVEEDORES[Total],PROVEEDORES[PROVEEDOR],PROVEEDORES[[#This Row],[PROVEEDOR]],PROVEEDORES[FECHA DE PAGO],"")</f>
        <v>10764600</v>
      </c>
      <c r="E82" s="30"/>
      <c r="F82" s="73" t="str">
        <f>+VLOOKUP(PROVEEDORES[[#This Row],[PROVEEDOR]],TERCEROS_INFO[[PROVEEDOR]:[CORREO]],5,FALSE)</f>
        <v>apresupuesto@widexcolombia.com;girlesa.ruiz@servipilas.com;joriescobar64@gmail.com</v>
      </c>
      <c r="G82" s="111">
        <v>44257</v>
      </c>
      <c r="H82" s="31" t="s">
        <v>11</v>
      </c>
      <c r="I82" s="111">
        <v>44209</v>
      </c>
      <c r="J82" s="48" t="s">
        <v>103</v>
      </c>
      <c r="K82" s="26">
        <v>3300000</v>
      </c>
      <c r="L82" s="26"/>
      <c r="M82" s="27">
        <v>627000</v>
      </c>
      <c r="N82" s="28"/>
      <c r="O82" s="27">
        <v>0</v>
      </c>
      <c r="P82" s="28">
        <v>2.5000000000000001E-2</v>
      </c>
      <c r="Q82" s="27">
        <v>82500</v>
      </c>
      <c r="R82" s="26">
        <v>3844500</v>
      </c>
      <c r="S82" s="115">
        <f ca="1">IF(PROVEEDORES[[#This Row],[FECHA DE PAGO]]=0,TODAY()-PROVEEDORES[[#This Row],[FECHA DE FACTURACIÓN]]-PROVEEDORES[[#This Row],[PLAZO Días]],0)</f>
        <v>0</v>
      </c>
      <c r="T8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" spans="1:20" ht="21.9" customHeight="1" x14ac:dyDescent="0.3">
      <c r="A83" s="113" t="str">
        <f>+IF(PROVEEDORES[[#This Row],[FECHA DE PAGO]]=PROVEEDORES[[#This Row],[FECHA DE FACTURACIÓN]],"DE CONTADO","CRÉDITO")</f>
        <v>CRÉDITO</v>
      </c>
      <c r="B83" s="51" t="str">
        <f>+IF((PROVEEDORES[[#This Row],[FECHA DE PAGO]]-PROVEEDORES[[#This Row],[FECHA DE FACTURACIÓN]])&gt;PROVEEDORES[[#This Row],[PLAZO Días]],"PAGO VENCIDO")</f>
        <v>PAGO VENCIDO</v>
      </c>
      <c r="C83" s="25">
        <f>+VLOOKUP(PROVEEDORES[[#This Row],[PROVEEDOR]],TERCEROS_INFO[#All],2,FALSE)</f>
        <v>30</v>
      </c>
      <c r="D83" s="30">
        <f>+SUMIFS(PROVEEDORES[Total],PROVEEDORES[PROVEEDOR],PROVEEDORES[[#This Row],[PROVEEDOR]],PROVEEDORES[FECHA DE PAGO],"")</f>
        <v>3750700</v>
      </c>
      <c r="E83" s="30"/>
      <c r="F83" s="73" t="str">
        <f>+VLOOKUP(PROVEEDORES[[#This Row],[PROVEEDOR]],TERCEROS_INFO[[PROVEEDOR]:[CORREO]],5,FALSE)</f>
        <v/>
      </c>
      <c r="G83" s="111">
        <v>44264</v>
      </c>
      <c r="H83" s="31" t="s">
        <v>996</v>
      </c>
      <c r="I83" s="111">
        <v>44210</v>
      </c>
      <c r="J83" s="48" t="s">
        <v>675</v>
      </c>
      <c r="K83" s="26">
        <v>534000</v>
      </c>
      <c r="L83" s="26"/>
      <c r="M83" s="27">
        <v>0</v>
      </c>
      <c r="N83" s="28"/>
      <c r="O83" s="27">
        <v>0</v>
      </c>
      <c r="P83" s="28">
        <v>0</v>
      </c>
      <c r="Q83" s="27">
        <v>0</v>
      </c>
      <c r="R83" s="26">
        <v>534000</v>
      </c>
      <c r="S83" s="115">
        <f ca="1">IF(PROVEEDORES[[#This Row],[FECHA DE PAGO]]=0,TODAY()-PROVEEDORES[[#This Row],[FECHA DE FACTURACIÓN]]-PROVEEDORES[[#This Row],[PLAZO Días]],0)</f>
        <v>0</v>
      </c>
      <c r="T8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" spans="1:20" ht="21.9" customHeight="1" x14ac:dyDescent="0.3">
      <c r="A84" s="113" t="str">
        <f>+IF(PROVEEDORES[[#This Row],[FECHA DE PAGO]]=PROVEEDORES[[#This Row],[FECHA DE FACTURACIÓN]],"DE CONTADO","CRÉDITO")</f>
        <v>CRÉDITO</v>
      </c>
      <c r="B84" s="51" t="str">
        <f>+IF((PROVEEDORES[[#This Row],[FECHA DE PAGO]]-PROVEEDORES[[#This Row],[FECHA DE FACTURACIÓN]])&gt;PROVEEDORES[[#This Row],[PLAZO Días]],"PAGO VENCIDO")</f>
        <v>PAGO VENCIDO</v>
      </c>
      <c r="C84" s="25">
        <f>+VLOOKUP(PROVEEDORES[[#This Row],[PROVEEDOR]],TERCEROS_INFO[#All],2,FALSE)</f>
        <v>30</v>
      </c>
      <c r="D84" s="30">
        <f>+SUMIFS(PROVEEDORES[Total],PROVEEDORES[PROVEEDOR],PROVEEDORES[[#This Row],[PROVEEDOR]],PROVEEDORES[FECHA DE PAGO],"")</f>
        <v>1645000</v>
      </c>
      <c r="E84" s="30"/>
      <c r="F84" s="73" t="str">
        <f>+VLOOKUP(PROVEEDORES[[#This Row],[PROVEEDOR]],TERCEROS_INFO[[PROVEEDOR]:[CORREO]],5,FALSE)</f>
        <v/>
      </c>
      <c r="G84" s="111">
        <v>44264</v>
      </c>
      <c r="H84" s="31" t="s">
        <v>1070</v>
      </c>
      <c r="I84" s="111">
        <v>44210</v>
      </c>
      <c r="J84" s="48">
        <v>757</v>
      </c>
      <c r="K84" s="26">
        <v>990500</v>
      </c>
      <c r="L84" s="26"/>
      <c r="M84" s="27">
        <v>0</v>
      </c>
      <c r="N84" s="28"/>
      <c r="O84" s="27">
        <v>0</v>
      </c>
      <c r="P84" s="28">
        <v>0</v>
      </c>
      <c r="Q84" s="27">
        <v>0</v>
      </c>
      <c r="R84" s="26">
        <v>990500</v>
      </c>
      <c r="S84" s="115">
        <f ca="1">IF(PROVEEDORES[[#This Row],[FECHA DE PAGO]]=0,TODAY()-PROVEEDORES[[#This Row],[FECHA DE FACTURACIÓN]]-PROVEEDORES[[#This Row],[PLAZO Días]],0)</f>
        <v>0</v>
      </c>
      <c r="T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" spans="1:20" ht="21.9" customHeight="1" x14ac:dyDescent="0.3">
      <c r="A85" s="113" t="str">
        <f>+IF(PROVEEDORES[[#This Row],[FECHA DE PAGO]]=PROVEEDORES[[#This Row],[FECHA DE FACTURACIÓN]],"DE CONTADO","CRÉDITO")</f>
        <v>CRÉDITO</v>
      </c>
      <c r="B85" s="51" t="str">
        <f>+IF((PROVEEDORES[[#This Row],[FECHA DE PAGO]]-PROVEEDORES[[#This Row],[FECHA DE FACTURACIÓN]])&gt;PROVEEDORES[[#This Row],[PLAZO Días]],"PAGO VENCIDO")</f>
        <v>PAGO VENCIDO</v>
      </c>
      <c r="C85" s="25">
        <f>+VLOOKUP(PROVEEDORES[[#This Row],[PROVEEDOR]],TERCEROS_INFO[#All],2,FALSE)</f>
        <v>45</v>
      </c>
      <c r="D85" s="30">
        <f>+SUMIFS(PROVEEDORES[Total],PROVEEDORES[PROVEEDOR],PROVEEDORES[[#This Row],[PROVEEDOR]],PROVEEDORES[FECHA DE PAGO],"")</f>
        <v>17760678.600000001</v>
      </c>
      <c r="E85" s="30"/>
      <c r="F85" s="73" t="str">
        <f>+VLOOKUP(PROVEEDORES[[#This Row],[PROVEEDOR]],TERCEROS_INFO[[PROVEEDOR]:[CORREO]],5,FALSE)</f>
        <v>zully.florez@powest.com;girlesa.ruiz@servipilas.com;joriescobar64@gmail.com</v>
      </c>
      <c r="G85" s="111">
        <v>44264</v>
      </c>
      <c r="H85" s="31" t="s">
        <v>19</v>
      </c>
      <c r="I85" s="111">
        <v>44211</v>
      </c>
      <c r="J85" s="48" t="s">
        <v>240</v>
      </c>
      <c r="K85" s="26">
        <v>23000</v>
      </c>
      <c r="L85" s="26"/>
      <c r="M85" s="27">
        <v>4370</v>
      </c>
      <c r="N85" s="28"/>
      <c r="O85" s="27">
        <v>0</v>
      </c>
      <c r="P85" s="28">
        <v>0</v>
      </c>
      <c r="Q85" s="27">
        <v>0</v>
      </c>
      <c r="R85" s="26">
        <v>27370</v>
      </c>
      <c r="S85" s="115">
        <f ca="1">IF(PROVEEDORES[[#This Row],[FECHA DE PAGO]]=0,TODAY()-PROVEEDORES[[#This Row],[FECHA DE FACTURACIÓN]]-PROVEEDORES[[#This Row],[PLAZO Días]],0)</f>
        <v>0</v>
      </c>
      <c r="T8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" spans="1:20" ht="21.9" customHeight="1" x14ac:dyDescent="0.3">
      <c r="A86" s="113" t="str">
        <f>+IF(PROVEEDORES[[#This Row],[FECHA DE PAGO]]=PROVEEDORES[[#This Row],[FECHA DE FACTURACIÓN]],"DE CONTADO","CRÉDITO")</f>
        <v>CRÉDITO</v>
      </c>
      <c r="B86" s="51" t="str">
        <f>+IF((PROVEEDORES[[#This Row],[FECHA DE PAGO]]-PROVEEDORES[[#This Row],[FECHA DE FACTURACIÓN]])&gt;PROVEEDORES[[#This Row],[PLAZO Días]],"PAGO VENCIDO")</f>
        <v>PAGO VENCIDO</v>
      </c>
      <c r="C86" s="25">
        <f>+VLOOKUP(PROVEEDORES[[#This Row],[PROVEEDOR]],TERCEROS_INFO[#All],2,FALSE)</f>
        <v>30</v>
      </c>
      <c r="D86" s="30">
        <f>+SUMIFS(PROVEEDORES[Total],PROVEEDORES[PROVEEDOR],PROVEEDORES[[#This Row],[PROVEEDOR]],PROVEEDORES[FECHA DE PAGO],"")</f>
        <v>2324514.0150000001</v>
      </c>
      <c r="E86" s="30"/>
      <c r="F86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86" s="111">
        <v>44271</v>
      </c>
      <c r="H86" s="31" t="s">
        <v>24</v>
      </c>
      <c r="I86" s="111">
        <v>44211</v>
      </c>
      <c r="J86" s="48" t="s">
        <v>140</v>
      </c>
      <c r="K86" s="26">
        <v>555000</v>
      </c>
      <c r="L86" s="26"/>
      <c r="M86" s="27">
        <v>105450</v>
      </c>
      <c r="N86" s="28"/>
      <c r="O86" s="27">
        <v>0</v>
      </c>
      <c r="P86" s="28">
        <v>0</v>
      </c>
      <c r="Q86" s="27">
        <v>0</v>
      </c>
      <c r="R86" s="26">
        <v>660450</v>
      </c>
      <c r="S86" s="115">
        <f ca="1">IF(PROVEEDORES[[#This Row],[FECHA DE PAGO]]=0,TODAY()-PROVEEDORES[[#This Row],[FECHA DE FACTURACIÓN]]-PROVEEDORES[[#This Row],[PLAZO Días]],0)</f>
        <v>0</v>
      </c>
      <c r="T8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" spans="1:20" ht="21.9" customHeight="1" x14ac:dyDescent="0.3">
      <c r="A87" s="113" t="str">
        <f>+IF(PROVEEDORES[[#This Row],[FECHA DE PAGO]]=PROVEEDORES[[#This Row],[FECHA DE FACTURACIÓN]],"DE CONTADO","CRÉDITO")</f>
        <v>CRÉDITO</v>
      </c>
      <c r="B87" s="51" t="str">
        <f>+IF((PROVEEDORES[[#This Row],[FECHA DE PAGO]]-PROVEEDORES[[#This Row],[FECHA DE FACTURACIÓN]])&gt;PROVEEDORES[[#This Row],[PLAZO Días]],"PAGO VENCIDO")</f>
        <v>PAGO VENCIDO</v>
      </c>
      <c r="C87" s="25">
        <f>+VLOOKUP(PROVEEDORES[[#This Row],[PROVEEDOR]],TERCEROS_INFO[#All],2,FALSE)</f>
        <v>30</v>
      </c>
      <c r="D87" s="30">
        <f>+SUMIFS(PROVEEDORES[Total],PROVEEDORES[PROVEEDOR],PROVEEDORES[[#This Row],[PROVEEDOR]],PROVEEDORES[FECHA DE PAGO],"")</f>
        <v>6482443.1751999995</v>
      </c>
      <c r="E87" s="30"/>
      <c r="F87" s="73" t="str">
        <f>+VLOOKUP(PROVEEDORES[[#This Row],[PROVEEDOR]],TERCEROS_INFO[[PROVEEDOR]:[CORREO]],5,FALSE)</f>
        <v>angela.navas@hyrdistribuciones.com;girlesa.ruiz@servipilas.com;joriescobar64@gmail.com</v>
      </c>
      <c r="G87" s="111">
        <v>44257</v>
      </c>
      <c r="H87" s="31" t="s">
        <v>18</v>
      </c>
      <c r="I87" s="111">
        <v>44213</v>
      </c>
      <c r="J87" s="48">
        <v>1033457</v>
      </c>
      <c r="K87" s="26">
        <v>3519586.8</v>
      </c>
      <c r="L87" s="26"/>
      <c r="M87" s="27">
        <v>668721.49199999997</v>
      </c>
      <c r="N87" s="28"/>
      <c r="O87" s="27">
        <v>0</v>
      </c>
      <c r="P87" s="28">
        <v>2.5000000000000001E-2</v>
      </c>
      <c r="Q87" s="27">
        <v>87989.67</v>
      </c>
      <c r="R87" s="26">
        <v>4100318.622</v>
      </c>
      <c r="S87" s="115">
        <f ca="1">IF(PROVEEDORES[[#This Row],[FECHA DE PAGO]]=0,TODAY()-PROVEEDORES[[#This Row],[FECHA DE FACTURACIÓN]]-PROVEEDORES[[#This Row],[PLAZO Días]],0)</f>
        <v>0</v>
      </c>
      <c r="T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" spans="1:20" ht="21.9" customHeight="1" x14ac:dyDescent="0.3">
      <c r="A88" s="113" t="str">
        <f>+IF(PROVEEDORES[[#This Row],[FECHA DE PAGO]]=PROVEEDORES[[#This Row],[FECHA DE FACTURACIÓN]],"DE CONTADO","CRÉDITO")</f>
        <v>CRÉDITO</v>
      </c>
      <c r="B88" s="51" t="str">
        <f>+IF((PROVEEDORES[[#This Row],[FECHA DE PAGO]]-PROVEEDORES[[#This Row],[FECHA DE FACTURACIÓN]])&gt;PROVEEDORES[[#This Row],[PLAZO Días]],"PAGO VENCIDO")</f>
        <v>PAGO VENCIDO</v>
      </c>
      <c r="C88" s="25">
        <f>+VLOOKUP(PROVEEDORES[[#This Row],[PROVEEDOR]],TERCEROS_INFO[#All],2,FALSE)</f>
        <v>30</v>
      </c>
      <c r="D88" s="30">
        <f>+SUMIFS(PROVEEDORES[Total],PROVEEDORES[PROVEEDOR],PROVEEDORES[[#This Row],[PROVEEDOR]],PROVEEDORES[FECHA DE PAGO],"")</f>
        <v>452687.9</v>
      </c>
      <c r="E88" s="30"/>
      <c r="F88" s="73" t="str">
        <f>+VLOOKUP(PROVEEDORES[[#This Row],[PROVEEDOR]],TERCEROS_INFO[[PROVEEDOR]:[CORREO]],5,FALSE)</f>
        <v>soluenergiacentro@une.net.co;girlesa.ruiz@servipilas.com;joriescobar64@gmail.com</v>
      </c>
      <c r="G88" s="111">
        <v>44258</v>
      </c>
      <c r="H88" s="31" t="s">
        <v>39</v>
      </c>
      <c r="I88" s="111">
        <v>44214</v>
      </c>
      <c r="J88" s="48">
        <v>216</v>
      </c>
      <c r="K88" s="26">
        <v>262800</v>
      </c>
      <c r="L88" s="26"/>
      <c r="M88" s="27">
        <v>49932</v>
      </c>
      <c r="N88" s="28"/>
      <c r="O88" s="27">
        <v>0</v>
      </c>
      <c r="P88" s="28">
        <v>0</v>
      </c>
      <c r="Q88" s="27">
        <v>0</v>
      </c>
      <c r="R88" s="26">
        <v>312732</v>
      </c>
      <c r="S88" s="115">
        <f ca="1">IF(PROVEEDORES[[#This Row],[FECHA DE PAGO]]=0,TODAY()-PROVEEDORES[[#This Row],[FECHA DE FACTURACIÓN]]-PROVEEDORES[[#This Row],[PLAZO Días]],0)</f>
        <v>0</v>
      </c>
      <c r="T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" spans="1:20" ht="21.9" customHeight="1" x14ac:dyDescent="0.3">
      <c r="A89" s="113" t="str">
        <f>+IF(PROVEEDORES[[#This Row],[FECHA DE PAGO]]=PROVEEDORES[[#This Row],[FECHA DE FACTURACIÓN]],"DE CONTADO","CRÉDITO")</f>
        <v>CRÉDITO</v>
      </c>
      <c r="B89" s="51" t="str">
        <f>+IF((PROVEEDORES[[#This Row],[FECHA DE PAGO]]-PROVEEDORES[[#This Row],[FECHA DE FACTURACIÓN]])&gt;PROVEEDORES[[#This Row],[PLAZO Días]],"PAGO VENCIDO")</f>
        <v>PAGO VENCIDO</v>
      </c>
      <c r="C89" s="25">
        <f>+VLOOKUP(PROVEEDORES[[#This Row],[PROVEEDOR]],TERCEROS_INFO[#All],2,FALSE)</f>
        <v>45</v>
      </c>
      <c r="D89" s="30">
        <f>+SUMIFS(PROVEEDORES[Total],PROVEEDORES[PROVEEDOR],PROVEEDORES[[#This Row],[PROVEEDOR]],PROVEEDORES[FECHA DE PAGO],"")</f>
        <v>17760678.600000001</v>
      </c>
      <c r="E89" s="30"/>
      <c r="F89" s="73" t="str">
        <f>+VLOOKUP(PROVEEDORES[[#This Row],[PROVEEDOR]],TERCEROS_INFO[[PROVEEDOR]:[CORREO]],5,FALSE)</f>
        <v>zully.florez@powest.com;girlesa.ruiz@servipilas.com;joriescobar64@gmail.com</v>
      </c>
      <c r="G89" s="111">
        <v>44264</v>
      </c>
      <c r="H89" s="31" t="s">
        <v>19</v>
      </c>
      <c r="I89" s="111">
        <v>44214</v>
      </c>
      <c r="J89" s="48" t="s">
        <v>141</v>
      </c>
      <c r="K89" s="26">
        <v>595470</v>
      </c>
      <c r="L89" s="26"/>
      <c r="M89" s="27">
        <v>113139.3</v>
      </c>
      <c r="N89" s="28"/>
      <c r="O89" s="27">
        <v>0</v>
      </c>
      <c r="P89" s="28">
        <v>0</v>
      </c>
      <c r="Q89" s="27">
        <v>0</v>
      </c>
      <c r="R89" s="26">
        <v>708609.3</v>
      </c>
      <c r="S89" s="115">
        <f ca="1">IF(PROVEEDORES[[#This Row],[FECHA DE PAGO]]=0,TODAY()-PROVEEDORES[[#This Row],[FECHA DE FACTURACIÓN]]-PROVEEDORES[[#This Row],[PLAZO Días]],0)</f>
        <v>0</v>
      </c>
      <c r="T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" spans="1:20" ht="21.9" customHeight="1" x14ac:dyDescent="0.3">
      <c r="A90" s="113" t="str">
        <f>+IF(PROVEEDORES[[#This Row],[FECHA DE PAGO]]=PROVEEDORES[[#This Row],[FECHA DE FACTURACIÓN]],"DE CONTADO","CRÉDITO")</f>
        <v>CRÉDITO</v>
      </c>
      <c r="B90" s="51" t="b">
        <f>+IF((PROVEEDORES[[#This Row],[FECHA DE PAGO]]-PROVEEDORES[[#This Row],[FECHA DE FACTURACIÓN]])&gt;PROVEEDORES[[#This Row],[PLAZO Días]],"PAGO VENCIDO")</f>
        <v>0</v>
      </c>
      <c r="C90" s="25">
        <f>+VLOOKUP(PROVEEDORES[[#This Row],[PROVEEDOR]],TERCEROS_INFO[#All],2,FALSE)</f>
        <v>45</v>
      </c>
      <c r="D90" s="30">
        <f>+SUMIFS(PROVEEDORES[Total],PROVEEDORES[PROVEEDOR],PROVEEDORES[[#This Row],[PROVEEDOR]],PROVEEDORES[FECHA DE PAGO],"")</f>
        <v>17760678.600000001</v>
      </c>
      <c r="E90" s="30"/>
      <c r="F90" s="73" t="str">
        <f>+VLOOKUP(PROVEEDORES[[#This Row],[PROVEEDOR]],TERCEROS_INFO[[PROVEEDOR]:[CORREO]],5,FALSE)</f>
        <v>zully.florez@powest.com;girlesa.ruiz@servipilas.com;joriescobar64@gmail.com</v>
      </c>
      <c r="G90" s="111">
        <v>44243</v>
      </c>
      <c r="H90" s="31" t="s">
        <v>19</v>
      </c>
      <c r="I90" s="111">
        <v>44214</v>
      </c>
      <c r="J90" s="48" t="s">
        <v>142</v>
      </c>
      <c r="K90" s="26">
        <v>1778130</v>
      </c>
      <c r="L90" s="26"/>
      <c r="M90" s="27">
        <v>337844.7</v>
      </c>
      <c r="N90" s="28"/>
      <c r="O90" s="27">
        <v>0</v>
      </c>
      <c r="P90" s="28">
        <v>0</v>
      </c>
      <c r="Q90" s="27">
        <v>0</v>
      </c>
      <c r="R90" s="26">
        <v>2115974.7000000002</v>
      </c>
      <c r="S90" s="115">
        <f ca="1">IF(PROVEEDORES[[#This Row],[FECHA DE PAGO]]=0,TODAY()-PROVEEDORES[[#This Row],[FECHA DE FACTURACIÓN]]-PROVEEDORES[[#This Row],[PLAZO Días]],0)</f>
        <v>0</v>
      </c>
      <c r="T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" spans="1:20" ht="21.9" customHeight="1" x14ac:dyDescent="0.3">
      <c r="A91" s="113" t="str">
        <f>+IF(PROVEEDORES[[#This Row],[FECHA DE PAGO]]=PROVEEDORES[[#This Row],[FECHA DE FACTURACIÓN]],"DE CONTADO","CRÉDITO")</f>
        <v>DE CONTADO</v>
      </c>
      <c r="B91" s="51" t="b">
        <f>+IF((PROVEEDORES[[#This Row],[FECHA DE PAGO]]-PROVEEDORES[[#This Row],[FECHA DE FACTURACIÓN]])&gt;PROVEEDORES[[#This Row],[PLAZO Días]],"PAGO VENCIDO")</f>
        <v>0</v>
      </c>
      <c r="C91" s="25">
        <f>+VLOOKUP(PROVEEDORES[[#This Row],[PROVEEDOR]],TERCEROS_INFO[#All],2,FALSE)</f>
        <v>30</v>
      </c>
      <c r="D91" s="30">
        <f>+SUMIFS(PROVEEDORES[Total],PROVEEDORES[PROVEEDOR],PROVEEDORES[[#This Row],[PROVEEDOR]],PROVEEDORES[FECHA DE PAGO],"")</f>
        <v>0</v>
      </c>
      <c r="E91" s="30"/>
      <c r="F91" s="73" t="str">
        <f>+VLOOKUP(PROVEEDORES[[#This Row],[PROVEEDOR]],TERCEROS_INFO[[PROVEEDOR]:[CORREO]],5,FALSE)</f>
        <v/>
      </c>
      <c r="G91" s="111">
        <v>44215</v>
      </c>
      <c r="H91" s="31" t="s">
        <v>1037</v>
      </c>
      <c r="I91" s="111">
        <v>44215</v>
      </c>
      <c r="J91" s="48">
        <v>1408</v>
      </c>
      <c r="K91" s="26">
        <v>300000</v>
      </c>
      <c r="L91" s="26"/>
      <c r="M91" s="27">
        <v>0</v>
      </c>
      <c r="N91" s="28"/>
      <c r="O91" s="27">
        <v>0</v>
      </c>
      <c r="P91" s="28">
        <v>0</v>
      </c>
      <c r="Q91" s="27">
        <v>0</v>
      </c>
      <c r="R91" s="26">
        <v>300000</v>
      </c>
      <c r="S91" s="115">
        <f ca="1">IF(PROVEEDORES[[#This Row],[FECHA DE PAGO]]=0,TODAY()-PROVEEDORES[[#This Row],[FECHA DE FACTURACIÓN]]-PROVEEDORES[[#This Row],[PLAZO Días]],0)</f>
        <v>0</v>
      </c>
      <c r="T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" spans="1:20" ht="21.9" customHeight="1" x14ac:dyDescent="0.3">
      <c r="A92" s="113" t="str">
        <f>+IF(PROVEEDORES[[#This Row],[FECHA DE PAGO]]=PROVEEDORES[[#This Row],[FECHA DE FACTURACIÓN]],"DE CONTADO","CRÉDITO")</f>
        <v>CRÉDITO</v>
      </c>
      <c r="B92" s="51" t="b">
        <f>+IF((PROVEEDORES[[#This Row],[FECHA DE PAGO]]-PROVEEDORES[[#This Row],[FECHA DE FACTURACIÓN]])&gt;PROVEEDORES[[#This Row],[PLAZO Días]],"PAGO VENCIDO")</f>
        <v>0</v>
      </c>
      <c r="C92" s="25">
        <f>+VLOOKUP(PROVEEDORES[[#This Row],[PROVEEDOR]],TERCEROS_INFO[#All],2,FALSE)</f>
        <v>30</v>
      </c>
      <c r="D92" s="30">
        <f>+SUMIFS(PROVEEDORES[Total],PROVEEDORES[PROVEEDOR],PROVEEDORES[[#This Row],[PROVEEDOR]],PROVEEDORES[FECHA DE PAGO],"")</f>
        <v>0</v>
      </c>
      <c r="E92" s="30"/>
      <c r="F92" s="73" t="str">
        <f>+VLOOKUP(PROVEEDORES[[#This Row],[PROVEEDOR]],TERCEROS_INFO[[PROVEEDOR]:[CORREO]],5,FALSE)</f>
        <v>swizzeraux2@gmail.com;girlesa.ruiz@servipilas.com;joriescobar64@gmail.com</v>
      </c>
      <c r="G92" s="111">
        <v>44235</v>
      </c>
      <c r="H92" s="31" t="s">
        <v>1077</v>
      </c>
      <c r="I92" s="111">
        <v>44215</v>
      </c>
      <c r="J92" s="48">
        <v>2576</v>
      </c>
      <c r="K92" s="26">
        <v>2422500</v>
      </c>
      <c r="L92" s="26"/>
      <c r="M92" s="27">
        <v>0</v>
      </c>
      <c r="N92" s="28"/>
      <c r="O92" s="27">
        <v>0</v>
      </c>
      <c r="P92" s="28">
        <v>0</v>
      </c>
      <c r="Q92" s="27">
        <v>0</v>
      </c>
      <c r="R92" s="26">
        <v>2422500</v>
      </c>
      <c r="S92" s="115">
        <f ca="1">IF(PROVEEDORES[[#This Row],[FECHA DE PAGO]]=0,TODAY()-PROVEEDORES[[#This Row],[FECHA DE FACTURACIÓN]]-PROVEEDORES[[#This Row],[PLAZO Días]],0)</f>
        <v>0</v>
      </c>
      <c r="T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" spans="1:20" ht="21.9" customHeight="1" x14ac:dyDescent="0.3">
      <c r="A93" s="113" t="str">
        <f>+IF(PROVEEDORES[[#This Row],[FECHA DE PAGO]]=PROVEEDORES[[#This Row],[FECHA DE FACTURACIÓN]],"DE CONTADO","CRÉDITO")</f>
        <v>CRÉDITO</v>
      </c>
      <c r="B93" s="51" t="str">
        <f>+IF((PROVEEDORES[[#This Row],[FECHA DE PAGO]]-PROVEEDORES[[#This Row],[FECHA DE FACTURACIÓN]])&gt;PROVEEDORES[[#This Row],[PLAZO Días]],"PAGO VENCIDO")</f>
        <v>PAGO VENCIDO</v>
      </c>
      <c r="C93" s="25">
        <f>+VLOOKUP(PROVEEDORES[[#This Row],[PROVEEDOR]],TERCEROS_INFO[#All],2,FALSE)</f>
        <v>30</v>
      </c>
      <c r="D93" s="30">
        <f>+SUMIFS(PROVEEDORES[Total],PROVEEDORES[PROVEEDOR],PROVEEDORES[[#This Row],[PROVEEDOR]],PROVEEDORES[FECHA DE PAGO],"")</f>
        <v>0</v>
      </c>
      <c r="E93" s="30"/>
      <c r="F93" s="73" t="str">
        <f>+VLOOKUP(PROVEEDORES[[#This Row],[PROVEEDOR]],TERCEROS_INFO[[PROVEEDOR]:[CORREO]],5,FALSE)</f>
        <v>vromero@flashinternational.us;girlesa.ruiz@servipilas.com;joriescobar64@gmail.com</v>
      </c>
      <c r="G93" s="111">
        <v>44250</v>
      </c>
      <c r="H93" s="31" t="s">
        <v>136</v>
      </c>
      <c r="I93" s="111">
        <v>44216</v>
      </c>
      <c r="J93" s="48" t="s">
        <v>665</v>
      </c>
      <c r="K93" s="26">
        <v>-62000</v>
      </c>
      <c r="L93" s="26"/>
      <c r="M93" s="27">
        <v>0</v>
      </c>
      <c r="N93" s="28"/>
      <c r="O93" s="27">
        <v>0</v>
      </c>
      <c r="P93" s="28">
        <v>0</v>
      </c>
      <c r="Q93" s="27">
        <v>0</v>
      </c>
      <c r="R93" s="26">
        <v>-62000</v>
      </c>
      <c r="S93" s="115">
        <f ca="1">IF(PROVEEDORES[[#This Row],[FECHA DE PAGO]]=0,TODAY()-PROVEEDORES[[#This Row],[FECHA DE FACTURACIÓN]]-PROVEEDORES[[#This Row],[PLAZO Días]],0)</f>
        <v>0</v>
      </c>
      <c r="T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" spans="1:20" ht="21.9" customHeight="1" x14ac:dyDescent="0.3">
      <c r="A94" s="113" t="str">
        <f>+IF(PROVEEDORES[[#This Row],[FECHA DE PAGO]]=PROVEEDORES[[#This Row],[FECHA DE FACTURACIÓN]],"DE CONTADO","CRÉDITO")</f>
        <v>DE CONTADO</v>
      </c>
      <c r="B94" s="51" t="b">
        <f>+IF((PROVEEDORES[[#This Row],[FECHA DE PAGO]]-PROVEEDORES[[#This Row],[FECHA DE FACTURACIÓN]])&gt;PROVEEDORES[[#This Row],[PLAZO Días]],"PAGO VENCIDO")</f>
        <v>0</v>
      </c>
      <c r="C94" s="25">
        <f>+VLOOKUP(PROVEEDORES[[#This Row],[PROVEEDOR]],TERCEROS_INFO[#All],2,FALSE)</f>
        <v>30</v>
      </c>
      <c r="D94" s="30">
        <f>+SUMIFS(PROVEEDORES[Total],PROVEEDORES[PROVEEDOR],PROVEEDORES[[#This Row],[PROVEEDOR]],PROVEEDORES[FECHA DE PAGO],"")</f>
        <v>0</v>
      </c>
      <c r="E94" s="30"/>
      <c r="F94" s="73" t="str">
        <f>+VLOOKUP(PROVEEDORES[[#This Row],[PROVEEDOR]],TERCEROS_INFO[[PROVEEDOR]:[CORREO]],5,FALSE)</f>
        <v/>
      </c>
      <c r="G94" s="111">
        <v>44216</v>
      </c>
      <c r="H94" s="31" t="s">
        <v>1064</v>
      </c>
      <c r="I94" s="111">
        <v>44216</v>
      </c>
      <c r="J94" s="48">
        <v>1411</v>
      </c>
      <c r="K94" s="26">
        <v>60000</v>
      </c>
      <c r="L94" s="26"/>
      <c r="M94" s="27">
        <v>0</v>
      </c>
      <c r="N94" s="28"/>
      <c r="O94" s="27">
        <v>0</v>
      </c>
      <c r="P94" s="28">
        <v>0</v>
      </c>
      <c r="Q94" s="27">
        <v>0</v>
      </c>
      <c r="R94" s="26">
        <v>60000</v>
      </c>
      <c r="S94" s="115">
        <f ca="1">IF(PROVEEDORES[[#This Row],[FECHA DE PAGO]]=0,TODAY()-PROVEEDORES[[#This Row],[FECHA DE FACTURACIÓN]]-PROVEEDORES[[#This Row],[PLAZO Días]],0)</f>
        <v>0</v>
      </c>
      <c r="T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" spans="1:20" ht="21.9" customHeight="1" x14ac:dyDescent="0.3">
      <c r="A95" s="113" t="str">
        <f>+IF(PROVEEDORES[[#This Row],[FECHA DE PAGO]]=PROVEEDORES[[#This Row],[FECHA DE FACTURACIÓN]],"DE CONTADO","CRÉDITO")</f>
        <v>DE CONTADO</v>
      </c>
      <c r="B95" s="51" t="b">
        <f>+IF((PROVEEDORES[[#This Row],[FECHA DE PAGO]]-PROVEEDORES[[#This Row],[FECHA DE FACTURACIÓN]])&gt;PROVEEDORES[[#This Row],[PLAZO Días]],"PAGO VENCIDO")</f>
        <v>0</v>
      </c>
      <c r="C95" s="25">
        <f>+VLOOKUP(PROVEEDORES[[#This Row],[PROVEEDOR]],TERCEROS_INFO[#All],2,FALSE)</f>
        <v>30</v>
      </c>
      <c r="D95" s="30">
        <f>+SUMIFS(PROVEEDORES[Total],PROVEEDORES[PROVEEDOR],PROVEEDORES[[#This Row],[PROVEEDOR]],PROVEEDORES[FECHA DE PAGO],"")</f>
        <v>0</v>
      </c>
      <c r="E95" s="30"/>
      <c r="F95" s="73" t="str">
        <f>+VLOOKUP(PROVEEDORES[[#This Row],[PROVEEDOR]],TERCEROS_INFO[[PROVEEDOR]:[CORREO]],5,FALSE)</f>
        <v/>
      </c>
      <c r="G95" s="111">
        <v>44216</v>
      </c>
      <c r="H95" s="31" t="s">
        <v>1067</v>
      </c>
      <c r="I95" s="111">
        <v>44216</v>
      </c>
      <c r="J95" s="48">
        <v>1409</v>
      </c>
      <c r="K95" s="26">
        <v>100000</v>
      </c>
      <c r="L95" s="26"/>
      <c r="M95" s="27">
        <v>0</v>
      </c>
      <c r="N95" s="28"/>
      <c r="O95" s="27">
        <v>0</v>
      </c>
      <c r="P95" s="28">
        <v>0</v>
      </c>
      <c r="Q95" s="27">
        <v>0</v>
      </c>
      <c r="R95" s="26">
        <v>100000</v>
      </c>
      <c r="S95" s="115">
        <f ca="1">IF(PROVEEDORES[[#This Row],[FECHA DE PAGO]]=0,TODAY()-PROVEEDORES[[#This Row],[FECHA DE FACTURACIÓN]]-PROVEEDORES[[#This Row],[PLAZO Días]],0)</f>
        <v>0</v>
      </c>
      <c r="T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" spans="1:20" ht="21.9" customHeight="1" x14ac:dyDescent="0.3">
      <c r="A96" s="113" t="str">
        <f>+IF(PROVEEDORES[[#This Row],[FECHA DE PAGO]]=PROVEEDORES[[#This Row],[FECHA DE FACTURACIÓN]],"DE CONTADO","CRÉDITO")</f>
        <v>CRÉDITO</v>
      </c>
      <c r="B96" s="51" t="b">
        <f>+IF((PROVEEDORES[[#This Row],[FECHA DE PAGO]]-PROVEEDORES[[#This Row],[FECHA DE FACTURACIÓN]])&gt;PROVEEDORES[[#This Row],[PLAZO Días]],"PAGO VENCIDO")</f>
        <v>0</v>
      </c>
      <c r="C96" s="25">
        <f>+VLOOKUP(PROVEEDORES[[#This Row],[PROVEEDOR]],TERCEROS_INFO[#All],2,FALSE)</f>
        <v>30</v>
      </c>
      <c r="D96" s="30">
        <f>+SUMIFS(PROVEEDORES[Total],PROVEEDORES[PROVEEDOR],PROVEEDORES[[#This Row],[PROVEEDOR]],PROVEEDORES[FECHA DE PAGO],"")</f>
        <v>0</v>
      </c>
      <c r="E96" s="30"/>
      <c r="F96" s="73" t="str">
        <f>+VLOOKUP(PROVEEDORES[[#This Row],[PROVEEDOR]],TERCEROS_INFO[[PROVEEDOR]:[CORREO]],5,FALSE)</f>
        <v>CARLOSARCILAMENSAJERIA@gmail.com;girlesa.ruiz@servipilas.com;joriescobar64@gmail.com</v>
      </c>
      <c r="G96" s="111">
        <v>44222</v>
      </c>
      <c r="H96" s="31" t="s">
        <v>143</v>
      </c>
      <c r="I96" s="111">
        <v>44216</v>
      </c>
      <c r="J96" s="48">
        <v>57</v>
      </c>
      <c r="K96" s="26">
        <v>133000</v>
      </c>
      <c r="L96" s="26"/>
      <c r="M96" s="27">
        <v>25270</v>
      </c>
      <c r="N96" s="28"/>
      <c r="O96" s="27">
        <v>0</v>
      </c>
      <c r="P96" s="28">
        <v>0</v>
      </c>
      <c r="Q96" s="27">
        <v>0</v>
      </c>
      <c r="R96" s="26">
        <v>158270</v>
      </c>
      <c r="S96" s="115">
        <f ca="1">IF(PROVEEDORES[[#This Row],[FECHA DE PAGO]]=0,TODAY()-PROVEEDORES[[#This Row],[FECHA DE FACTURACIÓN]]-PROVEEDORES[[#This Row],[PLAZO Días]],0)</f>
        <v>0</v>
      </c>
      <c r="T9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" spans="1:20" ht="21.9" customHeight="1" x14ac:dyDescent="0.3">
      <c r="A97" s="113" t="str">
        <f>+IF(PROVEEDORES[[#This Row],[FECHA DE PAGO]]=PROVEEDORES[[#This Row],[FECHA DE FACTURACIÓN]],"DE CONTADO","CRÉDITO")</f>
        <v>CRÉDITO</v>
      </c>
      <c r="B97" s="51" t="b">
        <f>+IF((PROVEEDORES[[#This Row],[FECHA DE PAGO]]-PROVEEDORES[[#This Row],[FECHA DE FACTURACIÓN]])&gt;PROVEEDORES[[#This Row],[PLAZO Días]],"PAGO VENCIDO")</f>
        <v>0</v>
      </c>
      <c r="C97" s="25">
        <f>+VLOOKUP(PROVEEDORES[[#This Row],[PROVEEDOR]],TERCEROS_INFO[#All],2,FALSE)</f>
        <v>30</v>
      </c>
      <c r="D97" s="30">
        <f>+SUMIFS(PROVEEDORES[Total],PROVEEDORES[PROVEEDOR],PROVEEDORES[[#This Row],[PROVEEDOR]],PROVEEDORES[FECHA DE PAGO],"")</f>
        <v>0</v>
      </c>
      <c r="E97" s="30"/>
      <c r="F97" s="73" t="str">
        <f>+VLOOKUP(PROVEEDORES[[#This Row],[PROVEEDOR]],TERCEROS_INFO[[PROVEEDOR]:[CORREO]],5,FALSE)</f>
        <v>CARLOSARCILAMENSAJERIA@gmail.com;girlesa.ruiz@servipilas.com;joriescobar64@gmail.com</v>
      </c>
      <c r="G97" s="111">
        <v>44221</v>
      </c>
      <c r="H97" s="31" t="s">
        <v>1046</v>
      </c>
      <c r="I97" s="111">
        <v>44216</v>
      </c>
      <c r="J97" s="48">
        <v>260</v>
      </c>
      <c r="K97" s="26">
        <v>160000</v>
      </c>
      <c r="L97" s="26"/>
      <c r="M97" s="27">
        <v>0</v>
      </c>
      <c r="N97" s="28"/>
      <c r="O97" s="27">
        <v>0</v>
      </c>
      <c r="P97" s="28">
        <v>0</v>
      </c>
      <c r="Q97" s="27">
        <v>0</v>
      </c>
      <c r="R97" s="26">
        <v>160000</v>
      </c>
      <c r="S97" s="115">
        <f ca="1">IF(PROVEEDORES[[#This Row],[FECHA DE PAGO]]=0,TODAY()-PROVEEDORES[[#This Row],[FECHA DE FACTURACIÓN]]-PROVEEDORES[[#This Row],[PLAZO Días]],0)</f>
        <v>0</v>
      </c>
      <c r="T9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" spans="1:20" ht="21.9" customHeight="1" x14ac:dyDescent="0.3">
      <c r="A98" s="113" t="str">
        <f>+IF(PROVEEDORES[[#This Row],[FECHA DE PAGO]]=PROVEEDORES[[#This Row],[FECHA DE FACTURACIÓN]],"DE CONTADO","CRÉDITO")</f>
        <v>DE CONTADO</v>
      </c>
      <c r="B98" s="51" t="b">
        <f>+IF((PROVEEDORES[[#This Row],[FECHA DE PAGO]]-PROVEEDORES[[#This Row],[FECHA DE FACTURACIÓN]])&gt;PROVEEDORES[[#This Row],[PLAZO Días]],"PAGO VENCIDO")</f>
        <v>0</v>
      </c>
      <c r="C98" s="25">
        <f>+VLOOKUP(PROVEEDORES[[#This Row],[PROVEEDOR]],TERCEROS_INFO[#All],2,FALSE)</f>
        <v>30</v>
      </c>
      <c r="D98" s="30">
        <f>+SUMIFS(PROVEEDORES[Total],PROVEEDORES[PROVEEDOR],PROVEEDORES[[#This Row],[PROVEEDOR]],PROVEEDORES[FECHA DE PAGO],"")</f>
        <v>0</v>
      </c>
      <c r="E98" s="30"/>
      <c r="F98" s="73" t="str">
        <f>+VLOOKUP(PROVEEDORES[[#This Row],[PROVEEDOR]],TERCEROS_INFO[[PROVEEDOR]:[CORREO]],5,FALSE)</f>
        <v/>
      </c>
      <c r="G98" s="111">
        <v>44216</v>
      </c>
      <c r="H98" s="31" t="s">
        <v>1067</v>
      </c>
      <c r="I98" s="111">
        <v>44216</v>
      </c>
      <c r="J98" s="48">
        <v>1410</v>
      </c>
      <c r="K98" s="26">
        <v>192050</v>
      </c>
      <c r="L98" s="26"/>
      <c r="M98" s="27">
        <v>0</v>
      </c>
      <c r="N98" s="28"/>
      <c r="O98" s="27">
        <v>0</v>
      </c>
      <c r="P98" s="28">
        <v>0</v>
      </c>
      <c r="Q98" s="27">
        <v>0</v>
      </c>
      <c r="R98" s="26">
        <v>192050</v>
      </c>
      <c r="S98" s="115">
        <f ca="1">IF(PROVEEDORES[[#This Row],[FECHA DE PAGO]]=0,TODAY()-PROVEEDORES[[#This Row],[FECHA DE FACTURACIÓN]]-PROVEEDORES[[#This Row],[PLAZO Días]],0)</f>
        <v>0</v>
      </c>
      <c r="T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" spans="1:20" ht="21.9" customHeight="1" x14ac:dyDescent="0.3">
      <c r="A99" s="113" t="str">
        <f>+IF(PROVEEDORES[[#This Row],[FECHA DE PAGO]]=PROVEEDORES[[#This Row],[FECHA DE FACTURACIÓN]],"DE CONTADO","CRÉDITO")</f>
        <v>CRÉDITO</v>
      </c>
      <c r="B99" s="51" t="str">
        <f>+IF((PROVEEDORES[[#This Row],[FECHA DE PAGO]]-PROVEEDORES[[#This Row],[FECHA DE FACTURACIÓN]])&gt;PROVEEDORES[[#This Row],[PLAZO Días]],"PAGO VENCIDO")</f>
        <v>PAGO VENCIDO</v>
      </c>
      <c r="C99" s="25">
        <f>+VLOOKUP(PROVEEDORES[[#This Row],[PROVEEDOR]],TERCEROS_INFO[#All],2,FALSE)</f>
        <v>30</v>
      </c>
      <c r="D99" s="30">
        <f>+SUMIFS(PROVEEDORES[Total],PROVEEDORES[PROVEEDOR],PROVEEDORES[[#This Row],[PROVEEDOR]],PROVEEDORES[FECHA DE PAGO],"")</f>
        <v>3400186.8245000001</v>
      </c>
      <c r="E99" s="30"/>
      <c r="F99" s="73" t="str">
        <f>+VLOOKUP(PROVEEDORES[[#This Row],[PROVEEDOR]],TERCEROS_INFO[[PROVEEDOR]:[CORREO]],5,FALSE)</f>
        <v>contabilidad@amgimportadora.com;mcastellanos@amgimportadora.com;girlesa.ruiz@servipilas.com;joriescobar64@gmail.com</v>
      </c>
      <c r="G99" s="111">
        <v>44264</v>
      </c>
      <c r="H99" s="31" t="s">
        <v>20</v>
      </c>
      <c r="I99" s="111">
        <v>44216</v>
      </c>
      <c r="J99" s="48">
        <v>3129</v>
      </c>
      <c r="K99" s="26">
        <v>979579</v>
      </c>
      <c r="L99" s="26"/>
      <c r="M99" s="27">
        <v>186120.01</v>
      </c>
      <c r="N99" s="28"/>
      <c r="O99" s="27">
        <v>0</v>
      </c>
      <c r="P99" s="28">
        <v>0</v>
      </c>
      <c r="Q99" s="27">
        <v>0</v>
      </c>
      <c r="R99" s="26">
        <v>1165699.01</v>
      </c>
      <c r="S99" s="115">
        <f ca="1">IF(PROVEEDORES[[#This Row],[FECHA DE PAGO]]=0,TODAY()-PROVEEDORES[[#This Row],[FECHA DE FACTURACIÓN]]-PROVEEDORES[[#This Row],[PLAZO Días]],0)</f>
        <v>0</v>
      </c>
      <c r="T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" spans="1:20" ht="21.9" customHeight="1" x14ac:dyDescent="0.3">
      <c r="A100" s="113" t="str">
        <f>+IF(PROVEEDORES[[#This Row],[FECHA DE PAGO]]=PROVEEDORES[[#This Row],[FECHA DE FACTURACIÓN]],"DE CONTADO","CRÉDITO")</f>
        <v>CRÉDITO</v>
      </c>
      <c r="B100" s="51" t="b">
        <f>+IF((PROVEEDORES[[#This Row],[FECHA DE PAGO]]-PROVEEDORES[[#This Row],[FECHA DE FACTURACIÓN]])&gt;PROVEEDORES[[#This Row],[PLAZO Días]],"PAGO VENCIDO")</f>
        <v>0</v>
      </c>
      <c r="C100" s="25">
        <f>+VLOOKUP(PROVEEDORES[[#This Row],[PROVEEDOR]],TERCEROS_INFO[#All],2,FALSE)</f>
        <v>30</v>
      </c>
      <c r="D100" s="30">
        <f>+SUMIFS(PROVEEDORES[Total],PROVEEDORES[PROVEEDOR],PROVEEDORES[[#This Row],[PROVEEDOR]],PROVEEDORES[FECHA DE PAGO],"")</f>
        <v>-30345</v>
      </c>
      <c r="E100" s="30"/>
      <c r="F100" s="73" t="str">
        <f>+VLOOKUP(PROVEEDORES[[#This Row],[PROVEEDOR]],TERCEROS_INFO[[PROVEEDOR]:[CORREO]],5,FALSE)</f>
        <v>ventasmegamundo@yahoo.es;girlesa.ruiz@servipilas.com;joriescobar64@gmail.com</v>
      </c>
      <c r="G100" s="111">
        <v>44239</v>
      </c>
      <c r="H100" s="31" t="s">
        <v>1146</v>
      </c>
      <c r="I100" s="111">
        <v>44217</v>
      </c>
      <c r="J100" s="48">
        <v>729</v>
      </c>
      <c r="K100" s="26">
        <v>311764.71000000002</v>
      </c>
      <c r="L100" s="26"/>
      <c r="M100" s="27">
        <v>59235.294900000008</v>
      </c>
      <c r="N100" s="28"/>
      <c r="O100" s="27">
        <v>0</v>
      </c>
      <c r="P100" s="28">
        <v>0</v>
      </c>
      <c r="Q100" s="27">
        <v>0</v>
      </c>
      <c r="R100" s="26">
        <v>371000.00490000006</v>
      </c>
      <c r="S100" s="115">
        <f ca="1">IF(PROVEEDORES[[#This Row],[FECHA DE PAGO]]=0,TODAY()-PROVEEDORES[[#This Row],[FECHA DE FACTURACIÓN]]-PROVEEDORES[[#This Row],[PLAZO Días]],0)</f>
        <v>0</v>
      </c>
      <c r="T10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" spans="1:20" ht="21.9" customHeight="1" x14ac:dyDescent="0.3">
      <c r="A101" s="113" t="str">
        <f>+IF(PROVEEDORES[[#This Row],[FECHA DE PAGO]]=PROVEEDORES[[#This Row],[FECHA DE FACTURACIÓN]],"DE CONTADO","CRÉDITO")</f>
        <v>CRÉDITO</v>
      </c>
      <c r="B101" s="51" t="str">
        <f>+IF((PROVEEDORES[[#This Row],[FECHA DE PAGO]]-PROVEEDORES[[#This Row],[FECHA DE FACTURACIÓN]])&gt;PROVEEDORES[[#This Row],[PLAZO Días]],"PAGO VENCIDO")</f>
        <v>PAGO VENCIDO</v>
      </c>
      <c r="C101" s="25">
        <f>+VLOOKUP(PROVEEDORES[[#This Row],[PROVEEDOR]],TERCEROS_INFO[#All],2,FALSE)</f>
        <v>30</v>
      </c>
      <c r="D101" s="30">
        <f>+SUMIFS(PROVEEDORES[Total],PROVEEDORES[PROVEEDOR],PROVEEDORES[[#This Row],[PROVEEDOR]],PROVEEDORES[FECHA DE PAGO],"")</f>
        <v>0</v>
      </c>
      <c r="E101" s="30"/>
      <c r="F101" s="73" t="str">
        <f>+VLOOKUP(PROVEEDORES[[#This Row],[PROVEEDOR]],TERCEROS_INFO[[PROVEEDOR]:[CORREO]],5,FALSE)</f>
        <v>vromero@flashinternational.us;girlesa.ruiz@servipilas.com;joriescobar64@gmail.com</v>
      </c>
      <c r="G101" s="111">
        <v>44265</v>
      </c>
      <c r="H101" s="31" t="s">
        <v>144</v>
      </c>
      <c r="I101" s="111">
        <v>44217</v>
      </c>
      <c r="J101" s="48">
        <v>9769</v>
      </c>
      <c r="K101" s="26">
        <v>451800</v>
      </c>
      <c r="L101" s="26"/>
      <c r="M101" s="27">
        <v>0</v>
      </c>
      <c r="N101" s="28"/>
      <c r="O101" s="27">
        <v>0</v>
      </c>
      <c r="P101" s="28">
        <v>0</v>
      </c>
      <c r="Q101" s="27">
        <v>0</v>
      </c>
      <c r="R101" s="26">
        <v>451800</v>
      </c>
      <c r="S101" s="115">
        <f ca="1">IF(PROVEEDORES[[#This Row],[FECHA DE PAGO]]=0,TODAY()-PROVEEDORES[[#This Row],[FECHA DE FACTURACIÓN]]-PROVEEDORES[[#This Row],[PLAZO Días]],0)</f>
        <v>0</v>
      </c>
      <c r="T1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" spans="1:20" ht="21.9" customHeight="1" x14ac:dyDescent="0.3">
      <c r="A102" s="113" t="str">
        <f>+IF(PROVEEDORES[[#This Row],[FECHA DE PAGO]]=PROVEEDORES[[#This Row],[FECHA DE FACTURACIÓN]],"DE CONTADO","CRÉDITO")</f>
        <v>CRÉDITO</v>
      </c>
      <c r="B102" s="51" t="str">
        <f>+IF((PROVEEDORES[[#This Row],[FECHA DE PAGO]]-PROVEEDORES[[#This Row],[FECHA DE FACTURACIÓN]])&gt;PROVEEDORES[[#This Row],[PLAZO Días]],"PAGO VENCIDO")</f>
        <v>PAGO VENCIDO</v>
      </c>
      <c r="C102" s="25">
        <f>+VLOOKUP(PROVEEDORES[[#This Row],[PROVEEDOR]],TERCEROS_INFO[#All],2,FALSE)</f>
        <v>30</v>
      </c>
      <c r="D102" s="30">
        <f>+SUMIFS(PROVEEDORES[Total],PROVEEDORES[PROVEEDOR],PROVEEDORES[[#This Row],[PROVEEDOR]],PROVEEDORES[FECHA DE PAGO],"")</f>
        <v>3750700</v>
      </c>
      <c r="E102" s="30"/>
      <c r="F102" s="73" t="str">
        <f>+VLOOKUP(PROVEEDORES[[#This Row],[PROVEEDOR]],TERCEROS_INFO[[PROVEEDOR]:[CORREO]],5,FALSE)</f>
        <v/>
      </c>
      <c r="G102" s="111">
        <v>44264</v>
      </c>
      <c r="H102" s="31" t="s">
        <v>996</v>
      </c>
      <c r="I102" s="111">
        <v>44217</v>
      </c>
      <c r="J102" s="48">
        <v>1416</v>
      </c>
      <c r="K102" s="26">
        <v>1100000</v>
      </c>
      <c r="L102" s="26"/>
      <c r="M102" s="27">
        <v>0</v>
      </c>
      <c r="N102" s="28"/>
      <c r="O102" s="27">
        <v>0</v>
      </c>
      <c r="P102" s="28">
        <v>0</v>
      </c>
      <c r="Q102" s="27">
        <v>0</v>
      </c>
      <c r="R102" s="26">
        <v>1100000</v>
      </c>
      <c r="S102" s="115">
        <f ca="1">IF(PROVEEDORES[[#This Row],[FECHA DE PAGO]]=0,TODAY()-PROVEEDORES[[#This Row],[FECHA DE FACTURACIÓN]]-PROVEEDORES[[#This Row],[PLAZO Días]],0)</f>
        <v>0</v>
      </c>
      <c r="T1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" spans="1:20" ht="21.9" customHeight="1" x14ac:dyDescent="0.3">
      <c r="A103" s="113" t="str">
        <f>+IF(PROVEEDORES[[#This Row],[FECHA DE PAGO]]=PROVEEDORES[[#This Row],[FECHA DE FACTURACIÓN]],"DE CONTADO","CRÉDITO")</f>
        <v>DE CONTADO</v>
      </c>
      <c r="B103" s="51" t="b">
        <f>+IF((PROVEEDORES[[#This Row],[FECHA DE PAGO]]-PROVEEDORES[[#This Row],[FECHA DE FACTURACIÓN]])&gt;PROVEEDORES[[#This Row],[PLAZO Días]],"PAGO VENCIDO")</f>
        <v>0</v>
      </c>
      <c r="C103" s="25">
        <f>+VLOOKUP(PROVEEDORES[[#This Row],[PROVEEDOR]],TERCEROS_INFO[#All],2,FALSE)</f>
        <v>30</v>
      </c>
      <c r="D103" s="30">
        <f>+SUMIFS(PROVEEDORES[Total],PROVEEDORES[PROVEEDOR],PROVEEDORES[[#This Row],[PROVEEDOR]],PROVEEDORES[FECHA DE PAGO],"")</f>
        <v>0</v>
      </c>
      <c r="E103" s="30"/>
      <c r="F103" s="73" t="str">
        <f>+VLOOKUP(PROVEEDORES[[#This Row],[PROVEEDOR]],TERCEROS_INFO[[PROVEEDOR]:[CORREO]],5,FALSE)</f>
        <v/>
      </c>
      <c r="G103" s="111">
        <v>44217</v>
      </c>
      <c r="H103" s="31" t="s">
        <v>1052</v>
      </c>
      <c r="I103" s="111">
        <v>44217</v>
      </c>
      <c r="J103" s="48"/>
      <c r="K103" s="26">
        <v>2000000</v>
      </c>
      <c r="L103" s="26"/>
      <c r="M103" s="27">
        <v>0</v>
      </c>
      <c r="N103" s="28"/>
      <c r="O103" s="27">
        <v>0</v>
      </c>
      <c r="P103" s="28">
        <v>0</v>
      </c>
      <c r="Q103" s="27">
        <v>0</v>
      </c>
      <c r="R103" s="26">
        <v>2000000</v>
      </c>
      <c r="S103" s="115">
        <f ca="1">IF(PROVEEDORES[[#This Row],[FECHA DE PAGO]]=0,TODAY()-PROVEEDORES[[#This Row],[FECHA DE FACTURACIÓN]]-PROVEEDORES[[#This Row],[PLAZO Días]],0)</f>
        <v>0</v>
      </c>
      <c r="T1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" spans="1:20" ht="21.9" customHeight="1" x14ac:dyDescent="0.3">
      <c r="A104" s="113" t="str">
        <f>+IF(PROVEEDORES[[#This Row],[FECHA DE PAGO]]=PROVEEDORES[[#This Row],[FECHA DE FACTURACIÓN]],"DE CONTADO","CRÉDITO")</f>
        <v>CRÉDITO</v>
      </c>
      <c r="B104" s="51" t="str">
        <f>+IF((PROVEEDORES[[#This Row],[FECHA DE PAGO]]-PROVEEDORES[[#This Row],[FECHA DE FACTURACIÓN]])&gt;PROVEEDORES[[#This Row],[PLAZO Días]],"PAGO VENCIDO")</f>
        <v>PAGO VENCIDO</v>
      </c>
      <c r="C104" s="25">
        <f>+VLOOKUP(PROVEEDORES[[#This Row],[PROVEEDOR]],TERCEROS_INFO[#All],2,FALSE)</f>
        <v>30</v>
      </c>
      <c r="D104" s="30">
        <f>+SUMIFS(PROVEEDORES[Total],PROVEEDORES[PROVEEDOR],PROVEEDORES[[#This Row],[PROVEEDOR]],PROVEEDORES[FECHA DE PAGO],"")</f>
        <v>0</v>
      </c>
      <c r="E104" s="30"/>
      <c r="F104" s="73" t="str">
        <f>+VLOOKUP(PROVEEDORES[[#This Row],[PROVEEDOR]],TERCEROS_INFO[[PROVEEDOR]:[CORREO]],5,FALSE)</f>
        <v>electronicascanaresas@gmail.com;girlesa.ruiz@servipilas.com;joriescobar64@gmail.com</v>
      </c>
      <c r="G104" s="111">
        <v>44476</v>
      </c>
      <c r="H104" s="31" t="s">
        <v>184</v>
      </c>
      <c r="I104" s="111">
        <v>44218</v>
      </c>
      <c r="J104" s="48" t="s">
        <v>542</v>
      </c>
      <c r="K104" s="26">
        <v>128000</v>
      </c>
      <c r="L104" s="26"/>
      <c r="M104" s="27">
        <v>24320</v>
      </c>
      <c r="N104" s="28"/>
      <c r="O104" s="27">
        <v>0</v>
      </c>
      <c r="P104" s="28">
        <v>0</v>
      </c>
      <c r="Q104" s="27">
        <v>0</v>
      </c>
      <c r="R104" s="26">
        <v>152320</v>
      </c>
      <c r="S104" s="115">
        <f ca="1">IF(PROVEEDORES[[#This Row],[FECHA DE PAGO]]=0,TODAY()-PROVEEDORES[[#This Row],[FECHA DE FACTURACIÓN]]-PROVEEDORES[[#This Row],[PLAZO Días]],0)</f>
        <v>0</v>
      </c>
      <c r="T1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" spans="1:20" ht="21.9" customHeight="1" x14ac:dyDescent="0.3">
      <c r="A105" s="113" t="str">
        <f>+IF(PROVEEDORES[[#This Row],[FECHA DE PAGO]]=PROVEEDORES[[#This Row],[FECHA DE FACTURACIÓN]],"DE CONTADO","CRÉDITO")</f>
        <v>CRÉDITO</v>
      </c>
      <c r="B105" s="51" t="b">
        <f>+IF((PROVEEDORES[[#This Row],[FECHA DE PAGO]]-PROVEEDORES[[#This Row],[FECHA DE FACTURACIÓN]])&gt;PROVEEDORES[[#This Row],[PLAZO Días]],"PAGO VENCIDO")</f>
        <v>0</v>
      </c>
      <c r="C105" s="25">
        <f>+VLOOKUP(PROVEEDORES[[#This Row],[PROVEEDOR]],TERCEROS_INFO[#All],2,FALSE)</f>
        <v>30</v>
      </c>
      <c r="D105" s="30">
        <f>+SUMIFS(PROVEEDORES[Total],PROVEEDORES[PROVEEDOR],PROVEEDORES[[#This Row],[PROVEEDOR]],PROVEEDORES[FECHA DE PAGO],"")</f>
        <v>0</v>
      </c>
      <c r="E105" s="30"/>
      <c r="F105" s="73" t="str">
        <f>+VLOOKUP(PROVEEDORES[[#This Row],[PROVEEDOR]],TERCEROS_INFO[[PROVEEDOR]:[CORREO]],5,FALSE)</f>
        <v>BRIGHTSIDELED2019@gmail.com;girlesa.ruiz@servipilas.com;joriescobar64@gmail.com</v>
      </c>
      <c r="G105" s="111">
        <v>44235</v>
      </c>
      <c r="H105" s="31" t="s">
        <v>1044</v>
      </c>
      <c r="I105" s="111">
        <v>44218</v>
      </c>
      <c r="J105" s="48">
        <v>3971</v>
      </c>
      <c r="K105" s="26">
        <v>800000</v>
      </c>
      <c r="L105" s="26"/>
      <c r="M105" s="27">
        <v>0</v>
      </c>
      <c r="N105" s="28"/>
      <c r="O105" s="27">
        <v>0</v>
      </c>
      <c r="P105" s="28">
        <v>0</v>
      </c>
      <c r="Q105" s="27">
        <v>0</v>
      </c>
      <c r="R105" s="26">
        <v>800000</v>
      </c>
      <c r="S105" s="115">
        <f ca="1">IF(PROVEEDORES[[#This Row],[FECHA DE PAGO]]=0,TODAY()-PROVEEDORES[[#This Row],[FECHA DE FACTURACIÓN]]-PROVEEDORES[[#This Row],[PLAZO Días]],0)</f>
        <v>0</v>
      </c>
      <c r="T10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" spans="1:20" ht="21.9" customHeight="1" x14ac:dyDescent="0.3">
      <c r="A106" s="113" t="str">
        <f>+IF(PROVEEDORES[[#This Row],[FECHA DE PAGO]]=PROVEEDORES[[#This Row],[FECHA DE FACTURACIÓN]],"DE CONTADO","CRÉDITO")</f>
        <v>CRÉDITO</v>
      </c>
      <c r="B106" s="51" t="str">
        <f>+IF((PROVEEDORES[[#This Row],[FECHA DE PAGO]]-PROVEEDORES[[#This Row],[FECHA DE FACTURACIÓN]])&gt;PROVEEDORES[[#This Row],[PLAZO Días]],"PAGO VENCIDO")</f>
        <v>PAGO VENCIDO</v>
      </c>
      <c r="C106" s="25">
        <f>+VLOOKUP(PROVEEDORES[[#This Row],[PROVEEDOR]],TERCEROS_INFO[#All],2,FALSE)</f>
        <v>30</v>
      </c>
      <c r="D106" s="30">
        <f>+SUMIFS(PROVEEDORES[Total],PROVEEDORES[PROVEEDOR],PROVEEDORES[[#This Row],[PROVEEDOR]],PROVEEDORES[FECHA DE PAGO],"")</f>
        <v>3355018.0749999997</v>
      </c>
      <c r="E106" s="30"/>
      <c r="F106" s="73" t="str">
        <f>+VLOOKUP(PROVEEDORES[[#This Row],[PROVEEDOR]],TERCEROS_INFO[[PROVEEDOR]:[CORREO]],5,FALSE)</f>
        <v>yermingg@hotmail.com;girlesa.ruiz@servipilas.com;joriescobar64@gmail.com</v>
      </c>
      <c r="G106" s="111">
        <v>44348</v>
      </c>
      <c r="H106" s="31" t="s">
        <v>224</v>
      </c>
      <c r="I106" s="111">
        <v>44218</v>
      </c>
      <c r="J106" s="48">
        <v>134</v>
      </c>
      <c r="K106" s="26">
        <v>1112605</v>
      </c>
      <c r="L106" s="26"/>
      <c r="M106" s="27">
        <v>211394.95</v>
      </c>
      <c r="N106" s="28"/>
      <c r="O106" s="27">
        <v>0</v>
      </c>
      <c r="P106" s="28">
        <v>2.5000000000000001E-2</v>
      </c>
      <c r="Q106" s="27">
        <v>27815.125</v>
      </c>
      <c r="R106" s="26">
        <v>1296184.825</v>
      </c>
      <c r="S106" s="115">
        <f ca="1">IF(PROVEEDORES[[#This Row],[FECHA DE PAGO]]=0,TODAY()-PROVEEDORES[[#This Row],[FECHA DE FACTURACIÓN]]-PROVEEDORES[[#This Row],[PLAZO Días]],0)</f>
        <v>0</v>
      </c>
      <c r="T10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" spans="1:20" ht="21.9" customHeight="1" x14ac:dyDescent="0.3">
      <c r="A107" s="113" t="str">
        <f>+IF(PROVEEDORES[[#This Row],[FECHA DE PAGO]]=PROVEEDORES[[#This Row],[FECHA DE FACTURACIÓN]],"DE CONTADO","CRÉDITO")</f>
        <v>CRÉDITO</v>
      </c>
      <c r="B107" s="51" t="b">
        <f>+IF((PROVEEDORES[[#This Row],[FECHA DE PAGO]]-PROVEEDORES[[#This Row],[FECHA DE FACTURACIÓN]])&gt;PROVEEDORES[[#This Row],[PLAZO Días]],"PAGO VENCIDO")</f>
        <v>0</v>
      </c>
      <c r="C107" s="25">
        <f>+VLOOKUP(PROVEEDORES[[#This Row],[PROVEEDOR]],TERCEROS_INFO[#All],2,FALSE)</f>
        <v>30</v>
      </c>
      <c r="D107" s="30">
        <f>+SUMIFS(PROVEEDORES[Total],PROVEEDORES[PROVEEDOR],PROVEEDORES[[#This Row],[PROVEEDOR]],PROVEEDORES[FECHA DE PAGO],"")</f>
        <v>0</v>
      </c>
      <c r="E107" s="30"/>
      <c r="F107" s="73" t="str">
        <f>+VLOOKUP(PROVEEDORES[[#This Row],[PROVEEDOR]],TERCEROS_INFO[[PROVEEDOR]:[CORREO]],5,FALSE)</f>
        <v>vromero@flashinternational.us;girlesa.ruiz@servipilas.com;joriescobar64@gmail.com</v>
      </c>
      <c r="G107" s="111">
        <v>44198</v>
      </c>
      <c r="H107" s="31" t="s">
        <v>136</v>
      </c>
      <c r="I107" s="111">
        <v>44219</v>
      </c>
      <c r="J107" s="48" t="s">
        <v>177</v>
      </c>
      <c r="K107" s="26">
        <v>1266000</v>
      </c>
      <c r="L107" s="26"/>
      <c r="M107" s="27">
        <v>0</v>
      </c>
      <c r="N107" s="28"/>
      <c r="O107" s="27">
        <v>0</v>
      </c>
      <c r="P107" s="28">
        <v>0</v>
      </c>
      <c r="Q107" s="27">
        <v>0</v>
      </c>
      <c r="R107" s="26">
        <v>1266000</v>
      </c>
      <c r="S107" s="115">
        <f ca="1">IF(PROVEEDORES[[#This Row],[FECHA DE PAGO]]=0,TODAY()-PROVEEDORES[[#This Row],[FECHA DE FACTURACIÓN]]-PROVEEDORES[[#This Row],[PLAZO Días]],0)</f>
        <v>0</v>
      </c>
      <c r="T10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" spans="1:20" ht="21.9" customHeight="1" x14ac:dyDescent="0.3">
      <c r="A108" s="113" t="str">
        <f>+IF(PROVEEDORES[[#This Row],[FECHA DE PAGO]]=PROVEEDORES[[#This Row],[FECHA DE FACTURACIÓN]],"DE CONTADO","CRÉDITO")</f>
        <v>CRÉDITO</v>
      </c>
      <c r="B108" s="51" t="str">
        <f>+IF((PROVEEDORES[[#This Row],[FECHA DE PAGO]]-PROVEEDORES[[#This Row],[FECHA DE FACTURACIÓN]])&gt;PROVEEDORES[[#This Row],[PLAZO Días]],"PAGO VENCIDO")</f>
        <v>PAGO VENCIDO</v>
      </c>
      <c r="C108" s="25">
        <f>+VLOOKUP(PROVEEDORES[[#This Row],[PROVEEDOR]],TERCEROS_INFO[#All],2,FALSE)</f>
        <v>30</v>
      </c>
      <c r="D108" s="30">
        <f>+SUMIFS(PROVEEDORES[Total],PROVEEDORES[PROVEEDOR],PROVEEDORES[[#This Row],[PROVEEDOR]],PROVEEDORES[FECHA DE PAGO],"")</f>
        <v>1119790</v>
      </c>
      <c r="E108" s="30"/>
      <c r="F108" s="73" t="str">
        <f>+VLOOKUP(PROVEEDORES[[#This Row],[PROVEEDOR]],TERCEROS_INFO[[PROVEEDOR]:[CORREO]],5,FALSE)</f>
        <v>MVALENCIA@mps.com.co;girlesa.ruiz@servipilas.com;joriescobar64@gmail.com</v>
      </c>
      <c r="G108" s="111">
        <v>44257</v>
      </c>
      <c r="H108" s="31" t="s">
        <v>17</v>
      </c>
      <c r="I108" s="111">
        <v>44221</v>
      </c>
      <c r="J108" s="48">
        <v>1716568</v>
      </c>
      <c r="K108" s="26">
        <v>948000</v>
      </c>
      <c r="L108" s="26"/>
      <c r="M108" s="27">
        <v>180120</v>
      </c>
      <c r="N108" s="28"/>
      <c r="O108" s="27">
        <v>0</v>
      </c>
      <c r="P108" s="28">
        <v>0</v>
      </c>
      <c r="Q108" s="27">
        <v>0</v>
      </c>
      <c r="R108" s="26">
        <v>1128120</v>
      </c>
      <c r="S108" s="115">
        <f ca="1">IF(PROVEEDORES[[#This Row],[FECHA DE PAGO]]=0,TODAY()-PROVEEDORES[[#This Row],[FECHA DE FACTURACIÓN]]-PROVEEDORES[[#This Row],[PLAZO Días]],0)</f>
        <v>0</v>
      </c>
      <c r="T1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" spans="1:20" ht="21.9" customHeight="1" x14ac:dyDescent="0.3">
      <c r="A109" s="113" t="str">
        <f>+IF(PROVEEDORES[[#This Row],[FECHA DE PAGO]]=PROVEEDORES[[#This Row],[FECHA DE FACTURACIÓN]],"DE CONTADO","CRÉDITO")</f>
        <v>DE CONTADO</v>
      </c>
      <c r="B109" s="51" t="b">
        <f>+IF((PROVEEDORES[[#This Row],[FECHA DE PAGO]]-PROVEEDORES[[#This Row],[FECHA DE FACTURACIÓN]])&gt;PROVEEDORES[[#This Row],[PLAZO Días]],"PAGO VENCIDO")</f>
        <v>0</v>
      </c>
      <c r="C109" s="25">
        <f>+VLOOKUP(PROVEEDORES[[#This Row],[PROVEEDOR]],TERCEROS_INFO[#All],2,FALSE)</f>
        <v>30</v>
      </c>
      <c r="D109" s="30">
        <f>+SUMIFS(PROVEEDORES[Total],PROVEEDORES[PROVEEDOR],PROVEEDORES[[#This Row],[PROVEEDOR]],PROVEEDORES[FECHA DE PAGO],"")</f>
        <v>0</v>
      </c>
      <c r="E109" s="30"/>
      <c r="F109" s="73" t="str">
        <f>+VLOOKUP(PROVEEDORES[[#This Row],[PROVEEDOR]],TERCEROS_INFO[[PROVEEDOR]:[CORREO]],5,FALSE)</f>
        <v/>
      </c>
      <c r="G109" s="111">
        <v>44221</v>
      </c>
      <c r="H109" s="31" t="s">
        <v>1064</v>
      </c>
      <c r="I109" s="111">
        <v>44221</v>
      </c>
      <c r="J109" s="48"/>
      <c r="K109" s="26">
        <v>1400000</v>
      </c>
      <c r="L109" s="26"/>
      <c r="M109" s="27">
        <v>0</v>
      </c>
      <c r="N109" s="28"/>
      <c r="O109" s="27">
        <v>0</v>
      </c>
      <c r="P109" s="28">
        <v>0</v>
      </c>
      <c r="Q109" s="27">
        <v>0</v>
      </c>
      <c r="R109" s="26">
        <v>1400000</v>
      </c>
      <c r="S109" s="115">
        <f ca="1">IF(PROVEEDORES[[#This Row],[FECHA DE PAGO]]=0,TODAY()-PROVEEDORES[[#This Row],[FECHA DE FACTURACIÓN]]-PROVEEDORES[[#This Row],[PLAZO Días]],0)</f>
        <v>0</v>
      </c>
      <c r="T10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" spans="1:20" ht="21.9" customHeight="1" x14ac:dyDescent="0.3">
      <c r="A110" s="113" t="str">
        <f>+IF(PROVEEDORES[[#This Row],[FECHA DE PAGO]]=PROVEEDORES[[#This Row],[FECHA DE FACTURACIÓN]],"DE CONTADO","CRÉDITO")</f>
        <v>DE CONTADO</v>
      </c>
      <c r="B110" s="51" t="b">
        <f>+IF((PROVEEDORES[[#This Row],[FECHA DE PAGO]]-PROVEEDORES[[#This Row],[FECHA DE FACTURACIÓN]])&gt;PROVEEDORES[[#This Row],[PLAZO Días]],"PAGO VENCIDO")</f>
        <v>0</v>
      </c>
      <c r="C110" s="25">
        <f>+VLOOKUP(PROVEEDORES[[#This Row],[PROVEEDOR]],TERCEROS_INFO[#All],2,FALSE)</f>
        <v>30</v>
      </c>
      <c r="D110" s="30">
        <f>+SUMIFS(PROVEEDORES[Total],PROVEEDORES[PROVEEDOR],PROVEEDORES[[#This Row],[PROVEEDOR]],PROVEEDORES[FECHA DE PAGO],"")</f>
        <v>0</v>
      </c>
      <c r="E110" s="30"/>
      <c r="F110" s="73" t="str">
        <f>+VLOOKUP(PROVEEDORES[[#This Row],[PROVEEDOR]],TERCEROS_INFO[[PROVEEDOR]:[CORREO]],5,FALSE)</f>
        <v>vromero@flashinternational.us;girlesa.ruiz@servipilas.com;joriescobar64@gmail.com</v>
      </c>
      <c r="G110" s="111">
        <v>44222</v>
      </c>
      <c r="H110" s="31" t="s">
        <v>144</v>
      </c>
      <c r="I110" s="111">
        <v>44222</v>
      </c>
      <c r="J110" s="48">
        <v>9721</v>
      </c>
      <c r="K110" s="26">
        <v>172800</v>
      </c>
      <c r="L110" s="26"/>
      <c r="M110" s="27">
        <v>0</v>
      </c>
      <c r="N110" s="28"/>
      <c r="O110" s="27">
        <v>0</v>
      </c>
      <c r="P110" s="28">
        <v>0</v>
      </c>
      <c r="Q110" s="27">
        <v>0</v>
      </c>
      <c r="R110" s="26">
        <v>172800</v>
      </c>
      <c r="S110" s="115">
        <f ca="1">IF(PROVEEDORES[[#This Row],[FECHA DE PAGO]]=0,TODAY()-PROVEEDORES[[#This Row],[FECHA DE FACTURACIÓN]]-PROVEEDORES[[#This Row],[PLAZO Días]],0)</f>
        <v>0</v>
      </c>
      <c r="T1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" spans="1:20" ht="21.9" customHeight="1" x14ac:dyDescent="0.3">
      <c r="A111" s="113" t="str">
        <f>+IF(PROVEEDORES[[#This Row],[FECHA DE PAGO]]=PROVEEDORES[[#This Row],[FECHA DE FACTURACIÓN]],"DE CONTADO","CRÉDITO")</f>
        <v>DE CONTADO</v>
      </c>
      <c r="B111" s="51" t="b">
        <f>+IF((PROVEEDORES[[#This Row],[FECHA DE PAGO]]-PROVEEDORES[[#This Row],[FECHA DE FACTURACIÓN]])&gt;PROVEEDORES[[#This Row],[PLAZO Días]],"PAGO VENCIDO")</f>
        <v>0</v>
      </c>
      <c r="C111" s="25">
        <f>+VLOOKUP(PROVEEDORES[[#This Row],[PROVEEDOR]],TERCEROS_INFO[#All],2,FALSE)</f>
        <v>30</v>
      </c>
      <c r="D111" s="30">
        <f>+SUMIFS(PROVEEDORES[Total],PROVEEDORES[PROVEEDOR],PROVEEDORES[[#This Row],[PROVEEDOR]],PROVEEDORES[FECHA DE PAGO],"")</f>
        <v>1451823</v>
      </c>
      <c r="E111" s="30"/>
      <c r="F111" s="73" t="str">
        <f>+VLOOKUP(PROVEEDORES[[#This Row],[PROVEEDOR]],TERCEROS_INFO[[PROVEEDOR]:[CORREO]],5,FALSE)</f>
        <v>cartera@ienewline.com;andres.arroyave@ienewline.com;girlesa.ruiz@servipilas.com;joriescobar64@gmail.com</v>
      </c>
      <c r="G111" s="111">
        <v>44222</v>
      </c>
      <c r="H111" s="31" t="s">
        <v>1131</v>
      </c>
      <c r="I111" s="111">
        <v>44222</v>
      </c>
      <c r="J111" s="48" t="s">
        <v>665</v>
      </c>
      <c r="K111" s="26">
        <v>1587200</v>
      </c>
      <c r="L111" s="26"/>
      <c r="M111" s="27">
        <v>301568</v>
      </c>
      <c r="N111" s="28"/>
      <c r="O111" s="27">
        <v>0</v>
      </c>
      <c r="P111" s="28">
        <v>2.5000000000000001E-2</v>
      </c>
      <c r="Q111" s="27">
        <v>39680</v>
      </c>
      <c r="R111" s="26">
        <v>1849088</v>
      </c>
      <c r="S111" s="115">
        <f ca="1">IF(PROVEEDORES[[#This Row],[FECHA DE PAGO]]=0,TODAY()-PROVEEDORES[[#This Row],[FECHA DE FACTURACIÓN]]-PROVEEDORES[[#This Row],[PLAZO Días]],0)</f>
        <v>0</v>
      </c>
      <c r="T1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" spans="1:20" ht="21.9" customHeight="1" x14ac:dyDescent="0.3">
      <c r="A112" s="113" t="str">
        <f>+IF(PROVEEDORES[[#This Row],[FECHA DE PAGO]]=PROVEEDORES[[#This Row],[FECHA DE FACTURACIÓN]],"DE CONTADO","CRÉDITO")</f>
        <v>DE CONTADO</v>
      </c>
      <c r="B112" s="51" t="b">
        <f>+IF((PROVEEDORES[[#This Row],[FECHA DE PAGO]]-PROVEEDORES[[#This Row],[FECHA DE FACTURACIÓN]])&gt;PROVEEDORES[[#This Row],[PLAZO Días]],"PAGO VENCIDO")</f>
        <v>0</v>
      </c>
      <c r="C112" s="25">
        <f>+VLOOKUP(PROVEEDORES[[#This Row],[PROVEEDOR]],TERCEROS_INFO[#All],2,FALSE)</f>
        <v>30</v>
      </c>
      <c r="D112" s="30">
        <f>+SUMIFS(PROVEEDORES[Total],PROVEEDORES[PROVEEDOR],PROVEEDORES[[#This Row],[PROVEEDOR]],PROVEEDORES[FECHA DE PAGO],"")</f>
        <v>0</v>
      </c>
      <c r="E112" s="30"/>
      <c r="F112" s="73" t="str">
        <f>+VLOOKUP(PROVEEDORES[[#This Row],[PROVEEDOR]],TERCEROS_INFO[[PROVEEDOR]:[CORREO]],5,FALSE)</f>
        <v>vromero@flashinternational.us;girlesa.ruiz@servipilas.com;joriescobar64@gmail.com</v>
      </c>
      <c r="G112" s="111">
        <v>44222</v>
      </c>
      <c r="H112" s="31" t="s">
        <v>134</v>
      </c>
      <c r="I112" s="111">
        <v>44222</v>
      </c>
      <c r="J112" s="48">
        <v>9731</v>
      </c>
      <c r="K112" s="26">
        <v>1944000</v>
      </c>
      <c r="L112" s="26"/>
      <c r="M112" s="27">
        <v>0</v>
      </c>
      <c r="N112" s="28"/>
      <c r="O112" s="27">
        <v>0</v>
      </c>
      <c r="P112" s="28">
        <v>0</v>
      </c>
      <c r="Q112" s="27">
        <v>0</v>
      </c>
      <c r="R112" s="26">
        <v>1944000</v>
      </c>
      <c r="S112" s="115">
        <f ca="1">IF(PROVEEDORES[[#This Row],[FECHA DE PAGO]]=0,TODAY()-PROVEEDORES[[#This Row],[FECHA DE FACTURACIÓN]]-PROVEEDORES[[#This Row],[PLAZO Días]],0)</f>
        <v>0</v>
      </c>
      <c r="T1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" spans="1:20" ht="21.9" customHeight="1" x14ac:dyDescent="0.3">
      <c r="A113" s="113" t="str">
        <f>+IF(PROVEEDORES[[#This Row],[FECHA DE PAGO]]=PROVEEDORES[[#This Row],[FECHA DE FACTURACIÓN]],"DE CONTADO","CRÉDITO")</f>
        <v>DE CONTADO</v>
      </c>
      <c r="B113" s="51" t="b">
        <f>+IF((PROVEEDORES[[#This Row],[FECHA DE PAGO]]-PROVEEDORES[[#This Row],[FECHA DE FACTURACIÓN]])&gt;PROVEEDORES[[#This Row],[PLAZO Días]],"PAGO VENCIDO")</f>
        <v>0</v>
      </c>
      <c r="C113" s="25">
        <f>+VLOOKUP(PROVEEDORES[[#This Row],[PROVEEDOR]],TERCEROS_INFO[#All],2,FALSE)</f>
        <v>30</v>
      </c>
      <c r="D113" s="30">
        <f>+SUMIFS(PROVEEDORES[Total],PROVEEDORES[PROVEEDOR],PROVEEDORES[[#This Row],[PROVEEDOR]],PROVEEDORES[FECHA DE PAGO],"")</f>
        <v>0</v>
      </c>
      <c r="E113" s="30"/>
      <c r="F113" s="73">
        <f>+VLOOKUP(PROVEEDORES[[#This Row],[PROVEEDOR]],TERCEROS_INFO[[PROVEEDOR]:[CORREO]],5,FALSE)</f>
        <v>0</v>
      </c>
      <c r="G113" s="111">
        <v>44222</v>
      </c>
      <c r="H113" s="31" t="s">
        <v>175</v>
      </c>
      <c r="I113" s="111">
        <v>44222</v>
      </c>
      <c r="J113" s="48">
        <v>101</v>
      </c>
      <c r="K113" s="26">
        <v>3300000</v>
      </c>
      <c r="L113" s="26"/>
      <c r="M113" s="27">
        <v>627000</v>
      </c>
      <c r="N113" s="28"/>
      <c r="O113" s="27">
        <v>0</v>
      </c>
      <c r="P113" s="28">
        <v>2.5000000000000001E-2</v>
      </c>
      <c r="Q113" s="27">
        <v>82500</v>
      </c>
      <c r="R113" s="26">
        <v>3844500</v>
      </c>
      <c r="S113" s="115">
        <f ca="1">IF(PROVEEDORES[[#This Row],[FECHA DE PAGO]]=0,TODAY()-PROVEEDORES[[#This Row],[FECHA DE FACTURACIÓN]]-PROVEEDORES[[#This Row],[PLAZO Días]],0)</f>
        <v>0</v>
      </c>
      <c r="T1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" spans="1:20" ht="21.9" customHeight="1" x14ac:dyDescent="0.3">
      <c r="A114" s="113" t="str">
        <f>+IF(PROVEEDORES[[#This Row],[FECHA DE PAGO]]=PROVEEDORES[[#This Row],[FECHA DE FACTURACIÓN]],"DE CONTADO","CRÉDITO")</f>
        <v>DE CONTADO</v>
      </c>
      <c r="B114" s="51" t="b">
        <f>+IF((PROVEEDORES[[#This Row],[FECHA DE PAGO]]-PROVEEDORES[[#This Row],[FECHA DE FACTURACIÓN]])&gt;PROVEEDORES[[#This Row],[PLAZO Días]],"PAGO VENCIDO")</f>
        <v>0</v>
      </c>
      <c r="C114" s="25">
        <f>+VLOOKUP(PROVEEDORES[[#This Row],[PROVEEDOR]],TERCEROS_INFO[#All],2,FALSE)</f>
        <v>30</v>
      </c>
      <c r="D114" s="30">
        <f>+SUMIFS(PROVEEDORES[Total],PROVEEDORES[PROVEEDOR],PROVEEDORES[[#This Row],[PROVEEDOR]],PROVEEDORES[FECHA DE PAGO],"")</f>
        <v>0</v>
      </c>
      <c r="E114" s="30"/>
      <c r="F114" s="73" t="str">
        <f>+VLOOKUP(PROVEEDORES[[#This Row],[PROVEEDOR]],TERCEROS_INFO[[PROVEEDOR]:[CORREO]],5,FALSE)</f>
        <v/>
      </c>
      <c r="G114" s="111">
        <v>44223</v>
      </c>
      <c r="H114" s="31" t="s">
        <v>1037</v>
      </c>
      <c r="I114" s="111">
        <v>44223</v>
      </c>
      <c r="J114" s="48"/>
      <c r="K114" s="26">
        <v>944000</v>
      </c>
      <c r="L114" s="26"/>
      <c r="M114" s="27">
        <v>0</v>
      </c>
      <c r="N114" s="28"/>
      <c r="O114" s="27">
        <v>0</v>
      </c>
      <c r="P114" s="28">
        <v>0</v>
      </c>
      <c r="Q114" s="27">
        <v>0</v>
      </c>
      <c r="R114" s="26">
        <v>944000</v>
      </c>
      <c r="S114" s="115">
        <f ca="1">IF(PROVEEDORES[[#This Row],[FECHA DE PAGO]]=0,TODAY()-PROVEEDORES[[#This Row],[FECHA DE FACTURACIÓN]]-PROVEEDORES[[#This Row],[PLAZO Días]],0)</f>
        <v>0</v>
      </c>
      <c r="T1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" spans="1:20" ht="21.9" customHeight="1" x14ac:dyDescent="0.3">
      <c r="A115" s="113" t="str">
        <f>+IF(PROVEEDORES[[#This Row],[FECHA DE PAGO]]=PROVEEDORES[[#This Row],[FECHA DE FACTURACIÓN]],"DE CONTADO","CRÉDITO")</f>
        <v>DE CONTADO</v>
      </c>
      <c r="B115" s="51" t="b">
        <f>+IF((PROVEEDORES[[#This Row],[FECHA DE PAGO]]-PROVEEDORES[[#This Row],[FECHA DE FACTURACIÓN]])&gt;PROVEEDORES[[#This Row],[PLAZO Días]],"PAGO VENCIDO")</f>
        <v>0</v>
      </c>
      <c r="C115" s="25">
        <f>+VLOOKUP(PROVEEDORES[[#This Row],[PROVEEDOR]],TERCEROS_INFO[#All],2,FALSE)</f>
        <v>30</v>
      </c>
      <c r="D115" s="30">
        <f>+SUMIFS(PROVEEDORES[Total],PROVEEDORES[PROVEEDOR],PROVEEDORES[[#This Row],[PROVEEDOR]],PROVEEDORES[FECHA DE PAGO],"")</f>
        <v>0</v>
      </c>
      <c r="E115" s="30"/>
      <c r="F115" s="73" t="str">
        <f>+VLOOKUP(PROVEEDORES[[#This Row],[PROVEEDOR]],TERCEROS_INFO[[PROVEEDOR]:[CORREO]],5,FALSE)</f>
        <v/>
      </c>
      <c r="G115" s="111">
        <v>44223</v>
      </c>
      <c r="H115" s="31" t="s">
        <v>1007</v>
      </c>
      <c r="I115" s="111">
        <v>44223</v>
      </c>
      <c r="J115" s="48"/>
      <c r="K115" s="26">
        <v>2645000</v>
      </c>
      <c r="L115" s="26"/>
      <c r="M115" s="27">
        <v>0</v>
      </c>
      <c r="N115" s="28"/>
      <c r="O115" s="27">
        <v>0</v>
      </c>
      <c r="P115" s="28">
        <v>0</v>
      </c>
      <c r="Q115" s="27">
        <v>0</v>
      </c>
      <c r="R115" s="26">
        <v>2645000</v>
      </c>
      <c r="S115" s="115">
        <f ca="1">IF(PROVEEDORES[[#This Row],[FECHA DE PAGO]]=0,TODAY()-PROVEEDORES[[#This Row],[FECHA DE FACTURACIÓN]]-PROVEEDORES[[#This Row],[PLAZO Días]],0)</f>
        <v>0</v>
      </c>
      <c r="T1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" spans="1:20" ht="21.9" customHeight="1" x14ac:dyDescent="0.3">
      <c r="A116" s="113" t="str">
        <f>+IF(PROVEEDORES[[#This Row],[FECHA DE PAGO]]=PROVEEDORES[[#This Row],[FECHA DE FACTURACIÓN]],"DE CONTADO","CRÉDITO")</f>
        <v>DE CONTADO</v>
      </c>
      <c r="B116" s="51" t="b">
        <f>+IF((PROVEEDORES[[#This Row],[FECHA DE PAGO]]-PROVEEDORES[[#This Row],[FECHA DE FACTURACIÓN]])&gt;PROVEEDORES[[#This Row],[PLAZO Días]],"PAGO VENCIDO")</f>
        <v>0</v>
      </c>
      <c r="C116" s="25">
        <f>+VLOOKUP(PROVEEDORES[[#This Row],[PROVEEDOR]],TERCEROS_INFO[#All],2,FALSE)</f>
        <v>30</v>
      </c>
      <c r="D116" s="30">
        <f>+SUMIFS(PROVEEDORES[Total],PROVEEDORES[PROVEEDOR],PROVEEDORES[[#This Row],[PROVEEDOR]],PROVEEDORES[FECHA DE PAGO],"")</f>
        <v>0</v>
      </c>
      <c r="E116" s="30"/>
      <c r="F116" s="73" t="str">
        <f>+VLOOKUP(PROVEEDORES[[#This Row],[PROVEEDOR]],TERCEROS_INFO[[PROVEEDOR]:[CORREO]],5,FALSE)</f>
        <v>jack@sinomingproducts.com;info@servipilas.com</v>
      </c>
      <c r="G116" s="111">
        <v>44223</v>
      </c>
      <c r="H116" s="31" t="s">
        <v>163</v>
      </c>
      <c r="I116" s="111">
        <v>44223</v>
      </c>
      <c r="J116" s="48">
        <v>114001</v>
      </c>
      <c r="K116" s="26">
        <v>17969355</v>
      </c>
      <c r="L116" s="26"/>
      <c r="M116" s="27">
        <v>0</v>
      </c>
      <c r="N116" s="28"/>
      <c r="O116" s="27">
        <v>0</v>
      </c>
      <c r="P116" s="28">
        <v>0</v>
      </c>
      <c r="Q116" s="27">
        <v>0</v>
      </c>
      <c r="R116" s="26">
        <v>17969355</v>
      </c>
      <c r="S116" s="115">
        <f ca="1">IF(PROVEEDORES[[#This Row],[FECHA DE PAGO]]=0,TODAY()-PROVEEDORES[[#This Row],[FECHA DE FACTURACIÓN]]-PROVEEDORES[[#This Row],[PLAZO Días]],0)</f>
        <v>0</v>
      </c>
      <c r="T1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" spans="1:20" ht="21.9" customHeight="1" x14ac:dyDescent="0.3">
      <c r="A117" s="113" t="str">
        <f>+IF(PROVEEDORES[[#This Row],[FECHA DE PAGO]]=PROVEEDORES[[#This Row],[FECHA DE FACTURACIÓN]],"DE CONTADO","CRÉDITO")</f>
        <v>DE CONTADO</v>
      </c>
      <c r="B117" s="51" t="b">
        <f>+IF((PROVEEDORES[[#This Row],[FECHA DE PAGO]]-PROVEEDORES[[#This Row],[FECHA DE FACTURACIÓN]])&gt;PROVEEDORES[[#This Row],[PLAZO Días]],"PAGO VENCIDO")</f>
        <v>0</v>
      </c>
      <c r="C117" s="25">
        <f>+VLOOKUP(PROVEEDORES[[#This Row],[PROVEEDOR]],TERCEROS_INFO[#All],2,FALSE)</f>
        <v>30</v>
      </c>
      <c r="D117" s="30">
        <f>+SUMIFS(PROVEEDORES[Total],PROVEEDORES[PROVEEDOR],PROVEEDORES[[#This Row],[PROVEEDOR]],PROVEEDORES[FECHA DE PAGO],"")</f>
        <v>0</v>
      </c>
      <c r="E117" s="30"/>
      <c r="F117" s="73" t="str">
        <f>+VLOOKUP(PROVEEDORES[[#This Row],[PROVEEDOR]],TERCEROS_INFO[[PROVEEDOR]:[CORREO]],5,FALSE)</f>
        <v/>
      </c>
      <c r="G117" s="111">
        <v>44224</v>
      </c>
      <c r="H117" s="31" t="s">
        <v>37</v>
      </c>
      <c r="I117" s="111">
        <v>44224</v>
      </c>
      <c r="J117" s="48">
        <v>9630</v>
      </c>
      <c r="K117" s="26">
        <v>17000</v>
      </c>
      <c r="L117" s="26"/>
      <c r="M117" s="27">
        <v>3230</v>
      </c>
      <c r="N117" s="28"/>
      <c r="O117" s="27">
        <v>0</v>
      </c>
      <c r="P117" s="28">
        <v>0</v>
      </c>
      <c r="Q117" s="27">
        <v>0</v>
      </c>
      <c r="R117" s="26">
        <v>20230</v>
      </c>
      <c r="S117" s="115">
        <f ca="1">IF(PROVEEDORES[[#This Row],[FECHA DE PAGO]]=0,TODAY()-PROVEEDORES[[#This Row],[FECHA DE FACTURACIÓN]]-PROVEEDORES[[#This Row],[PLAZO Días]],0)</f>
        <v>0</v>
      </c>
      <c r="T1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" spans="1:20" ht="21.9" customHeight="1" x14ac:dyDescent="0.3">
      <c r="A118" s="113" t="str">
        <f>+IF(PROVEEDORES[[#This Row],[FECHA DE PAGO]]=PROVEEDORES[[#This Row],[FECHA DE FACTURACIÓN]],"DE CONTADO","CRÉDITO")</f>
        <v>CRÉDITO</v>
      </c>
      <c r="B118" s="51" t="str">
        <f>+IF((PROVEEDORES[[#This Row],[FECHA DE PAGO]]-PROVEEDORES[[#This Row],[FECHA DE FACTURACIÓN]])&gt;PROVEEDORES[[#This Row],[PLAZO Días]],"PAGO VENCIDO")</f>
        <v>PAGO VENCIDO</v>
      </c>
      <c r="C118" s="25">
        <f>+VLOOKUP(PROVEEDORES[[#This Row],[PROVEEDOR]],TERCEROS_INFO[#All],2,FALSE)</f>
        <v>45</v>
      </c>
      <c r="D118" s="30">
        <f>+SUMIFS(PROVEEDORES[Total],PROVEEDORES[PROVEEDOR],PROVEEDORES[[#This Row],[PROVEEDOR]],PROVEEDORES[FECHA DE PAGO],"")</f>
        <v>17760678.600000001</v>
      </c>
      <c r="E118" s="30"/>
      <c r="F118" s="73" t="str">
        <f>+VLOOKUP(PROVEEDORES[[#This Row],[PROVEEDOR]],TERCEROS_INFO[[PROVEEDOR]:[CORREO]],5,FALSE)</f>
        <v>zully.florez@powest.com;girlesa.ruiz@servipilas.com;joriescobar64@gmail.com</v>
      </c>
      <c r="G118" s="111">
        <v>44284</v>
      </c>
      <c r="H118" s="31" t="s">
        <v>19</v>
      </c>
      <c r="I118" s="111">
        <v>44224</v>
      </c>
      <c r="J118" s="48" t="s">
        <v>174</v>
      </c>
      <c r="K118" s="26">
        <v>11854200</v>
      </c>
      <c r="L118" s="26"/>
      <c r="M118" s="27">
        <v>2252298</v>
      </c>
      <c r="N118" s="28"/>
      <c r="O118" s="27">
        <v>0</v>
      </c>
      <c r="P118" s="28">
        <v>0</v>
      </c>
      <c r="Q118" s="27">
        <v>0</v>
      </c>
      <c r="R118" s="26">
        <v>14106498</v>
      </c>
      <c r="S118" s="115">
        <f ca="1">IF(PROVEEDORES[[#This Row],[FECHA DE PAGO]]=0,TODAY()-PROVEEDORES[[#This Row],[FECHA DE FACTURACIÓN]]-PROVEEDORES[[#This Row],[PLAZO Días]],0)</f>
        <v>0</v>
      </c>
      <c r="T1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" spans="1:20" ht="21.9" customHeight="1" x14ac:dyDescent="0.3">
      <c r="A119" s="113" t="str">
        <f>+IF(PROVEEDORES[[#This Row],[FECHA DE PAGO]]=PROVEEDORES[[#This Row],[FECHA DE FACTURACIÓN]],"DE CONTADO","CRÉDITO")</f>
        <v>CRÉDITO</v>
      </c>
      <c r="B119" s="51" t="str">
        <f>+IF((PROVEEDORES[[#This Row],[FECHA DE PAGO]]-PROVEEDORES[[#This Row],[FECHA DE FACTURACIÓN]])&gt;PROVEEDORES[[#This Row],[PLAZO Días]],"PAGO VENCIDO")</f>
        <v>PAGO VENCIDO</v>
      </c>
      <c r="C119" s="25">
        <f>+VLOOKUP(PROVEEDORES[[#This Row],[PROVEEDOR]],TERCEROS_INFO[#All],2,FALSE)</f>
        <v>30</v>
      </c>
      <c r="D119" s="30">
        <f>+SUMIFS(PROVEEDORES[Total],PROVEEDORES[PROVEEDOR],PROVEEDORES[[#This Row],[PROVEEDOR]],PROVEEDORES[FECHA DE PAGO],"")</f>
        <v>-30345</v>
      </c>
      <c r="E119" s="30"/>
      <c r="F119" s="73" t="str">
        <f>+VLOOKUP(PROVEEDORES[[#This Row],[PROVEEDOR]],TERCEROS_INFO[[PROVEEDOR]:[CORREO]],5,FALSE)</f>
        <v>ventasmegamundo@yahoo.es;girlesa.ruiz@servipilas.com;joriescobar64@gmail.com</v>
      </c>
      <c r="G119" s="111">
        <v>44328</v>
      </c>
      <c r="H119" s="31" t="s">
        <v>1146</v>
      </c>
      <c r="I119" s="111">
        <v>44225</v>
      </c>
      <c r="J119" s="48">
        <v>769</v>
      </c>
      <c r="K119" s="26">
        <v>2547058.81</v>
      </c>
      <c r="L119" s="26"/>
      <c r="M119" s="27">
        <v>483941.17389999999</v>
      </c>
      <c r="N119" s="28"/>
      <c r="O119" s="27">
        <v>0</v>
      </c>
      <c r="P119" s="28">
        <v>2.5000000000000001E-2</v>
      </c>
      <c r="Q119" s="27">
        <v>63676.470250000006</v>
      </c>
      <c r="R119" s="26">
        <v>2967323.5136500001</v>
      </c>
      <c r="S119" s="115">
        <f ca="1">IF(PROVEEDORES[[#This Row],[FECHA DE PAGO]]=0,TODAY()-PROVEEDORES[[#This Row],[FECHA DE FACTURACIÓN]]-PROVEEDORES[[#This Row],[PLAZO Días]],0)</f>
        <v>0</v>
      </c>
      <c r="T1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" spans="1:20" ht="21.9" customHeight="1" x14ac:dyDescent="0.3">
      <c r="A120" s="113" t="str">
        <f>+IF(PROVEEDORES[[#This Row],[FECHA DE PAGO]]=PROVEEDORES[[#This Row],[FECHA DE FACTURACIÓN]],"DE CONTADO","CRÉDITO")</f>
        <v>CRÉDITO</v>
      </c>
      <c r="B120" s="51" t="str">
        <f>+IF((PROVEEDORES[[#This Row],[FECHA DE PAGO]]-PROVEEDORES[[#This Row],[FECHA DE FACTURACIÓN]])&gt;PROVEEDORES[[#This Row],[PLAZO Días]],"PAGO VENCIDO")</f>
        <v>PAGO VENCIDO</v>
      </c>
      <c r="C120" s="25">
        <f>+VLOOKUP(PROVEEDORES[[#This Row],[PROVEEDOR]],TERCEROS_INFO[#All],2,FALSE)</f>
        <v>30</v>
      </c>
      <c r="D120" s="30">
        <f>+SUMIFS(PROVEEDORES[Total],PROVEEDORES[PROVEEDOR],PROVEEDORES[[#This Row],[PROVEEDOR]],PROVEEDORES[FECHA DE PAGO],"")</f>
        <v>0</v>
      </c>
      <c r="E120" s="30"/>
      <c r="F120" s="73" t="str">
        <f>+VLOOKUP(PROVEEDORES[[#This Row],[PROVEEDOR]],TERCEROS_INFO[[PROVEEDOR]:[CORREO]],5,FALSE)</f>
        <v>cartera@jeway.com.co;girlesa.ruiz@servipilas.com;joriescobar64@gmail.com</v>
      </c>
      <c r="G120" s="111">
        <v>44298</v>
      </c>
      <c r="H120" s="31" t="s">
        <v>34</v>
      </c>
      <c r="I120" s="111">
        <v>44226</v>
      </c>
      <c r="J120" s="48" t="s">
        <v>294</v>
      </c>
      <c r="K120" s="26">
        <v>-52017</v>
      </c>
      <c r="L120" s="26"/>
      <c r="M120" s="27">
        <v>-9883.23</v>
      </c>
      <c r="N120" s="28"/>
      <c r="O120" s="27">
        <v>0</v>
      </c>
      <c r="P120" s="28">
        <v>0</v>
      </c>
      <c r="Q120" s="27">
        <v>0</v>
      </c>
      <c r="R120" s="26">
        <v>-61900.229999999996</v>
      </c>
      <c r="S120" s="115">
        <f ca="1">IF(PROVEEDORES[[#This Row],[FECHA DE PAGO]]=0,TODAY()-PROVEEDORES[[#This Row],[FECHA DE FACTURACIÓN]]-PROVEEDORES[[#This Row],[PLAZO Días]],0)</f>
        <v>0</v>
      </c>
      <c r="T1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" spans="1:20" ht="21.9" customHeight="1" x14ac:dyDescent="0.3">
      <c r="A121" s="113" t="str">
        <f>+IF(PROVEEDORES[[#This Row],[FECHA DE PAGO]]=PROVEEDORES[[#This Row],[FECHA DE FACTURACIÓN]],"DE CONTADO","CRÉDITO")</f>
        <v>DE CONTADO</v>
      </c>
      <c r="B121" s="51" t="b">
        <f>+IF((PROVEEDORES[[#This Row],[FECHA DE PAGO]]-PROVEEDORES[[#This Row],[FECHA DE FACTURACIÓN]])&gt;PROVEEDORES[[#This Row],[PLAZO Días]],"PAGO VENCIDO")</f>
        <v>0</v>
      </c>
      <c r="C121" s="25">
        <f>+VLOOKUP(PROVEEDORES[[#This Row],[PROVEEDOR]],TERCEROS_INFO[#All],2,FALSE)</f>
        <v>30</v>
      </c>
      <c r="D121" s="30">
        <f>+SUMIFS(PROVEEDORES[Total],PROVEEDORES[PROVEEDOR],PROVEEDORES[[#This Row],[PROVEEDOR]],PROVEEDORES[FECHA DE PAGO],"")</f>
        <v>0</v>
      </c>
      <c r="E121" s="30"/>
      <c r="F121" s="73" t="str">
        <f>+VLOOKUP(PROVEEDORES[[#This Row],[PROVEEDOR]],TERCEROS_INFO[[PROVEEDOR]:[CORREO]],5,FALSE)</f>
        <v/>
      </c>
      <c r="G121" s="111">
        <v>44227</v>
      </c>
      <c r="H121" s="31" t="s">
        <v>1016</v>
      </c>
      <c r="I121" s="111">
        <v>44227</v>
      </c>
      <c r="J121" s="48" t="s">
        <v>666</v>
      </c>
      <c r="K121" s="26">
        <v>88500</v>
      </c>
      <c r="L121" s="26"/>
      <c r="M121" s="27">
        <v>0</v>
      </c>
      <c r="N121" s="28"/>
      <c r="O121" s="27">
        <v>0</v>
      </c>
      <c r="P121" s="28">
        <v>0</v>
      </c>
      <c r="Q121" s="27">
        <v>0</v>
      </c>
      <c r="R121" s="26">
        <v>88500</v>
      </c>
      <c r="S121" s="115">
        <f ca="1">IF(PROVEEDORES[[#This Row],[FECHA DE PAGO]]=0,TODAY()-PROVEEDORES[[#This Row],[FECHA DE FACTURACIÓN]]-PROVEEDORES[[#This Row],[PLAZO Días]],0)</f>
        <v>0</v>
      </c>
      <c r="T1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" spans="1:20" ht="21.9" customHeight="1" x14ac:dyDescent="0.3">
      <c r="A122" s="113" t="str">
        <f>+IF(PROVEEDORES[[#This Row],[FECHA DE PAGO]]=PROVEEDORES[[#This Row],[FECHA DE FACTURACIÓN]],"DE CONTADO","CRÉDITO")</f>
        <v>DE CONTADO</v>
      </c>
      <c r="B122" s="51" t="b">
        <f>+IF((PROVEEDORES[[#This Row],[FECHA DE PAGO]]-PROVEEDORES[[#This Row],[FECHA DE FACTURACIÓN]])&gt;PROVEEDORES[[#This Row],[PLAZO Días]],"PAGO VENCIDO")</f>
        <v>0</v>
      </c>
      <c r="C122" s="25">
        <f>+VLOOKUP(PROVEEDORES[[#This Row],[PROVEEDOR]],TERCEROS_INFO[#All],2,FALSE)</f>
        <v>30</v>
      </c>
      <c r="D122" s="30">
        <f>+SUMIFS(PROVEEDORES[Total],PROVEEDORES[PROVEEDOR],PROVEEDORES[[#This Row],[PROVEEDOR]],PROVEEDORES[FECHA DE PAGO],"")</f>
        <v>0</v>
      </c>
      <c r="E122" s="30"/>
      <c r="F122" s="73" t="str">
        <f>+VLOOKUP(PROVEEDORES[[#This Row],[PROVEEDOR]],TERCEROS_INFO[[PROVEEDOR]:[CORREO]],5,FALSE)</f>
        <v/>
      </c>
      <c r="G122" s="111">
        <v>44227</v>
      </c>
      <c r="H122" s="31" t="s">
        <v>1016</v>
      </c>
      <c r="I122" s="111">
        <v>44227</v>
      </c>
      <c r="J122" s="48" t="s">
        <v>667</v>
      </c>
      <c r="K122" s="26">
        <v>190000</v>
      </c>
      <c r="L122" s="26"/>
      <c r="M122" s="27">
        <v>0</v>
      </c>
      <c r="N122" s="28"/>
      <c r="O122" s="27">
        <v>0</v>
      </c>
      <c r="P122" s="28">
        <v>0</v>
      </c>
      <c r="Q122" s="27">
        <v>0</v>
      </c>
      <c r="R122" s="26">
        <v>190000</v>
      </c>
      <c r="S122" s="115">
        <f ca="1">IF(PROVEEDORES[[#This Row],[FECHA DE PAGO]]=0,TODAY()-PROVEEDORES[[#This Row],[FECHA DE FACTURACIÓN]]-PROVEEDORES[[#This Row],[PLAZO Días]],0)</f>
        <v>0</v>
      </c>
      <c r="T1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" spans="1:20" ht="21.9" customHeight="1" x14ac:dyDescent="0.3">
      <c r="A123" s="113" t="str">
        <f>+IF(PROVEEDORES[[#This Row],[FECHA DE PAGO]]=PROVEEDORES[[#This Row],[FECHA DE FACTURACIÓN]],"DE CONTADO","CRÉDITO")</f>
        <v>DE CONTADO</v>
      </c>
      <c r="B123" s="51" t="b">
        <f>+IF((PROVEEDORES[[#This Row],[FECHA DE PAGO]]-PROVEEDORES[[#This Row],[FECHA DE FACTURACIÓN]])&gt;PROVEEDORES[[#This Row],[PLAZO Días]],"PAGO VENCIDO")</f>
        <v>0</v>
      </c>
      <c r="C123" s="25">
        <f>+VLOOKUP(PROVEEDORES[[#This Row],[PROVEEDOR]],TERCEROS_INFO[#All],2,FALSE)</f>
        <v>30</v>
      </c>
      <c r="D123" s="30">
        <f>+SUMIFS(PROVEEDORES[Total],PROVEEDORES[PROVEEDOR],PROVEEDORES[[#This Row],[PROVEEDOR]],PROVEEDORES[FECHA DE PAGO],"")</f>
        <v>0</v>
      </c>
      <c r="E123" s="30"/>
      <c r="F123" s="73" t="str">
        <f>+VLOOKUP(PROVEEDORES[[#This Row],[PROVEEDOR]],TERCEROS_INFO[[PROVEEDOR]:[CORREO]],5,FALSE)</f>
        <v/>
      </c>
      <c r="G123" s="111">
        <v>44227</v>
      </c>
      <c r="H123" s="31" t="s">
        <v>1016</v>
      </c>
      <c r="I123" s="111">
        <v>44227</v>
      </c>
      <c r="J123" s="48" t="s">
        <v>182</v>
      </c>
      <c r="K123" s="26">
        <v>208000</v>
      </c>
      <c r="L123" s="26"/>
      <c r="M123" s="27">
        <v>0</v>
      </c>
      <c r="N123" s="28"/>
      <c r="O123" s="27">
        <v>0</v>
      </c>
      <c r="P123" s="28">
        <v>0</v>
      </c>
      <c r="Q123" s="27">
        <v>0</v>
      </c>
      <c r="R123" s="26">
        <v>208000</v>
      </c>
      <c r="S123" s="115">
        <f ca="1">IF(PROVEEDORES[[#This Row],[FECHA DE PAGO]]=0,TODAY()-PROVEEDORES[[#This Row],[FECHA DE FACTURACIÓN]]-PROVEEDORES[[#This Row],[PLAZO Días]],0)</f>
        <v>0</v>
      </c>
      <c r="T1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" spans="1:20" ht="21.9" customHeight="1" x14ac:dyDescent="0.3">
      <c r="A124" s="113" t="str">
        <f>+IF(PROVEEDORES[[#This Row],[FECHA DE PAGO]]=PROVEEDORES[[#This Row],[FECHA DE FACTURACIÓN]],"DE CONTADO","CRÉDITO")</f>
        <v>DE CONTADO</v>
      </c>
      <c r="B124" s="51" t="b">
        <f>+IF((PROVEEDORES[[#This Row],[FECHA DE PAGO]]-PROVEEDORES[[#This Row],[FECHA DE FACTURACIÓN]])&gt;PROVEEDORES[[#This Row],[PLAZO Días]],"PAGO VENCIDO")</f>
        <v>0</v>
      </c>
      <c r="C124" s="25">
        <f>+VLOOKUP(PROVEEDORES[[#This Row],[PROVEEDOR]],TERCEROS_INFO[#All],2,FALSE)</f>
        <v>30</v>
      </c>
      <c r="D124" s="30">
        <f>+SUMIFS(PROVEEDORES[Total],PROVEEDORES[PROVEEDOR],PROVEEDORES[[#This Row],[PROVEEDOR]],PROVEEDORES[FECHA DE PAGO],"")</f>
        <v>0</v>
      </c>
      <c r="E124" s="30"/>
      <c r="F124" s="73" t="str">
        <f>+VLOOKUP(PROVEEDORES[[#This Row],[PROVEEDOR]],TERCEROS_INFO[[PROVEEDOR]:[CORREO]],5,FALSE)</f>
        <v/>
      </c>
      <c r="G124" s="111">
        <v>44227</v>
      </c>
      <c r="H124" s="31" t="s">
        <v>1016</v>
      </c>
      <c r="I124" s="111">
        <v>44227</v>
      </c>
      <c r="J124" s="48" t="s">
        <v>76</v>
      </c>
      <c r="K124" s="26">
        <v>224000</v>
      </c>
      <c r="L124" s="26"/>
      <c r="M124" s="27">
        <v>0</v>
      </c>
      <c r="N124" s="28"/>
      <c r="O124" s="27">
        <v>0</v>
      </c>
      <c r="P124" s="28">
        <v>0</v>
      </c>
      <c r="Q124" s="27">
        <v>0</v>
      </c>
      <c r="R124" s="26">
        <v>224000</v>
      </c>
      <c r="S124" s="115">
        <f ca="1">IF(PROVEEDORES[[#This Row],[FECHA DE PAGO]]=0,TODAY()-PROVEEDORES[[#This Row],[FECHA DE FACTURACIÓN]]-PROVEEDORES[[#This Row],[PLAZO Días]],0)</f>
        <v>0</v>
      </c>
      <c r="T1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" spans="1:20" ht="21.9" customHeight="1" x14ac:dyDescent="0.3">
      <c r="A125" s="113" t="str">
        <f>+IF(PROVEEDORES[[#This Row],[FECHA DE PAGO]]=PROVEEDORES[[#This Row],[FECHA DE FACTURACIÓN]],"DE CONTADO","CRÉDITO")</f>
        <v>DE CONTADO</v>
      </c>
      <c r="B125" s="51" t="b">
        <f>+IF((PROVEEDORES[[#This Row],[FECHA DE PAGO]]-PROVEEDORES[[#This Row],[FECHA DE FACTURACIÓN]])&gt;PROVEEDORES[[#This Row],[PLAZO Días]],"PAGO VENCIDO")</f>
        <v>0</v>
      </c>
      <c r="C125" s="25">
        <f>+VLOOKUP(PROVEEDORES[[#This Row],[PROVEEDOR]],TERCEROS_INFO[#All],2,FALSE)</f>
        <v>30</v>
      </c>
      <c r="D125" s="30">
        <f>+SUMIFS(PROVEEDORES[Total],PROVEEDORES[PROVEEDOR],PROVEEDORES[[#This Row],[PROVEEDOR]],PROVEEDORES[FECHA DE PAGO],"")</f>
        <v>0</v>
      </c>
      <c r="E125" s="30"/>
      <c r="F125" s="73" t="str">
        <f>+VLOOKUP(PROVEEDORES[[#This Row],[PROVEEDOR]],TERCEROS_INFO[[PROVEEDOR]:[CORREO]],5,FALSE)</f>
        <v/>
      </c>
      <c r="G125" s="111">
        <v>44227</v>
      </c>
      <c r="H125" s="31" t="s">
        <v>1016</v>
      </c>
      <c r="I125" s="111">
        <v>44227</v>
      </c>
      <c r="J125" s="48" t="s">
        <v>668</v>
      </c>
      <c r="K125" s="26">
        <v>2282800</v>
      </c>
      <c r="L125" s="26"/>
      <c r="M125" s="27">
        <v>0</v>
      </c>
      <c r="N125" s="28"/>
      <c r="O125" s="27">
        <v>0</v>
      </c>
      <c r="P125" s="28">
        <v>0</v>
      </c>
      <c r="Q125" s="27">
        <v>0</v>
      </c>
      <c r="R125" s="26">
        <v>2282800</v>
      </c>
      <c r="S125" s="115">
        <f ca="1">IF(PROVEEDORES[[#This Row],[FECHA DE PAGO]]=0,TODAY()-PROVEEDORES[[#This Row],[FECHA DE FACTURACIÓN]]-PROVEEDORES[[#This Row],[PLAZO Días]],0)</f>
        <v>0</v>
      </c>
      <c r="T12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" spans="1:20" ht="21.9" customHeight="1" x14ac:dyDescent="0.3">
      <c r="A126" s="113" t="str">
        <f>+IF(PROVEEDORES[[#This Row],[FECHA DE PAGO]]=PROVEEDORES[[#This Row],[FECHA DE FACTURACIÓN]],"DE CONTADO","CRÉDITO")</f>
        <v>CRÉDITO</v>
      </c>
      <c r="B126" s="51" t="b">
        <f>+IF((PROVEEDORES[[#This Row],[FECHA DE PAGO]]-PROVEEDORES[[#This Row],[FECHA DE FACTURACIÓN]])&gt;PROVEEDORES[[#This Row],[PLAZO Días]],"PAGO VENCIDO")</f>
        <v>0</v>
      </c>
      <c r="C126" s="25">
        <f>+VLOOKUP(PROVEEDORES[[#This Row],[PROVEEDOR]],TERCEROS_INFO[#All],2,FALSE)</f>
        <v>30</v>
      </c>
      <c r="D126" s="30">
        <f>+SUMIFS(PROVEEDORES[Total],PROVEEDORES[PROVEEDOR],PROVEEDORES[[#This Row],[PROVEEDOR]],PROVEEDORES[FECHA DE PAGO],"")</f>
        <v>0</v>
      </c>
      <c r="E126" s="30"/>
      <c r="F126" s="73" t="str">
        <f>+VLOOKUP(PROVEEDORES[[#This Row],[PROVEEDOR]],TERCEROS_INFO[[PROVEEDOR]:[CORREO]],5,FALSE)</f>
        <v>CARLOSARCILAMENSAJERIA@gmail.com;girlesa.ruiz@servipilas.com;joriescobar64@gmail.com</v>
      </c>
      <c r="G126" s="111">
        <v>44239</v>
      </c>
      <c r="H126" s="31" t="s">
        <v>143</v>
      </c>
      <c r="I126" s="111">
        <v>44228</v>
      </c>
      <c r="J126" s="48">
        <v>66</v>
      </c>
      <c r="K126" s="26">
        <v>144000</v>
      </c>
      <c r="L126" s="26"/>
      <c r="M126" s="27">
        <v>27360</v>
      </c>
      <c r="N126" s="28"/>
      <c r="O126" s="27">
        <v>0</v>
      </c>
      <c r="P126" s="28">
        <v>0</v>
      </c>
      <c r="Q126" s="27">
        <v>0</v>
      </c>
      <c r="R126" s="26">
        <v>171360</v>
      </c>
      <c r="S126" s="115">
        <f ca="1">IF(PROVEEDORES[[#This Row],[FECHA DE PAGO]]=0,TODAY()-PROVEEDORES[[#This Row],[FECHA DE FACTURACIÓN]]-PROVEEDORES[[#This Row],[PLAZO Días]],0)</f>
        <v>0</v>
      </c>
      <c r="T12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" spans="1:20" ht="21.9" customHeight="1" x14ac:dyDescent="0.3">
      <c r="A127" s="113" t="str">
        <f>+IF(PROVEEDORES[[#This Row],[FECHA DE PAGO]]=PROVEEDORES[[#This Row],[FECHA DE FACTURACIÓN]],"DE CONTADO","CRÉDITO")</f>
        <v>CRÉDITO</v>
      </c>
      <c r="B127" s="51" t="b">
        <f>+IF((PROVEEDORES[[#This Row],[FECHA DE PAGO]]-PROVEEDORES[[#This Row],[FECHA DE FACTURACIÓN]])&gt;PROVEEDORES[[#This Row],[PLAZO Días]],"PAGO VENCIDO")</f>
        <v>0</v>
      </c>
      <c r="C127" s="25">
        <f>+VLOOKUP(PROVEEDORES[[#This Row],[PROVEEDOR]],TERCEROS_INFO[#All],2,FALSE)</f>
        <v>30</v>
      </c>
      <c r="D127" s="30">
        <f>+SUMIFS(PROVEEDORES[Total],PROVEEDORES[PROVEEDOR],PROVEEDORES[[#This Row],[PROVEEDOR]],PROVEEDORES[FECHA DE PAGO],"")</f>
        <v>0</v>
      </c>
      <c r="E127" s="30"/>
      <c r="F127" s="73" t="str">
        <f>+VLOOKUP(PROVEEDORES[[#This Row],[PROVEEDOR]],TERCEROS_INFO[[PROVEEDOR]:[CORREO]],5,FALSE)</f>
        <v>CARLOSARCILAMENSAJERIA@gmail.com;girlesa.ruiz@servipilas.com;joriescobar64@gmail.com</v>
      </c>
      <c r="G127" s="111">
        <v>44235</v>
      </c>
      <c r="H127" s="31" t="s">
        <v>1046</v>
      </c>
      <c r="I127" s="111">
        <v>44228</v>
      </c>
      <c r="J127" s="48">
        <v>263</v>
      </c>
      <c r="K127" s="26">
        <v>184000</v>
      </c>
      <c r="L127" s="26"/>
      <c r="M127" s="27">
        <v>0</v>
      </c>
      <c r="N127" s="28"/>
      <c r="O127" s="27">
        <v>0</v>
      </c>
      <c r="P127" s="28">
        <v>0</v>
      </c>
      <c r="Q127" s="27">
        <v>0</v>
      </c>
      <c r="R127" s="26">
        <v>184000</v>
      </c>
      <c r="S127" s="115">
        <f ca="1">IF(PROVEEDORES[[#This Row],[FECHA DE PAGO]]=0,TODAY()-PROVEEDORES[[#This Row],[FECHA DE FACTURACIÓN]]-PROVEEDORES[[#This Row],[PLAZO Días]],0)</f>
        <v>0</v>
      </c>
      <c r="T1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8" spans="1:20" ht="21.9" customHeight="1" x14ac:dyDescent="0.3">
      <c r="A128" s="113" t="str">
        <f>+IF(PROVEEDORES[[#This Row],[FECHA DE PAGO]]=PROVEEDORES[[#This Row],[FECHA DE FACTURACIÓN]],"DE CONTADO","CRÉDITO")</f>
        <v>CRÉDITO</v>
      </c>
      <c r="B128" s="51" t="b">
        <f>+IF((PROVEEDORES[[#This Row],[FECHA DE PAGO]]-PROVEEDORES[[#This Row],[FECHA DE FACTURACIÓN]])&gt;PROVEEDORES[[#This Row],[PLAZO Días]],"PAGO VENCIDO")</f>
        <v>0</v>
      </c>
      <c r="C128" s="25">
        <f>+VLOOKUP(PROVEEDORES[[#This Row],[PROVEEDOR]],TERCEROS_INFO[#All],2,FALSE)</f>
        <v>30</v>
      </c>
      <c r="D128" s="30">
        <f>+SUMIFS(PROVEEDORES[Total],PROVEEDORES[PROVEEDOR],PROVEEDORES[[#This Row],[PROVEEDOR]],PROVEEDORES[FECHA DE PAGO],"")</f>
        <v>248736.18000000002</v>
      </c>
      <c r="E128" s="30"/>
      <c r="F128" s="73" t="str">
        <f>+VLOOKUP(PROVEEDORES[[#This Row],[PROVEEDOR]],TERCEROS_INFO[[PROVEEDOR]:[CORREO]],5,FALSE)</f>
        <v>administracion@sapian.com.co;girlesa.ruiz@servipilas.com;joriescobar64@gmail.com</v>
      </c>
      <c r="G128" s="111">
        <v>44250</v>
      </c>
      <c r="H128" s="31" t="s">
        <v>346</v>
      </c>
      <c r="I128" s="111">
        <v>44228</v>
      </c>
      <c r="J128" s="48">
        <v>1350</v>
      </c>
      <c r="K128" s="26">
        <v>203897</v>
      </c>
      <c r="L128" s="26"/>
      <c r="M128" s="27">
        <v>38740.43</v>
      </c>
      <c r="N128" s="28"/>
      <c r="O128" s="27">
        <v>0</v>
      </c>
      <c r="P128" s="28">
        <v>3.5000000000000003E-2</v>
      </c>
      <c r="Q128" s="27">
        <v>7136.3950000000004</v>
      </c>
      <c r="R128" s="26">
        <v>235501.035</v>
      </c>
      <c r="S128" s="115">
        <f ca="1">IF(PROVEEDORES[[#This Row],[FECHA DE PAGO]]=0,TODAY()-PROVEEDORES[[#This Row],[FECHA DE FACTURACIÓN]]-PROVEEDORES[[#This Row],[PLAZO Días]],0)</f>
        <v>0</v>
      </c>
      <c r="T12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9" spans="1:20" ht="21.9" customHeight="1" x14ac:dyDescent="0.3">
      <c r="A129" s="113" t="str">
        <f>+IF(PROVEEDORES[[#This Row],[FECHA DE PAGO]]=PROVEEDORES[[#This Row],[FECHA DE FACTURACIÓN]],"DE CONTADO","CRÉDITO")</f>
        <v>CRÉDITO</v>
      </c>
      <c r="B129" s="51" t="b">
        <f>+IF((PROVEEDORES[[#This Row],[FECHA DE PAGO]]-PROVEEDORES[[#This Row],[FECHA DE FACTURACIÓN]])&gt;PROVEEDORES[[#This Row],[PLAZO Días]],"PAGO VENCIDO")</f>
        <v>0</v>
      </c>
      <c r="C129" s="25">
        <f>+VLOOKUP(PROVEEDORES[[#This Row],[PROVEEDOR]],TERCEROS_INFO[#All],2,FALSE)</f>
        <v>30</v>
      </c>
      <c r="D129" s="30">
        <f>+SUMIFS(PROVEEDORES[Total],PROVEEDORES[PROVEEDOR],PROVEEDORES[[#This Row],[PROVEEDOR]],PROVEEDORES[FECHA DE PAGO],"")</f>
        <v>0</v>
      </c>
      <c r="E129" s="30"/>
      <c r="F129" s="73" t="str">
        <f>+VLOOKUP(PROVEEDORES[[#This Row],[PROVEEDOR]],TERCEROS_INFO[[PROVEEDOR]:[CORREO]],5,FALSE)</f>
        <v>facturacion@losmolinos.com.co</v>
      </c>
      <c r="G129" s="111">
        <v>44243</v>
      </c>
      <c r="H129" s="31" t="s">
        <v>345</v>
      </c>
      <c r="I129" s="111">
        <v>44228</v>
      </c>
      <c r="J129" s="48"/>
      <c r="K129" s="26">
        <v>250973</v>
      </c>
      <c r="L129" s="26"/>
      <c r="M129" s="27">
        <v>0</v>
      </c>
      <c r="N129" s="28"/>
      <c r="O129" s="27">
        <v>32616.300000000003</v>
      </c>
      <c r="P129" s="28">
        <v>0</v>
      </c>
      <c r="Q129" s="27">
        <v>0</v>
      </c>
      <c r="R129" s="26">
        <v>1196145</v>
      </c>
      <c r="S129" s="115">
        <f ca="1">IF(PROVEEDORES[[#This Row],[FECHA DE PAGO]]=0,TODAY()-PROVEEDORES[[#This Row],[FECHA DE FACTURACIÓN]]-PROVEEDORES[[#This Row],[PLAZO Días]],0)</f>
        <v>0</v>
      </c>
      <c r="T12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0" spans="1:20" ht="21.9" customHeight="1" x14ac:dyDescent="0.3">
      <c r="A130" s="113" t="str">
        <f>+IF(PROVEEDORES[[#This Row],[FECHA DE PAGO]]=PROVEEDORES[[#This Row],[FECHA DE FACTURACIÓN]],"DE CONTADO","CRÉDITO")</f>
        <v>CRÉDITO</v>
      </c>
      <c r="B130" s="51" t="str">
        <f>+IF((PROVEEDORES[[#This Row],[FECHA DE PAGO]]-PROVEEDORES[[#This Row],[FECHA DE FACTURACIÓN]])&gt;PROVEEDORES[[#This Row],[PLAZO Días]],"PAGO VENCIDO")</f>
        <v>PAGO VENCIDO</v>
      </c>
      <c r="C130" s="25">
        <f>+VLOOKUP(PROVEEDORES[[#This Row],[PROVEEDOR]],TERCEROS_INFO[#All],2,FALSE)</f>
        <v>30</v>
      </c>
      <c r="D130" s="30">
        <f>+SUMIFS(PROVEEDORES[Total],PROVEEDORES[PROVEEDOR],PROVEEDORES[[#This Row],[PROVEEDOR]],PROVEEDORES[FECHA DE PAGO],"")</f>
        <v>0</v>
      </c>
      <c r="E130" s="30"/>
      <c r="F130" s="73" t="str">
        <f>+VLOOKUP(PROVEEDORES[[#This Row],[PROVEEDOR]],TERCEROS_INFO[[PROVEEDOR]:[CORREO]],5,FALSE)</f>
        <v>yermingg@hotmail.com;girlesa.ruiz@servipilas.com;joriescobar64@gmail.com</v>
      </c>
      <c r="G130" s="111">
        <v>44335</v>
      </c>
      <c r="H130" s="31" t="s">
        <v>1085</v>
      </c>
      <c r="I130" s="111">
        <v>44228</v>
      </c>
      <c r="J130" s="48" t="s">
        <v>677</v>
      </c>
      <c r="K130" s="26">
        <v>290000</v>
      </c>
      <c r="L130" s="26"/>
      <c r="M130" s="27">
        <v>0</v>
      </c>
      <c r="N130" s="28"/>
      <c r="O130" s="27">
        <v>0</v>
      </c>
      <c r="P130" s="28">
        <v>0</v>
      </c>
      <c r="Q130" s="27">
        <v>0</v>
      </c>
      <c r="R130" s="26">
        <v>290000</v>
      </c>
      <c r="S130" s="115">
        <f ca="1">IF(PROVEEDORES[[#This Row],[FECHA DE PAGO]]=0,TODAY()-PROVEEDORES[[#This Row],[FECHA DE FACTURACIÓN]]-PROVEEDORES[[#This Row],[PLAZO Días]],0)</f>
        <v>0</v>
      </c>
      <c r="T13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1" spans="1:20" ht="21.9" customHeight="1" x14ac:dyDescent="0.3">
      <c r="A131" s="113" t="str">
        <f>+IF(PROVEEDORES[[#This Row],[FECHA DE PAGO]]=PROVEEDORES[[#This Row],[FECHA DE FACTURACIÓN]],"DE CONTADO","CRÉDITO")</f>
        <v>CRÉDITO</v>
      </c>
      <c r="B131" s="51" t="b">
        <f>+IF((PROVEEDORES[[#This Row],[FECHA DE PAGO]]-PROVEEDORES[[#This Row],[FECHA DE FACTURACIÓN]])&gt;PROVEEDORES[[#This Row],[PLAZO Días]],"PAGO VENCIDO")</f>
        <v>0</v>
      </c>
      <c r="C131" s="25">
        <f>+VLOOKUP(PROVEEDORES[[#This Row],[PROVEEDOR]],TERCEROS_INFO[#All],2,FALSE)</f>
        <v>30</v>
      </c>
      <c r="D131" s="30">
        <f>+SUMIFS(PROVEEDORES[Total],PROVEEDORES[PROVEEDOR],PROVEEDORES[[#This Row],[PROVEEDOR]],PROVEEDORES[FECHA DE PAGO],"")</f>
        <v>0</v>
      </c>
      <c r="E131" s="30"/>
      <c r="F131" s="73" t="str">
        <f>+VLOOKUP(PROVEEDORES[[#This Row],[PROVEEDOR]],TERCEROS_INFO[[PROVEEDOR]:[CORREO]],5,FALSE)</f>
        <v>contabilidad@comercialweb.com.co;info@servipilas.com</v>
      </c>
      <c r="G131" s="111">
        <v>44239</v>
      </c>
      <c r="H131" s="31" t="s">
        <v>344</v>
      </c>
      <c r="I131" s="111">
        <v>44228</v>
      </c>
      <c r="J131" s="48">
        <v>252</v>
      </c>
      <c r="K131" s="26">
        <v>600000</v>
      </c>
      <c r="L131" s="26"/>
      <c r="M131" s="27">
        <v>0</v>
      </c>
      <c r="N131" s="28"/>
      <c r="O131" s="27">
        <v>0</v>
      </c>
      <c r="P131" s="28">
        <v>0</v>
      </c>
      <c r="Q131" s="27">
        <v>0</v>
      </c>
      <c r="R131" s="26">
        <v>600000</v>
      </c>
      <c r="S131" s="115">
        <f ca="1">IF(PROVEEDORES[[#This Row],[FECHA DE PAGO]]=0,TODAY()-PROVEEDORES[[#This Row],[FECHA DE FACTURACIÓN]]-PROVEEDORES[[#This Row],[PLAZO Días]],0)</f>
        <v>0</v>
      </c>
      <c r="T1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2" spans="1:20" ht="21.9" customHeight="1" x14ac:dyDescent="0.3">
      <c r="A132" s="113" t="str">
        <f>+IF(PROVEEDORES[[#This Row],[FECHA DE PAGO]]=PROVEEDORES[[#This Row],[FECHA DE FACTURACIÓN]],"DE CONTADO","CRÉDITO")</f>
        <v>CRÉDITO</v>
      </c>
      <c r="B132" s="51" t="b">
        <f>+IF((PROVEEDORES[[#This Row],[FECHA DE PAGO]]-PROVEEDORES[[#This Row],[FECHA DE FACTURACIÓN]])&gt;PROVEEDORES[[#This Row],[PLAZO Días]],"PAGO VENCIDO")</f>
        <v>0</v>
      </c>
      <c r="C132" s="25">
        <f>+VLOOKUP(PROVEEDORES[[#This Row],[PROVEEDOR]],TERCEROS_INFO[#All],2,FALSE)</f>
        <v>30</v>
      </c>
      <c r="D132" s="30">
        <f>+SUMIFS(PROVEEDORES[Total],PROVEEDORES[PROVEEDOR],PROVEEDORES[[#This Row],[PROVEEDOR]],PROVEEDORES[FECHA DE PAGO],"")</f>
        <v>148000</v>
      </c>
      <c r="E132" s="30"/>
      <c r="F132" s="73" t="str">
        <f>+VLOOKUP(PROVEEDORES[[#This Row],[PROVEEDOR]],TERCEROS_INFO[[PROVEEDOR]:[CORREO]],5,FALSE)</f>
        <v>jarlysas@gmail.com;o.clockinternational@gmail.com;girlesa.ruiz@servipilas.com;joriescobar64@gmail.com</v>
      </c>
      <c r="G132" s="111">
        <v>44243</v>
      </c>
      <c r="H132" s="31" t="s">
        <v>1048</v>
      </c>
      <c r="I132" s="111">
        <v>44228</v>
      </c>
      <c r="J132" s="48" t="s">
        <v>221</v>
      </c>
      <c r="K132" s="26">
        <v>714500</v>
      </c>
      <c r="L132" s="26"/>
      <c r="M132" s="27">
        <v>0</v>
      </c>
      <c r="N132" s="28"/>
      <c r="O132" s="27">
        <v>0</v>
      </c>
      <c r="P132" s="28">
        <v>0</v>
      </c>
      <c r="Q132" s="27">
        <v>0</v>
      </c>
      <c r="R132" s="26">
        <v>714500</v>
      </c>
      <c r="S132" s="115">
        <f ca="1">IF(PROVEEDORES[[#This Row],[FECHA DE PAGO]]=0,TODAY()-PROVEEDORES[[#This Row],[FECHA DE FACTURACIÓN]]-PROVEEDORES[[#This Row],[PLAZO Días]],0)</f>
        <v>0</v>
      </c>
      <c r="T1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3" spans="1:20" ht="21.9" customHeight="1" x14ac:dyDescent="0.3">
      <c r="A133" s="113" t="str">
        <f>+IF(PROVEEDORES[[#This Row],[FECHA DE PAGO]]=PROVEEDORES[[#This Row],[FECHA DE FACTURACIÓN]],"DE CONTADO","CRÉDITO")</f>
        <v>CRÉDITO</v>
      </c>
      <c r="B133" s="51" t="b">
        <f>+IF((PROVEEDORES[[#This Row],[FECHA DE PAGO]]-PROVEEDORES[[#This Row],[FECHA DE FACTURACIÓN]])&gt;PROVEEDORES[[#This Row],[PLAZO Días]],"PAGO VENCIDO")</f>
        <v>0</v>
      </c>
      <c r="C133" s="25">
        <f>+VLOOKUP(PROVEEDORES[[#This Row],[PROVEEDOR]],TERCEROS_INFO[#All],2,FALSE)</f>
        <v>30</v>
      </c>
      <c r="D133" s="30">
        <f>+SUMIFS(PROVEEDORES[Total],PROVEEDORES[PROVEEDOR],PROVEEDORES[[#This Row],[PROVEEDOR]],PROVEEDORES[FECHA DE PAGO],"")</f>
        <v>4862586.33</v>
      </c>
      <c r="E133" s="30"/>
      <c r="F133" s="73" t="str">
        <f>+VLOOKUP(PROVEEDORES[[#This Row],[PROVEEDOR]],TERCEROS_INFO[[PROVEEDOR]:[CORREO]],5,FALSE)</f>
        <v>cartera@conbienes.com;girlesa.ruiz@servipilas.com;joriescobar64@gmail.com</v>
      </c>
      <c r="G133" s="111">
        <v>44250</v>
      </c>
      <c r="H133" s="31" t="s">
        <v>348</v>
      </c>
      <c r="I133" s="111">
        <v>44228</v>
      </c>
      <c r="J133" s="48">
        <v>4792</v>
      </c>
      <c r="K133" s="26">
        <v>716544</v>
      </c>
      <c r="L133" s="26"/>
      <c r="M133" s="27">
        <v>136143.36000000002</v>
      </c>
      <c r="N133" s="28"/>
      <c r="O133" s="27">
        <v>0</v>
      </c>
      <c r="P133" s="28">
        <v>0</v>
      </c>
      <c r="Q133" s="27">
        <v>0</v>
      </c>
      <c r="R133" s="26">
        <v>852687.35999999999</v>
      </c>
      <c r="S133" s="115">
        <f ca="1">IF(PROVEEDORES[[#This Row],[FECHA DE PAGO]]=0,TODAY()-PROVEEDORES[[#This Row],[FECHA DE FACTURACIÓN]]-PROVEEDORES[[#This Row],[PLAZO Días]],0)</f>
        <v>0</v>
      </c>
      <c r="T1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4" spans="1:20" ht="21.9" customHeight="1" x14ac:dyDescent="0.3">
      <c r="A134" s="113" t="str">
        <f>+IF(PROVEEDORES[[#This Row],[FECHA DE PAGO]]=PROVEEDORES[[#This Row],[FECHA DE FACTURACIÓN]],"DE CONTADO","CRÉDITO")</f>
        <v>CRÉDITO</v>
      </c>
      <c r="B134" s="51" t="b">
        <f>+IF((PROVEEDORES[[#This Row],[FECHA DE PAGO]]-PROVEEDORES[[#This Row],[FECHA DE FACTURACIÓN]])&gt;PROVEEDORES[[#This Row],[PLAZO Días]],"PAGO VENCIDO")</f>
        <v>0</v>
      </c>
      <c r="C134" s="25">
        <f>+VLOOKUP(PROVEEDORES[[#This Row],[PROVEEDOR]],TERCEROS_INFO[#All],2,FALSE)</f>
        <v>30</v>
      </c>
      <c r="D134" s="30">
        <f>+SUMIFS(PROVEEDORES[Total],PROVEEDORES[PROVEEDOR],PROVEEDORES[[#This Row],[PROVEEDOR]],PROVEEDORES[FECHA DE PAGO],"")</f>
        <v>1296896</v>
      </c>
      <c r="E134" s="30"/>
      <c r="F134" s="73" t="str">
        <f>+VLOOKUP(PROVEEDORES[[#This Row],[PROVEEDOR]],TERCEROS_INFO[[PROVEEDOR]:[CORREO]],5,FALSE)</f>
        <v>tesoreria@lacentral.com.co;girlesa.ruiz@servipilas.com;joriescobar64@gmail.com</v>
      </c>
      <c r="G134" s="111">
        <v>44250</v>
      </c>
      <c r="H134" s="31" t="s">
        <v>335</v>
      </c>
      <c r="I134" s="111">
        <v>44228</v>
      </c>
      <c r="J134" s="48"/>
      <c r="K134" s="26">
        <v>1327746</v>
      </c>
      <c r="L134" s="26"/>
      <c r="M134" s="27">
        <v>0</v>
      </c>
      <c r="N134" s="28"/>
      <c r="O134" s="27">
        <v>131601</v>
      </c>
      <c r="P134" s="28">
        <v>0</v>
      </c>
      <c r="Q134" s="27">
        <v>0</v>
      </c>
      <c r="R134" s="26">
        <v>218356.7</v>
      </c>
      <c r="S134" s="115">
        <f ca="1">IF(PROVEEDORES[[#This Row],[FECHA DE PAGO]]=0,TODAY()-PROVEEDORES[[#This Row],[FECHA DE FACTURACIÓN]]-PROVEEDORES[[#This Row],[PLAZO Días]],0)</f>
        <v>0</v>
      </c>
      <c r="T1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5" spans="1:20" ht="21.9" customHeight="1" x14ac:dyDescent="0.3">
      <c r="A135" s="113" t="str">
        <f>+IF(PROVEEDORES[[#This Row],[FECHA DE PAGO]]=PROVEEDORES[[#This Row],[FECHA DE FACTURACIÓN]],"DE CONTADO","CRÉDITO")</f>
        <v>CRÉDITO</v>
      </c>
      <c r="B135" s="51" t="b">
        <f>+IF((PROVEEDORES[[#This Row],[FECHA DE PAGO]]-PROVEEDORES[[#This Row],[FECHA DE FACTURACIÓN]])&gt;PROVEEDORES[[#This Row],[PLAZO Días]],"PAGO VENCIDO")</f>
        <v>0</v>
      </c>
      <c r="C135" s="25">
        <f>+VLOOKUP(PROVEEDORES[[#This Row],[PROVEEDOR]],TERCEROS_INFO[#All],2,FALSE)</f>
        <v>30</v>
      </c>
      <c r="D135" s="30">
        <f>+SUMIFS(PROVEEDORES[Total],PROVEEDORES[PROVEEDOR],PROVEEDORES[[#This Row],[PROVEEDOR]],PROVEEDORES[FECHA DE PAGO],"")</f>
        <v>0</v>
      </c>
      <c r="E135" s="30"/>
      <c r="F135" s="73" t="str">
        <f>+VLOOKUP(PROVEEDORES[[#This Row],[PROVEEDOR]],TERCEROS_INFO[[PROVEEDOR]:[CORREO]],5,FALSE)</f>
        <v>propertymarketingsas@hotmail.com;girlesa.ruiz@servipilas.com;joriescobar64@gmail.com</v>
      </c>
      <c r="G135" s="111">
        <v>44250</v>
      </c>
      <c r="H135" s="31" t="s">
        <v>486</v>
      </c>
      <c r="I135" s="111">
        <v>44228</v>
      </c>
      <c r="J135" s="48" t="s">
        <v>678</v>
      </c>
      <c r="K135" s="26">
        <v>2789636</v>
      </c>
      <c r="L135" s="26"/>
      <c r="M135" s="27">
        <v>0</v>
      </c>
      <c r="N135" s="28"/>
      <c r="O135" s="27">
        <v>0</v>
      </c>
      <c r="P135" s="28">
        <v>3.5000000000000003E-2</v>
      </c>
      <c r="Q135" s="27">
        <v>97637.260000000009</v>
      </c>
      <c r="R135" s="26">
        <v>2691998.74</v>
      </c>
      <c r="S135" s="115">
        <f ca="1">IF(PROVEEDORES[[#This Row],[FECHA DE PAGO]]=0,TODAY()-PROVEEDORES[[#This Row],[FECHA DE FACTURACIÓN]]-PROVEEDORES[[#This Row],[PLAZO Días]],0)</f>
        <v>0</v>
      </c>
      <c r="T1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" spans="1:20" ht="21.9" customHeight="1" x14ac:dyDescent="0.3">
      <c r="A136" s="113" t="str">
        <f>+IF(PROVEEDORES[[#This Row],[FECHA DE PAGO]]=PROVEEDORES[[#This Row],[FECHA DE FACTURACIÓN]],"DE CONTADO","CRÉDITO")</f>
        <v>CRÉDITO</v>
      </c>
      <c r="B136" s="51" t="b">
        <f>+IF((PROVEEDORES[[#This Row],[FECHA DE PAGO]]-PROVEEDORES[[#This Row],[FECHA DE FACTURACIÓN]])&gt;PROVEEDORES[[#This Row],[PLAZO Días]],"PAGO VENCIDO")</f>
        <v>0</v>
      </c>
      <c r="C136" s="25">
        <f>+VLOOKUP(PROVEEDORES[[#This Row],[PROVEEDOR]],TERCEROS_INFO[#All],2,FALSE)</f>
        <v>30</v>
      </c>
      <c r="D136" s="30">
        <f>+SUMIFS(PROVEEDORES[Total],PROVEEDORES[PROVEEDOR],PROVEEDORES[[#This Row],[PROVEEDOR]],PROVEEDORES[FECHA DE PAGO],"")</f>
        <v>4862586.33</v>
      </c>
      <c r="E136" s="30"/>
      <c r="F136" s="73" t="str">
        <f>+VLOOKUP(PROVEEDORES[[#This Row],[PROVEEDOR]],TERCEROS_INFO[[PROVEEDOR]:[CORREO]],5,FALSE)</f>
        <v>cartera@conbienes.com;girlesa.ruiz@servipilas.com;joriescobar64@gmail.com</v>
      </c>
      <c r="G136" s="111">
        <v>44250</v>
      </c>
      <c r="H136" s="31" t="s">
        <v>348</v>
      </c>
      <c r="I136" s="111">
        <v>44228</v>
      </c>
      <c r="J136" s="48">
        <v>5070</v>
      </c>
      <c r="K136" s="26">
        <v>3061166</v>
      </c>
      <c r="L136" s="26"/>
      <c r="M136" s="27">
        <v>581621.54</v>
      </c>
      <c r="N136" s="28"/>
      <c r="O136" s="27">
        <v>0</v>
      </c>
      <c r="P136" s="28">
        <v>0</v>
      </c>
      <c r="Q136" s="27">
        <v>0</v>
      </c>
      <c r="R136" s="26">
        <v>3642787.54</v>
      </c>
      <c r="S136" s="115">
        <f ca="1">IF(PROVEEDORES[[#This Row],[FECHA DE PAGO]]=0,TODAY()-PROVEEDORES[[#This Row],[FECHA DE FACTURACIÓN]]-PROVEEDORES[[#This Row],[PLAZO Días]],0)</f>
        <v>0</v>
      </c>
      <c r="T1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7" spans="1:20" ht="21.9" customHeight="1" x14ac:dyDescent="0.3">
      <c r="A137" s="113" t="str">
        <f>+IF(PROVEEDORES[[#This Row],[FECHA DE PAGO]]=PROVEEDORES[[#This Row],[FECHA DE FACTURACIÓN]],"DE CONTADO","CRÉDITO")</f>
        <v>CRÉDITO</v>
      </c>
      <c r="B137" s="51" t="b">
        <f>+IF((PROVEEDORES[[#This Row],[FECHA DE PAGO]]-PROVEEDORES[[#This Row],[FECHA DE FACTURACIÓN]])&gt;PROVEEDORES[[#This Row],[PLAZO Días]],"PAGO VENCIDO")</f>
        <v>0</v>
      </c>
      <c r="C137" s="25">
        <f>+VLOOKUP(PROVEEDORES[[#This Row],[PROVEEDOR]],TERCEROS_INFO[#All],2,FALSE)</f>
        <v>30</v>
      </c>
      <c r="D137" s="30">
        <f>+SUMIFS(PROVEEDORES[Total],PROVEEDORES[PROVEEDOR],PROVEEDORES[[#This Row],[PROVEEDOR]],PROVEEDORES[FECHA DE PAGO],"")</f>
        <v>0</v>
      </c>
      <c r="E137" s="30"/>
      <c r="F137" s="73" t="str">
        <f>+VLOOKUP(PROVEEDORES[[#This Row],[PROVEEDOR]],TERCEROS_INFO[[PROVEEDOR]:[CORREO]],5,FALSE)</f>
        <v/>
      </c>
      <c r="G137" s="111">
        <v>44237</v>
      </c>
      <c r="H137" s="31" t="s">
        <v>1007</v>
      </c>
      <c r="I137" s="111">
        <v>44228</v>
      </c>
      <c r="J137" s="48" t="s">
        <v>676</v>
      </c>
      <c r="K137" s="26">
        <v>3313000</v>
      </c>
      <c r="L137" s="26"/>
      <c r="M137" s="27">
        <v>0</v>
      </c>
      <c r="N137" s="28"/>
      <c r="O137" s="27">
        <v>0</v>
      </c>
      <c r="P137" s="28">
        <v>0</v>
      </c>
      <c r="Q137" s="27">
        <v>0</v>
      </c>
      <c r="R137" s="26">
        <v>3313000</v>
      </c>
      <c r="S137" s="115">
        <f ca="1">IF(PROVEEDORES[[#This Row],[FECHA DE PAGO]]=0,TODAY()-PROVEEDORES[[#This Row],[FECHA DE FACTURACIÓN]]-PROVEEDORES[[#This Row],[PLAZO Días]],0)</f>
        <v>0</v>
      </c>
      <c r="T1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" spans="1:20" ht="21.9" customHeight="1" x14ac:dyDescent="0.3">
      <c r="A138" s="113" t="str">
        <f>+IF(PROVEEDORES[[#This Row],[FECHA DE PAGO]]=PROVEEDORES[[#This Row],[FECHA DE FACTURACIÓN]],"DE CONTADO","CRÉDITO")</f>
        <v>CRÉDITO</v>
      </c>
      <c r="B138" s="51" t="b">
        <f>+IF((PROVEEDORES[[#This Row],[FECHA DE PAGO]]-PROVEEDORES[[#This Row],[FECHA DE FACTURACIÓN]])&gt;PROVEEDORES[[#This Row],[PLAZO Días]],"PAGO VENCIDO")</f>
        <v>0</v>
      </c>
      <c r="C138" s="25">
        <f>+VLOOKUP(PROVEEDORES[[#This Row],[PROVEEDOR]],TERCEROS_INFO[#All],2,FALSE)</f>
        <v>30</v>
      </c>
      <c r="D138" s="30">
        <f>+SUMIFS(PROVEEDORES[Total],PROVEEDORES[PROVEEDOR],PROVEEDORES[[#This Row],[PROVEEDOR]],PROVEEDORES[FECHA DE PAGO],"")</f>
        <v>5060410.5999999996</v>
      </c>
      <c r="E138" s="30"/>
      <c r="F138" s="73" t="str">
        <f>+VLOOKUP(PROVEEDORES[[#This Row],[PROVEEDOR]],TERCEROS_INFO[[PROVEEDOR]:[CORREO]],5,FALSE)</f>
        <v>CBastidas@vyp.com.co;girlesa.ruiz@servipilas.com;joriescobar64@gmail.com</v>
      </c>
      <c r="G138" s="111">
        <v>44250</v>
      </c>
      <c r="H138" s="31" t="s">
        <v>347</v>
      </c>
      <c r="I138" s="111">
        <v>44228</v>
      </c>
      <c r="J138" s="48">
        <v>38129</v>
      </c>
      <c r="K138" s="26">
        <v>3488000</v>
      </c>
      <c r="L138" s="26"/>
      <c r="M138" s="27">
        <v>662720</v>
      </c>
      <c r="N138" s="28"/>
      <c r="O138" s="27">
        <v>0</v>
      </c>
      <c r="P138" s="28">
        <v>3.5000000000000003E-2</v>
      </c>
      <c r="Q138" s="27">
        <v>122080.00000000001</v>
      </c>
      <c r="R138" s="26">
        <v>4028640</v>
      </c>
      <c r="S138" s="115">
        <f ca="1">IF(PROVEEDORES[[#This Row],[FECHA DE PAGO]]=0,TODAY()-PROVEEDORES[[#This Row],[FECHA DE FACTURACIÓN]]-PROVEEDORES[[#This Row],[PLAZO Días]],0)</f>
        <v>0</v>
      </c>
      <c r="T13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" spans="1:20" ht="21.9" customHeight="1" x14ac:dyDescent="0.3">
      <c r="A139" s="113" t="str">
        <f>+IF(PROVEEDORES[[#This Row],[FECHA DE PAGO]]=PROVEEDORES[[#This Row],[FECHA DE FACTURACIÓN]],"DE CONTADO","CRÉDITO")</f>
        <v>CRÉDITO</v>
      </c>
      <c r="B139" s="51" t="b">
        <f>+IF((PROVEEDORES[[#This Row],[FECHA DE PAGO]]-PROVEEDORES[[#This Row],[FECHA DE FACTURACIÓN]])&gt;PROVEEDORES[[#This Row],[PLAZO Días]],"PAGO VENCIDO")</f>
        <v>0</v>
      </c>
      <c r="C139" s="25">
        <f>+VLOOKUP(PROVEEDORES[[#This Row],[PROVEEDOR]],TERCEROS_INFO[#All],2,FALSE)</f>
        <v>45</v>
      </c>
      <c r="D139" s="30">
        <f>+SUMIFS(PROVEEDORES[Total],PROVEEDORES[PROVEEDOR],PROVEEDORES[[#This Row],[PROVEEDOR]],PROVEEDORES[FECHA DE PAGO],"")</f>
        <v>1070024.2</v>
      </c>
      <c r="E139" s="30"/>
      <c r="F139" s="73" t="str">
        <f>+VLOOKUP(PROVEEDORES[[#This Row],[PROVEEDOR]],TERCEROS_INFO[[PROVEEDOR]:[CORREO]],5,FALSE)</f>
        <v>libardopineda@tronex.com;girlesa.ruiz@servipilas.com;joriescobar64@gmail.com</v>
      </c>
      <c r="G139" s="111">
        <v>44257</v>
      </c>
      <c r="H139" s="31" t="s">
        <v>10</v>
      </c>
      <c r="I139" s="111">
        <v>44229</v>
      </c>
      <c r="J139" s="48" t="s">
        <v>151</v>
      </c>
      <c r="K139" s="26">
        <v>-732000</v>
      </c>
      <c r="L139" s="26"/>
      <c r="M139" s="27">
        <v>-139080</v>
      </c>
      <c r="N139" s="28"/>
      <c r="O139" s="27">
        <v>0</v>
      </c>
      <c r="P139" s="28">
        <v>0</v>
      </c>
      <c r="Q139" s="27">
        <v>0</v>
      </c>
      <c r="R139" s="26">
        <v>-871080</v>
      </c>
      <c r="S139" s="115">
        <f ca="1">IF(PROVEEDORES[[#This Row],[FECHA DE PAGO]]=0,TODAY()-PROVEEDORES[[#This Row],[FECHA DE FACTURACIÓN]]-PROVEEDORES[[#This Row],[PLAZO Días]],0)</f>
        <v>0</v>
      </c>
      <c r="T1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0" spans="1:20" ht="21.9" customHeight="1" x14ac:dyDescent="0.3">
      <c r="A140" s="113" t="str">
        <f>+IF(PROVEEDORES[[#This Row],[FECHA DE PAGO]]=PROVEEDORES[[#This Row],[FECHA DE FACTURACIÓN]],"DE CONTADO","CRÉDITO")</f>
        <v>CRÉDITO</v>
      </c>
      <c r="B140" s="51" t="str">
        <f>+IF((PROVEEDORES[[#This Row],[FECHA DE PAGO]]-PROVEEDORES[[#This Row],[FECHA DE FACTURACIÓN]])&gt;PROVEEDORES[[#This Row],[PLAZO Días]],"PAGO VENCIDO")</f>
        <v>PAGO VENCIDO</v>
      </c>
      <c r="C140" s="25">
        <f>+VLOOKUP(PROVEEDORES[[#This Row],[PROVEEDOR]],TERCEROS_INFO[#All],2,FALSE)</f>
        <v>30</v>
      </c>
      <c r="D140" s="30">
        <f>+SUMIFS(PROVEEDORES[Total],PROVEEDORES[PROVEEDOR],PROVEEDORES[[#This Row],[PROVEEDOR]],PROVEEDORES[FECHA DE PAGO],"")</f>
        <v>3400186.8245000001</v>
      </c>
      <c r="E140" s="30"/>
      <c r="F140" s="73" t="str">
        <f>+VLOOKUP(PROVEEDORES[[#This Row],[PROVEEDOR]],TERCEROS_INFO[[PROVEEDOR]:[CORREO]],5,FALSE)</f>
        <v>contabilidad@amgimportadora.com;mcastellanos@amgimportadora.com;girlesa.ruiz@servipilas.com;joriescobar64@gmail.com</v>
      </c>
      <c r="G140" s="111">
        <v>44264</v>
      </c>
      <c r="H140" s="31" t="s">
        <v>20</v>
      </c>
      <c r="I140" s="111">
        <v>44229</v>
      </c>
      <c r="J140" s="48">
        <v>3224</v>
      </c>
      <c r="K140" s="26">
        <v>43740</v>
      </c>
      <c r="L140" s="26"/>
      <c r="M140" s="27">
        <v>8310.6</v>
      </c>
      <c r="N140" s="28"/>
      <c r="O140" s="27">
        <v>0</v>
      </c>
      <c r="P140" s="28">
        <v>0</v>
      </c>
      <c r="Q140" s="27">
        <v>0</v>
      </c>
      <c r="R140" s="26">
        <v>52050.6</v>
      </c>
      <c r="S140" s="115">
        <f ca="1">IF(PROVEEDORES[[#This Row],[FECHA DE PAGO]]=0,TODAY()-PROVEEDORES[[#This Row],[FECHA DE FACTURACIÓN]]-PROVEEDORES[[#This Row],[PLAZO Días]],0)</f>
        <v>0</v>
      </c>
      <c r="T1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1" spans="1:20" ht="21.9" customHeight="1" x14ac:dyDescent="0.3">
      <c r="A141" s="113" t="str">
        <f>+IF(PROVEEDORES[[#This Row],[FECHA DE PAGO]]=PROVEEDORES[[#This Row],[FECHA DE FACTURACIÓN]],"DE CONTADO","CRÉDITO")</f>
        <v>CRÉDITO</v>
      </c>
      <c r="B141" s="51" t="b">
        <f>+IF((PROVEEDORES[[#This Row],[FECHA DE PAGO]]-PROVEEDORES[[#This Row],[FECHA DE FACTURACIÓN]])&gt;PROVEEDORES[[#This Row],[PLAZO Días]],"PAGO VENCIDO")</f>
        <v>0</v>
      </c>
      <c r="C141" s="25">
        <f>+VLOOKUP(PROVEEDORES[[#This Row],[PROVEEDOR]],TERCEROS_INFO[#All],2,FALSE)</f>
        <v>30</v>
      </c>
      <c r="D141" s="30">
        <f>+SUMIFS(PROVEEDORES[Total],PROVEEDORES[PROVEEDOR],PROVEEDORES[[#This Row],[PROVEEDOR]],PROVEEDORES[FECHA DE PAGO],"")</f>
        <v>0</v>
      </c>
      <c r="E141" s="30"/>
      <c r="F141" s="73" t="str">
        <f>+VLOOKUP(PROVEEDORES[[#This Row],[PROVEEDOR]],TERCEROS_INFO[[PROVEEDOR]:[CORREO]],5,FALSE)</f>
        <v>electronicascanaresas@gmail.com;girlesa.ruiz@servipilas.com;joriescobar64@gmail.com</v>
      </c>
      <c r="G141" s="111">
        <v>44239</v>
      </c>
      <c r="H141" s="31" t="s">
        <v>184</v>
      </c>
      <c r="I141" s="111">
        <v>44229</v>
      </c>
      <c r="J141" s="48">
        <v>1528</v>
      </c>
      <c r="K141" s="26">
        <v>134453.78</v>
      </c>
      <c r="L141" s="26"/>
      <c r="M141" s="27">
        <v>25546.218199999999</v>
      </c>
      <c r="N141" s="28"/>
      <c r="O141" s="27">
        <v>0</v>
      </c>
      <c r="P141" s="28">
        <v>0</v>
      </c>
      <c r="Q141" s="27">
        <v>0</v>
      </c>
      <c r="R141" s="26">
        <v>159999.9982</v>
      </c>
      <c r="S141" s="115">
        <f ca="1">IF(PROVEEDORES[[#This Row],[FECHA DE PAGO]]=0,TODAY()-PROVEEDORES[[#This Row],[FECHA DE FACTURACIÓN]]-PROVEEDORES[[#This Row],[PLAZO Días]],0)</f>
        <v>0</v>
      </c>
      <c r="T1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2" spans="1:20" ht="21.9" customHeight="1" x14ac:dyDescent="0.3">
      <c r="A142" s="113" t="str">
        <f>+IF(PROVEEDORES[[#This Row],[FECHA DE PAGO]]=PROVEEDORES[[#This Row],[FECHA DE FACTURACIÓN]],"DE CONTADO","CRÉDITO")</f>
        <v>DE CONTADO</v>
      </c>
      <c r="B142" s="51" t="b">
        <f>+IF((PROVEEDORES[[#This Row],[FECHA DE PAGO]]-PROVEEDORES[[#This Row],[FECHA DE FACTURACIÓN]])&gt;PROVEEDORES[[#This Row],[PLAZO Días]],"PAGO VENCIDO")</f>
        <v>0</v>
      </c>
      <c r="C142" s="25">
        <f>+VLOOKUP(PROVEEDORES[[#This Row],[PROVEEDOR]],TERCEROS_INFO[#All],2,FALSE)</f>
        <v>30</v>
      </c>
      <c r="D142" s="30">
        <f>+SUMIFS(PROVEEDORES[Total],PROVEEDORES[PROVEEDOR],PROVEEDORES[[#This Row],[PROVEEDOR]],PROVEEDORES[FECHA DE PAGO],"")</f>
        <v>0</v>
      </c>
      <c r="E142" s="30"/>
      <c r="F142" s="73" t="str">
        <f>+VLOOKUP(PROVEEDORES[[#This Row],[PROVEEDOR]],TERCEROS_INFO[[PROVEEDOR]:[CORREO]],5,FALSE)</f>
        <v/>
      </c>
      <c r="G142" s="111">
        <v>44229</v>
      </c>
      <c r="H142" s="31" t="s">
        <v>1005</v>
      </c>
      <c r="I142" s="111">
        <v>44229</v>
      </c>
      <c r="J142" s="48"/>
      <c r="K142" s="26">
        <v>385000</v>
      </c>
      <c r="L142" s="26"/>
      <c r="M142" s="27">
        <v>0</v>
      </c>
      <c r="N142" s="28"/>
      <c r="O142" s="27">
        <v>0</v>
      </c>
      <c r="P142" s="28">
        <v>0</v>
      </c>
      <c r="Q142" s="27">
        <v>0</v>
      </c>
      <c r="R142" s="26">
        <v>385000</v>
      </c>
      <c r="S142" s="115">
        <f ca="1">IF(PROVEEDORES[[#This Row],[FECHA DE PAGO]]=0,TODAY()-PROVEEDORES[[#This Row],[FECHA DE FACTURACIÓN]]-PROVEEDORES[[#This Row],[PLAZO Días]],0)</f>
        <v>0</v>
      </c>
      <c r="T1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3" spans="1:20" ht="21.9" customHeight="1" x14ac:dyDescent="0.3">
      <c r="A143" s="113" t="str">
        <f>+IF(PROVEEDORES[[#This Row],[FECHA DE PAGO]]=PROVEEDORES[[#This Row],[FECHA DE FACTURACIÓN]],"DE CONTADO","CRÉDITO")</f>
        <v>CRÉDITO</v>
      </c>
      <c r="B143" s="51" t="str">
        <f>+IF((PROVEEDORES[[#This Row],[FECHA DE PAGO]]-PROVEEDORES[[#This Row],[FECHA DE FACTURACIÓN]])&gt;PROVEEDORES[[#This Row],[PLAZO Días]],"PAGO VENCIDO")</f>
        <v>PAGO VENCIDO</v>
      </c>
      <c r="C143" s="25">
        <f>+VLOOKUP(PROVEEDORES[[#This Row],[PROVEEDOR]],TERCEROS_INFO[#All],2,FALSE)</f>
        <v>30</v>
      </c>
      <c r="D143" s="30">
        <f>+SUMIFS(PROVEEDORES[Total],PROVEEDORES[PROVEEDOR],PROVEEDORES[[#This Row],[PROVEEDOR]],PROVEEDORES[FECHA DE PAGO],"")</f>
        <v>0</v>
      </c>
      <c r="E143" s="30"/>
      <c r="F143" s="73" t="str">
        <f>+VLOOKUP(PROVEEDORES[[#This Row],[PROVEEDOR]],TERCEROS_INFO[[PROVEEDOR]:[CORREO]],5,FALSE)</f>
        <v>swizzeraux2@gmail.com;girlesa.ruiz@servipilas.com;joriescobar64@gmail.com</v>
      </c>
      <c r="G143" s="111">
        <v>44264</v>
      </c>
      <c r="H143" s="31" t="s">
        <v>1077</v>
      </c>
      <c r="I143" s="111">
        <v>44230</v>
      </c>
      <c r="J143" s="48" t="s">
        <v>187</v>
      </c>
      <c r="K143" s="26">
        <v>-68000</v>
      </c>
      <c r="L143" s="26"/>
      <c r="M143" s="27">
        <v>0</v>
      </c>
      <c r="N143" s="28"/>
      <c r="O143" s="27">
        <v>0</v>
      </c>
      <c r="P143" s="28">
        <v>0</v>
      </c>
      <c r="Q143" s="27">
        <v>0</v>
      </c>
      <c r="R143" s="26">
        <v>-68000</v>
      </c>
      <c r="S143" s="115">
        <f ca="1">IF(PROVEEDORES[[#This Row],[FECHA DE PAGO]]=0,TODAY()-PROVEEDORES[[#This Row],[FECHA DE FACTURACIÓN]]-PROVEEDORES[[#This Row],[PLAZO Días]],0)</f>
        <v>0</v>
      </c>
      <c r="T1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4" spans="1:20" ht="21.9" customHeight="1" x14ac:dyDescent="0.3">
      <c r="A144" s="113" t="str">
        <f>+IF(PROVEEDORES[[#This Row],[FECHA DE PAGO]]=PROVEEDORES[[#This Row],[FECHA DE FACTURACIÓN]],"DE CONTADO","CRÉDITO")</f>
        <v>CRÉDITO</v>
      </c>
      <c r="B144" s="51" t="str">
        <f>+IF((PROVEEDORES[[#This Row],[FECHA DE PAGO]]-PROVEEDORES[[#This Row],[FECHA DE FACTURACIÓN]])&gt;PROVEEDORES[[#This Row],[PLAZO Días]],"PAGO VENCIDO")</f>
        <v>PAGO VENCIDO</v>
      </c>
      <c r="C144" s="25">
        <f>+VLOOKUP(PROVEEDORES[[#This Row],[PROVEEDOR]],TERCEROS_INFO[#All],2,FALSE)</f>
        <v>30</v>
      </c>
      <c r="D144" s="30">
        <f>+SUMIFS(PROVEEDORES[Total],PROVEEDORES[PROVEEDOR],PROVEEDORES[[#This Row],[PROVEEDOR]],PROVEEDORES[FECHA DE PAGO],"")</f>
        <v>0</v>
      </c>
      <c r="E144" s="30"/>
      <c r="F144" s="73" t="str">
        <f>+VLOOKUP(PROVEEDORES[[#This Row],[PROVEEDOR]],TERCEROS_INFO[[PROVEEDOR]:[CORREO]],5,FALSE)</f>
        <v/>
      </c>
      <c r="G144" s="111">
        <v>44348</v>
      </c>
      <c r="H144" s="31" t="s">
        <v>1060</v>
      </c>
      <c r="I144" s="111">
        <v>44230</v>
      </c>
      <c r="J144" s="48">
        <v>4689</v>
      </c>
      <c r="K144" s="26">
        <v>390000</v>
      </c>
      <c r="L144" s="26"/>
      <c r="M144" s="27">
        <v>0</v>
      </c>
      <c r="N144" s="28"/>
      <c r="O144" s="27">
        <v>0</v>
      </c>
      <c r="P144" s="28">
        <v>0</v>
      </c>
      <c r="Q144" s="27">
        <v>0</v>
      </c>
      <c r="R144" s="26">
        <v>390000</v>
      </c>
      <c r="S144" s="115">
        <f ca="1">IF(PROVEEDORES[[#This Row],[FECHA DE PAGO]]=0,TODAY()-PROVEEDORES[[#This Row],[FECHA DE FACTURACIÓN]]-PROVEEDORES[[#This Row],[PLAZO Días]],0)</f>
        <v>0</v>
      </c>
      <c r="T14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5" spans="1:20" ht="21.9" customHeight="1" x14ac:dyDescent="0.3">
      <c r="A145" s="113" t="str">
        <f>+IF(PROVEEDORES[[#This Row],[FECHA DE PAGO]]=PROVEEDORES[[#This Row],[FECHA DE FACTURACIÓN]],"DE CONTADO","CRÉDITO")</f>
        <v>CRÉDITO</v>
      </c>
      <c r="B145" s="51" t="str">
        <f>+IF((PROVEEDORES[[#This Row],[FECHA DE PAGO]]-PROVEEDORES[[#This Row],[FECHA DE FACTURACIÓN]])&gt;PROVEEDORES[[#This Row],[PLAZO Días]],"PAGO VENCIDO")</f>
        <v>PAGO VENCIDO</v>
      </c>
      <c r="C145" s="25">
        <f>+VLOOKUP(PROVEEDORES[[#This Row],[PROVEEDOR]],TERCEROS_INFO[#All],2,FALSE)</f>
        <v>30</v>
      </c>
      <c r="D145" s="30">
        <f>+SUMIFS(PROVEEDORES[Total],PROVEEDORES[PROVEEDOR],PROVEEDORES[[#This Row],[PROVEEDOR]],PROVEEDORES[FECHA DE PAGO],"")</f>
        <v>0</v>
      </c>
      <c r="E145" s="30"/>
      <c r="F145" s="73" t="str">
        <f>+VLOOKUP(PROVEEDORES[[#This Row],[PROVEEDOR]],TERCEROS_INFO[[PROVEEDOR]:[CORREO]],5,FALSE)</f>
        <v>swizzeraux2@gmail.com;girlesa.ruiz@servipilas.com;joriescobar64@gmail.com</v>
      </c>
      <c r="G145" s="111">
        <v>44264</v>
      </c>
      <c r="H145" s="31" t="s">
        <v>1077</v>
      </c>
      <c r="I145" s="111">
        <v>44230</v>
      </c>
      <c r="J145" s="48">
        <v>2610</v>
      </c>
      <c r="K145" s="26">
        <v>483550</v>
      </c>
      <c r="L145" s="26"/>
      <c r="M145" s="27">
        <v>0</v>
      </c>
      <c r="N145" s="28"/>
      <c r="O145" s="27">
        <v>0</v>
      </c>
      <c r="P145" s="28">
        <v>0</v>
      </c>
      <c r="Q145" s="27">
        <v>0</v>
      </c>
      <c r="R145" s="26">
        <v>483550</v>
      </c>
      <c r="S145" s="115">
        <f ca="1">IF(PROVEEDORES[[#This Row],[FECHA DE PAGO]]=0,TODAY()-PROVEEDORES[[#This Row],[FECHA DE FACTURACIÓN]]-PROVEEDORES[[#This Row],[PLAZO Días]],0)</f>
        <v>0</v>
      </c>
      <c r="T1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6" spans="1:20" ht="21.9" customHeight="1" x14ac:dyDescent="0.3">
      <c r="A146" s="113" t="str">
        <f>+IF(PROVEEDORES[[#This Row],[FECHA DE PAGO]]=PROVEEDORES[[#This Row],[FECHA DE FACTURACIÓN]],"DE CONTADO","CRÉDITO")</f>
        <v>CRÉDITO</v>
      </c>
      <c r="B146" s="51" t="str">
        <f>+IF((PROVEEDORES[[#This Row],[FECHA DE PAGO]]-PROVEEDORES[[#This Row],[FECHA DE FACTURACIÓN]])&gt;PROVEEDORES[[#This Row],[PLAZO Días]],"PAGO VENCIDO")</f>
        <v>PAGO VENCIDO</v>
      </c>
      <c r="C146" s="25">
        <f>+VLOOKUP(PROVEEDORES[[#This Row],[PROVEEDOR]],TERCEROS_INFO[#All],2,FALSE)</f>
        <v>30</v>
      </c>
      <c r="D146" s="30">
        <f>+SUMIFS(PROVEEDORES[Total],PROVEEDORES[PROVEEDOR],PROVEEDORES[[#This Row],[PROVEEDOR]],PROVEEDORES[FECHA DE PAGO],"")</f>
        <v>0</v>
      </c>
      <c r="E146" s="30"/>
      <c r="F146" s="73" t="str">
        <f>+VLOOKUP(PROVEEDORES[[#This Row],[PROVEEDOR]],TERCEROS_INFO[[PROVEEDOR]:[CORREO]],5,FALSE)</f>
        <v>swizzeraux2@gmail.com;girlesa.ruiz@servipilas.com;joriescobar64@gmail.com</v>
      </c>
      <c r="G146" s="111">
        <v>44264</v>
      </c>
      <c r="H146" s="31" t="s">
        <v>1077</v>
      </c>
      <c r="I146" s="111">
        <v>44230</v>
      </c>
      <c r="J146" s="48">
        <v>2609</v>
      </c>
      <c r="K146" s="26">
        <v>849850</v>
      </c>
      <c r="L146" s="26"/>
      <c r="M146" s="27">
        <v>0</v>
      </c>
      <c r="N146" s="28"/>
      <c r="O146" s="27">
        <v>0</v>
      </c>
      <c r="P146" s="28">
        <v>0</v>
      </c>
      <c r="Q146" s="27">
        <v>0</v>
      </c>
      <c r="R146" s="26">
        <v>849850</v>
      </c>
      <c r="S146" s="115">
        <f ca="1">IF(PROVEEDORES[[#This Row],[FECHA DE PAGO]]=0,TODAY()-PROVEEDORES[[#This Row],[FECHA DE FACTURACIÓN]]-PROVEEDORES[[#This Row],[PLAZO Días]],0)</f>
        <v>0</v>
      </c>
      <c r="T14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7" spans="1:20" ht="21.9" customHeight="1" x14ac:dyDescent="0.3">
      <c r="A147" s="113" t="str">
        <f>+IF(PROVEEDORES[[#This Row],[FECHA DE PAGO]]=PROVEEDORES[[#This Row],[FECHA DE FACTURACIÓN]],"DE CONTADO","CRÉDITO")</f>
        <v>DE CONTADO</v>
      </c>
      <c r="B147" s="51" t="b">
        <f>+IF((PROVEEDORES[[#This Row],[FECHA DE PAGO]]-PROVEEDORES[[#This Row],[FECHA DE FACTURACIÓN]])&gt;PROVEEDORES[[#This Row],[PLAZO Días]],"PAGO VENCIDO")</f>
        <v>0</v>
      </c>
      <c r="C147" s="25">
        <f>+VLOOKUP(PROVEEDORES[[#This Row],[PROVEEDOR]],TERCEROS_INFO[#All],2,FALSE)</f>
        <v>30</v>
      </c>
      <c r="D147" s="30">
        <f>+SUMIFS(PROVEEDORES[Total],PROVEEDORES[PROVEEDOR],PROVEEDORES[[#This Row],[PROVEEDOR]],PROVEEDORES[FECHA DE PAGO],"")</f>
        <v>0</v>
      </c>
      <c r="E147" s="30"/>
      <c r="F147" s="73" t="str">
        <f>+VLOOKUP(PROVEEDORES[[#This Row],[PROVEEDOR]],TERCEROS_INFO[[PROVEEDOR]:[CORREO]],5,FALSE)</f>
        <v/>
      </c>
      <c r="G147" s="111">
        <v>44230</v>
      </c>
      <c r="H147" s="31" t="s">
        <v>1052</v>
      </c>
      <c r="I147" s="111">
        <v>44230</v>
      </c>
      <c r="J147" s="48"/>
      <c r="K147" s="26">
        <v>2000000</v>
      </c>
      <c r="L147" s="26"/>
      <c r="M147" s="27">
        <v>0</v>
      </c>
      <c r="N147" s="28"/>
      <c r="O147" s="27">
        <v>0</v>
      </c>
      <c r="P147" s="28">
        <v>0</v>
      </c>
      <c r="Q147" s="27">
        <v>0</v>
      </c>
      <c r="R147" s="26">
        <v>2000000</v>
      </c>
      <c r="S147" s="115">
        <f ca="1">IF(PROVEEDORES[[#This Row],[FECHA DE PAGO]]=0,TODAY()-PROVEEDORES[[#This Row],[FECHA DE FACTURACIÓN]]-PROVEEDORES[[#This Row],[PLAZO Días]],0)</f>
        <v>0</v>
      </c>
      <c r="T14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8" spans="1:20" ht="21.9" customHeight="1" x14ac:dyDescent="0.3">
      <c r="A148" s="113" t="str">
        <f>+IF(PROVEEDORES[[#This Row],[FECHA DE PAGO]]=PROVEEDORES[[#This Row],[FECHA DE FACTURACIÓN]],"DE CONTADO","CRÉDITO")</f>
        <v>DE CONTADO</v>
      </c>
      <c r="B148" s="51" t="b">
        <f>+IF((PROVEEDORES[[#This Row],[FECHA DE PAGO]]-PROVEEDORES[[#This Row],[FECHA DE FACTURACIÓN]])&gt;PROVEEDORES[[#This Row],[PLAZO Días]],"PAGO VENCIDO")</f>
        <v>0</v>
      </c>
      <c r="C148" s="25">
        <f>+VLOOKUP(PROVEEDORES[[#This Row],[PROVEEDOR]],TERCEROS_INFO[#All],2,FALSE)</f>
        <v>30</v>
      </c>
      <c r="D148" s="30">
        <f>+SUMIFS(PROVEEDORES[Total],PROVEEDORES[PROVEEDOR],PROVEEDORES[[#This Row],[PROVEEDOR]],PROVEEDORES[FECHA DE PAGO],"")</f>
        <v>0</v>
      </c>
      <c r="E148" s="30"/>
      <c r="F148" s="73" t="str">
        <f>+VLOOKUP(PROVEEDORES[[#This Row],[PROVEEDOR]],TERCEROS_INFO[[PROVEEDOR]:[CORREO]],5,FALSE)</f>
        <v/>
      </c>
      <c r="G148" s="111">
        <v>44232</v>
      </c>
      <c r="H148" s="31" t="s">
        <v>1037</v>
      </c>
      <c r="I148" s="111">
        <v>44232</v>
      </c>
      <c r="J148" s="48" t="s">
        <v>679</v>
      </c>
      <c r="K148" s="26">
        <v>1192000</v>
      </c>
      <c r="L148" s="26"/>
      <c r="M148" s="27">
        <v>0</v>
      </c>
      <c r="N148" s="28"/>
      <c r="O148" s="27">
        <v>0</v>
      </c>
      <c r="P148" s="28">
        <v>0</v>
      </c>
      <c r="Q148" s="27">
        <v>0</v>
      </c>
      <c r="R148" s="26">
        <v>1192000</v>
      </c>
      <c r="S148" s="115">
        <f ca="1">IF(PROVEEDORES[[#This Row],[FECHA DE PAGO]]=0,TODAY()-PROVEEDORES[[#This Row],[FECHA DE FACTURACIÓN]]-PROVEEDORES[[#This Row],[PLAZO Días]],0)</f>
        <v>0</v>
      </c>
      <c r="T1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9" spans="1:20" ht="21.9" customHeight="1" x14ac:dyDescent="0.3">
      <c r="A149" s="113" t="str">
        <f>+IF(PROVEEDORES[[#This Row],[FECHA DE PAGO]]=PROVEEDORES[[#This Row],[FECHA DE FACTURACIÓN]],"DE CONTADO","CRÉDITO")</f>
        <v>DE CONTADO</v>
      </c>
      <c r="B149" s="51" t="b">
        <f>+IF((PROVEEDORES[[#This Row],[FECHA DE PAGO]]-PROVEEDORES[[#This Row],[FECHA DE FACTURACIÓN]])&gt;PROVEEDORES[[#This Row],[PLAZO Días]],"PAGO VENCIDO")</f>
        <v>0</v>
      </c>
      <c r="C149" s="25">
        <f>+VLOOKUP(PROVEEDORES[[#This Row],[PROVEEDOR]],TERCEROS_INFO[#All],2,FALSE)</f>
        <v>30</v>
      </c>
      <c r="D149" s="30">
        <f>+SUMIFS(PROVEEDORES[Total],PROVEEDORES[PROVEEDOR],PROVEEDORES[[#This Row],[PROVEEDOR]],PROVEEDORES[FECHA DE PAGO],"")</f>
        <v>0</v>
      </c>
      <c r="E149" s="30"/>
      <c r="F149" s="73" t="str">
        <f>+VLOOKUP(PROVEEDORES[[#This Row],[PROVEEDOR]],TERCEROS_INFO[[PROVEEDOR]:[CORREO]],5,FALSE)</f>
        <v/>
      </c>
      <c r="G149" s="111">
        <v>44233</v>
      </c>
      <c r="H149" s="31" t="s">
        <v>1003</v>
      </c>
      <c r="I149" s="111">
        <v>44233</v>
      </c>
      <c r="J149" s="48"/>
      <c r="K149" s="26">
        <v>880000</v>
      </c>
      <c r="L149" s="26"/>
      <c r="M149" s="27">
        <v>0</v>
      </c>
      <c r="N149" s="28"/>
      <c r="O149" s="27">
        <v>0</v>
      </c>
      <c r="P149" s="28">
        <v>0</v>
      </c>
      <c r="Q149" s="27">
        <v>0</v>
      </c>
      <c r="R149" s="26">
        <v>0</v>
      </c>
      <c r="S149" s="115">
        <f ca="1">IF(PROVEEDORES[[#This Row],[FECHA DE PAGO]]=0,TODAY()-PROVEEDORES[[#This Row],[FECHA DE FACTURACIÓN]]-PROVEEDORES[[#This Row],[PLAZO Días]],0)</f>
        <v>0</v>
      </c>
      <c r="T14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0" spans="1:20" ht="21.9" customHeight="1" x14ac:dyDescent="0.3">
      <c r="A150" s="113" t="str">
        <f>+IF(PROVEEDORES[[#This Row],[FECHA DE PAGO]]=PROVEEDORES[[#This Row],[FECHA DE FACTURACIÓN]],"DE CONTADO","CRÉDITO")</f>
        <v>CRÉDITO</v>
      </c>
      <c r="B150" s="51" t="str">
        <f>+IF((PROVEEDORES[[#This Row],[FECHA DE PAGO]]-PROVEEDORES[[#This Row],[FECHA DE FACTURACIÓN]])&gt;PROVEEDORES[[#This Row],[PLAZO Días]],"PAGO VENCIDO")</f>
        <v>PAGO VENCIDO</v>
      </c>
      <c r="C150" s="25">
        <f>+VLOOKUP(PROVEEDORES[[#This Row],[PROVEEDOR]],TERCEROS_INFO[#All],2,FALSE)</f>
        <v>30</v>
      </c>
      <c r="D150" s="30">
        <f>+SUMIFS(PROVEEDORES[Total],PROVEEDORES[PROVEEDOR],PROVEEDORES[[#This Row],[PROVEEDOR]],PROVEEDORES[FECHA DE PAGO],"")</f>
        <v>2324514.0150000001</v>
      </c>
      <c r="E150" s="30"/>
      <c r="F150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150" s="111">
        <v>44271</v>
      </c>
      <c r="H150" s="31" t="s">
        <v>24</v>
      </c>
      <c r="I150" s="111">
        <v>44233</v>
      </c>
      <c r="J150" s="48" t="s">
        <v>192</v>
      </c>
      <c r="K150" s="26">
        <v>1542573</v>
      </c>
      <c r="L150" s="26"/>
      <c r="M150" s="27">
        <v>293088.87</v>
      </c>
      <c r="N150" s="28"/>
      <c r="O150" s="27">
        <v>0</v>
      </c>
      <c r="P150" s="28">
        <v>2.5000000000000001E-2</v>
      </c>
      <c r="Q150" s="27">
        <v>38564.325000000004</v>
      </c>
      <c r="R150" s="26">
        <v>1797097.5450000002</v>
      </c>
      <c r="S150" s="115">
        <f ca="1">IF(PROVEEDORES[[#This Row],[FECHA DE PAGO]]=0,TODAY()-PROVEEDORES[[#This Row],[FECHA DE FACTURACIÓN]]-PROVEEDORES[[#This Row],[PLAZO Días]],0)</f>
        <v>0</v>
      </c>
      <c r="T15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1" spans="1:20" ht="21.9" customHeight="1" x14ac:dyDescent="0.3">
      <c r="A151" s="113" t="str">
        <f>+IF(PROVEEDORES[[#This Row],[FECHA DE PAGO]]=PROVEEDORES[[#This Row],[FECHA DE FACTURACIÓN]],"DE CONTADO","CRÉDITO")</f>
        <v>CRÉDITO</v>
      </c>
      <c r="B151" s="51" t="str">
        <f>+IF((PROVEEDORES[[#This Row],[FECHA DE PAGO]]-PROVEEDORES[[#This Row],[FECHA DE FACTURACIÓN]])&gt;PROVEEDORES[[#This Row],[PLAZO Días]],"PAGO VENCIDO")</f>
        <v>PAGO VENCIDO</v>
      </c>
      <c r="C151" s="25">
        <f>+VLOOKUP(PROVEEDORES[[#This Row],[PROVEEDOR]],TERCEROS_INFO[#All],2,FALSE)</f>
        <v>30</v>
      </c>
      <c r="D151" s="30">
        <f>+SUMIFS(PROVEEDORES[Total],PROVEEDORES[PROVEEDOR],PROVEEDORES[[#This Row],[PROVEEDOR]],PROVEEDORES[FECHA DE PAGO],"")</f>
        <v>0</v>
      </c>
      <c r="E151" s="30"/>
      <c r="F151" s="73" t="str">
        <f>+VLOOKUP(PROVEEDORES[[#This Row],[PROVEEDOR]],TERCEROS_INFO[[PROVEEDOR]:[CORREO]],5,FALSE)</f>
        <v>swizzeraux2@gmail.com;girlesa.ruiz@servipilas.com;joriescobar64@gmail.com</v>
      </c>
      <c r="G151" s="111">
        <v>44264</v>
      </c>
      <c r="H151" s="31" t="s">
        <v>1077</v>
      </c>
      <c r="I151" s="111">
        <v>44233</v>
      </c>
      <c r="J151" s="48">
        <v>2617</v>
      </c>
      <c r="K151" s="26">
        <v>2217650</v>
      </c>
      <c r="L151" s="26"/>
      <c r="M151" s="27">
        <v>0</v>
      </c>
      <c r="N151" s="28"/>
      <c r="O151" s="27">
        <v>0</v>
      </c>
      <c r="P151" s="28">
        <v>0</v>
      </c>
      <c r="Q151" s="27">
        <v>0</v>
      </c>
      <c r="R151" s="26">
        <v>2217650</v>
      </c>
      <c r="S151" s="115">
        <f ca="1">IF(PROVEEDORES[[#This Row],[FECHA DE PAGO]]=0,TODAY()-PROVEEDORES[[#This Row],[FECHA DE FACTURACIÓN]]-PROVEEDORES[[#This Row],[PLAZO Días]],0)</f>
        <v>0</v>
      </c>
      <c r="T15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2" spans="1:20" ht="21.9" customHeight="1" x14ac:dyDescent="0.3">
      <c r="A152" s="113" t="str">
        <f>+IF(PROVEEDORES[[#This Row],[FECHA DE PAGO]]=PROVEEDORES[[#This Row],[FECHA DE FACTURACIÓN]],"DE CONTADO","CRÉDITO")</f>
        <v>CRÉDITO</v>
      </c>
      <c r="B152" s="51" t="str">
        <f>+IF((PROVEEDORES[[#This Row],[FECHA DE PAGO]]-PROVEEDORES[[#This Row],[FECHA DE FACTURACIÓN]])&gt;PROVEEDORES[[#This Row],[PLAZO Días]],"PAGO VENCIDO")</f>
        <v>PAGO VENCIDO</v>
      </c>
      <c r="C152" s="25">
        <f>+VLOOKUP(PROVEEDORES[[#This Row],[PROVEEDOR]],TERCEROS_INFO[#All],2,FALSE)</f>
        <v>30</v>
      </c>
      <c r="D152" s="30">
        <f>+SUMIFS(PROVEEDORES[Total],PROVEEDORES[PROVEEDOR],PROVEEDORES[[#This Row],[PROVEEDOR]],PROVEEDORES[FECHA DE PAGO],"")</f>
        <v>4078650.6</v>
      </c>
      <c r="E152" s="30"/>
      <c r="F152" s="73" t="str">
        <f>+VLOOKUP(PROVEEDORES[[#This Row],[PROVEEDOR]],TERCEROS_INFO[[PROVEEDOR]:[CORREO]],5,FALSE)</f>
        <v>financiera@nalpicentral.com;girlesa.ruiz@servipilas.com;joriescobar64@gmail.com</v>
      </c>
      <c r="G152" s="111">
        <v>44307</v>
      </c>
      <c r="H152" s="31" t="s">
        <v>1095</v>
      </c>
      <c r="I152" s="111">
        <v>44234</v>
      </c>
      <c r="J152" s="48">
        <v>19824</v>
      </c>
      <c r="K152" s="26">
        <v>1900000</v>
      </c>
      <c r="L152" s="26"/>
      <c r="M152" s="27">
        <v>361000</v>
      </c>
      <c r="N152" s="28"/>
      <c r="O152" s="27">
        <v>0</v>
      </c>
      <c r="P152" s="28">
        <v>2.5000000000000001E-2</v>
      </c>
      <c r="Q152" s="27">
        <v>47500</v>
      </c>
      <c r="R152" s="26">
        <v>2213500</v>
      </c>
      <c r="S152" s="115">
        <f ca="1">IF(PROVEEDORES[[#This Row],[FECHA DE PAGO]]=0,TODAY()-PROVEEDORES[[#This Row],[FECHA DE FACTURACIÓN]]-PROVEEDORES[[#This Row],[PLAZO Días]],0)</f>
        <v>0</v>
      </c>
      <c r="T1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3" spans="1:20" ht="21.9" customHeight="1" x14ac:dyDescent="0.3">
      <c r="A153" s="113" t="str">
        <f>+IF(PROVEEDORES[[#This Row],[FECHA DE PAGO]]=PROVEEDORES[[#This Row],[FECHA DE FACTURACIÓN]],"DE CONTADO","CRÉDITO")</f>
        <v>CRÉDITO</v>
      </c>
      <c r="B153" s="51" t="b">
        <f>+IF((PROVEEDORES[[#This Row],[FECHA DE PAGO]]-PROVEEDORES[[#This Row],[FECHA DE FACTURACIÓN]])&gt;PROVEEDORES[[#This Row],[PLAZO Días]],"PAGO VENCIDO")</f>
        <v>0</v>
      </c>
      <c r="C153" s="25">
        <f>+VLOOKUP(PROVEEDORES[[#This Row],[PROVEEDOR]],TERCEROS_INFO[#All],2,FALSE)</f>
        <v>30</v>
      </c>
      <c r="D153" s="30">
        <f>+SUMIFS(PROVEEDORES[Total],PROVEEDORES[PROVEEDOR],PROVEEDORES[[#This Row],[PROVEEDOR]],PROVEEDORES[FECHA DE PAGO],"")</f>
        <v>6482443.1751999995</v>
      </c>
      <c r="E153" s="30"/>
      <c r="F153" s="73" t="str">
        <f>+VLOOKUP(PROVEEDORES[[#This Row],[PROVEEDOR]],TERCEROS_INFO[[PROVEEDOR]:[CORREO]],5,FALSE)</f>
        <v>angela.navas@hyrdistribuciones.com;girlesa.ruiz@servipilas.com;joriescobar64@gmail.com</v>
      </c>
      <c r="G153" s="111">
        <v>44239</v>
      </c>
      <c r="H153" s="31" t="s">
        <v>18</v>
      </c>
      <c r="I153" s="111">
        <v>44235</v>
      </c>
      <c r="J153" s="48" t="s">
        <v>188</v>
      </c>
      <c r="K153" s="26">
        <v>-279600</v>
      </c>
      <c r="L153" s="26"/>
      <c r="M153" s="27">
        <v>-53124</v>
      </c>
      <c r="N153" s="28"/>
      <c r="O153" s="27">
        <v>0</v>
      </c>
      <c r="P153" s="28">
        <v>0</v>
      </c>
      <c r="Q153" s="27">
        <v>0</v>
      </c>
      <c r="R153" s="26">
        <v>-332724</v>
      </c>
      <c r="S153" s="115">
        <f ca="1">IF(PROVEEDORES[[#This Row],[FECHA DE PAGO]]=0,TODAY()-PROVEEDORES[[#This Row],[FECHA DE FACTURACIÓN]]-PROVEEDORES[[#This Row],[PLAZO Días]],0)</f>
        <v>0</v>
      </c>
      <c r="T15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4" spans="1:20" ht="21.9" customHeight="1" x14ac:dyDescent="0.3">
      <c r="A154" s="113" t="str">
        <f>+IF(PROVEEDORES[[#This Row],[FECHA DE PAGO]]=PROVEEDORES[[#This Row],[FECHA DE FACTURACIÓN]],"DE CONTADO","CRÉDITO")</f>
        <v>CRÉDITO</v>
      </c>
      <c r="B154" s="51" t="str">
        <f>+IF((PROVEEDORES[[#This Row],[FECHA DE PAGO]]-PROVEEDORES[[#This Row],[FECHA DE FACTURACIÓN]])&gt;PROVEEDORES[[#This Row],[PLAZO Días]],"PAGO VENCIDO")</f>
        <v>PAGO VENCIDO</v>
      </c>
      <c r="C154" s="25">
        <f>+VLOOKUP(PROVEEDORES[[#This Row],[PROVEEDOR]],TERCEROS_INFO[#All],2,FALSE)</f>
        <v>30</v>
      </c>
      <c r="D154" s="30">
        <f>+SUMIFS(PROVEEDORES[Total],PROVEEDORES[PROVEEDOR],PROVEEDORES[[#This Row],[PROVEEDOR]],PROVEEDORES[FECHA DE PAGO],"")</f>
        <v>0</v>
      </c>
      <c r="E154" s="30"/>
      <c r="F154" s="73" t="str">
        <f>+VLOOKUP(PROVEEDORES[[#This Row],[PROVEEDOR]],TERCEROS_INFO[[PROVEEDOR]:[CORREO]],5,FALSE)</f>
        <v>swizzeraux2@gmail.com;girlesa.ruiz@servipilas.com;joriescobar64@gmail.com</v>
      </c>
      <c r="G154" s="111">
        <v>44341</v>
      </c>
      <c r="H154" s="31" t="s">
        <v>1077</v>
      </c>
      <c r="I154" s="111">
        <v>44235</v>
      </c>
      <c r="J154" s="48">
        <v>2618</v>
      </c>
      <c r="K154" s="26">
        <v>418000</v>
      </c>
      <c r="L154" s="26"/>
      <c r="M154" s="27">
        <v>0</v>
      </c>
      <c r="N154" s="28"/>
      <c r="O154" s="27">
        <v>0</v>
      </c>
      <c r="P154" s="28">
        <v>0</v>
      </c>
      <c r="Q154" s="27">
        <v>0</v>
      </c>
      <c r="R154" s="26">
        <v>418000</v>
      </c>
      <c r="S154" s="115">
        <f ca="1">IF(PROVEEDORES[[#This Row],[FECHA DE PAGO]]=0,TODAY()-PROVEEDORES[[#This Row],[FECHA DE FACTURACIÓN]]-PROVEEDORES[[#This Row],[PLAZO Días]],0)</f>
        <v>0</v>
      </c>
      <c r="T1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5" spans="1:20" ht="21.9" customHeight="1" x14ac:dyDescent="0.3">
      <c r="A155" s="113" t="str">
        <f>+IF(PROVEEDORES[[#This Row],[FECHA DE PAGO]]=PROVEEDORES[[#This Row],[FECHA DE FACTURACIÓN]],"DE CONTADO","CRÉDITO")</f>
        <v>CRÉDITO</v>
      </c>
      <c r="B155" s="51" t="str">
        <f>+IF((PROVEEDORES[[#This Row],[FECHA DE PAGO]]-PROVEEDORES[[#This Row],[FECHA DE FACTURACIÓN]])&gt;PROVEEDORES[[#This Row],[PLAZO Días]],"PAGO VENCIDO")</f>
        <v>PAGO VENCIDO</v>
      </c>
      <c r="C155" s="25">
        <f>+VLOOKUP(PROVEEDORES[[#This Row],[PROVEEDOR]],TERCEROS_INFO[#All],2,FALSE)</f>
        <v>30</v>
      </c>
      <c r="D155" s="30">
        <f>+SUMIFS(PROVEEDORES[Total],PROVEEDORES[PROVEEDOR],PROVEEDORES[[#This Row],[PROVEEDOR]],PROVEEDORES[FECHA DE PAGO],"")</f>
        <v>3406</v>
      </c>
      <c r="E155" s="30"/>
      <c r="F155" s="73" t="str">
        <f>+VLOOKUP(PROVEEDORES[[#This Row],[PROVEEDOR]],TERCEROS_INFO[[PROVEEDOR]:[CORREO]],5,FALSE)</f>
        <v>ventas@ismartsas.com;girlesa.ruiz@servipilas.com;joriescobar64@gmail.com</v>
      </c>
      <c r="G155" s="111">
        <v>44298</v>
      </c>
      <c r="H155" s="31" t="s">
        <v>48</v>
      </c>
      <c r="I155" s="111">
        <v>44235</v>
      </c>
      <c r="J155" s="48">
        <v>25994</v>
      </c>
      <c r="K155" s="26">
        <v>484254</v>
      </c>
      <c r="L155" s="26"/>
      <c r="M155" s="27">
        <v>92008.26</v>
      </c>
      <c r="N155" s="28"/>
      <c r="O155" s="27">
        <v>0</v>
      </c>
      <c r="P155" s="28">
        <v>0</v>
      </c>
      <c r="Q155" s="27">
        <v>0</v>
      </c>
      <c r="R155" s="26">
        <v>576262.26</v>
      </c>
      <c r="S155" s="115">
        <f ca="1">IF(PROVEEDORES[[#This Row],[FECHA DE PAGO]]=0,TODAY()-PROVEEDORES[[#This Row],[FECHA DE FACTURACIÓN]]-PROVEEDORES[[#This Row],[PLAZO Días]],0)</f>
        <v>0</v>
      </c>
      <c r="T1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6" spans="1:20" ht="21.9" customHeight="1" x14ac:dyDescent="0.3">
      <c r="A156" s="113" t="str">
        <f>+IF(PROVEEDORES[[#This Row],[FECHA DE PAGO]]=PROVEEDORES[[#This Row],[FECHA DE FACTURACIÓN]],"DE CONTADO","CRÉDITO")</f>
        <v>CRÉDITO</v>
      </c>
      <c r="B156" s="51" t="str">
        <f>+IF((PROVEEDORES[[#This Row],[FECHA DE PAGO]]-PROVEEDORES[[#This Row],[FECHA DE FACTURACIÓN]])&gt;PROVEEDORES[[#This Row],[PLAZO Días]],"PAGO VENCIDO")</f>
        <v>PAGO VENCIDO</v>
      </c>
      <c r="C156" s="25">
        <f>+VLOOKUP(PROVEEDORES[[#This Row],[PROVEEDOR]],TERCEROS_INFO[#All],2,FALSE)</f>
        <v>45</v>
      </c>
      <c r="D156" s="30">
        <f>+SUMIFS(PROVEEDORES[Total],PROVEEDORES[PROVEEDOR],PROVEEDORES[[#This Row],[PROVEEDOR]],PROVEEDORES[FECHA DE PAGO],"")</f>
        <v>1070024.2</v>
      </c>
      <c r="E156" s="30"/>
      <c r="F156" s="73" t="str">
        <f>+VLOOKUP(PROVEEDORES[[#This Row],[PROVEEDOR]],TERCEROS_INFO[[PROVEEDOR]:[CORREO]],5,FALSE)</f>
        <v>libardopineda@tronex.com;girlesa.ruiz@servipilas.com;joriescobar64@gmail.com</v>
      </c>
      <c r="G156" s="111">
        <v>44319</v>
      </c>
      <c r="H156" s="31" t="s">
        <v>10</v>
      </c>
      <c r="I156" s="111">
        <v>44235</v>
      </c>
      <c r="J156" s="48" t="s">
        <v>189</v>
      </c>
      <c r="K156" s="26">
        <v>798000</v>
      </c>
      <c r="L156" s="26"/>
      <c r="M156" s="27">
        <v>151620</v>
      </c>
      <c r="N156" s="28"/>
      <c r="O156" s="27">
        <v>0</v>
      </c>
      <c r="P156" s="28">
        <v>0</v>
      </c>
      <c r="Q156" s="27">
        <v>0</v>
      </c>
      <c r="R156" s="26">
        <v>949620</v>
      </c>
      <c r="S156" s="115">
        <f ca="1">IF(PROVEEDORES[[#This Row],[FECHA DE PAGO]]=0,TODAY()-PROVEEDORES[[#This Row],[FECHA DE FACTURACIÓN]]-PROVEEDORES[[#This Row],[PLAZO Días]],0)</f>
        <v>0</v>
      </c>
      <c r="T15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7" spans="1:20" ht="21.9" customHeight="1" x14ac:dyDescent="0.3">
      <c r="A157" s="113" t="str">
        <f>+IF(PROVEEDORES[[#This Row],[FECHA DE PAGO]]=PROVEEDORES[[#This Row],[FECHA DE FACTURACIÓN]],"DE CONTADO","CRÉDITO")</f>
        <v>CRÉDITO</v>
      </c>
      <c r="B157" s="51" t="str">
        <f>+IF((PROVEEDORES[[#This Row],[FECHA DE PAGO]]-PROVEEDORES[[#This Row],[FECHA DE FACTURACIÓN]])&gt;PROVEEDORES[[#This Row],[PLAZO Días]],"PAGO VENCIDO")</f>
        <v>PAGO VENCIDO</v>
      </c>
      <c r="C157" s="25">
        <f>+VLOOKUP(PROVEEDORES[[#This Row],[PROVEEDOR]],TERCEROS_INFO[#All],2,FALSE)</f>
        <v>45</v>
      </c>
      <c r="D157" s="30">
        <f>+SUMIFS(PROVEEDORES[Total],PROVEEDORES[PROVEEDOR],PROVEEDORES[[#This Row],[PROVEEDOR]],PROVEEDORES[FECHA DE PAGO],"")</f>
        <v>1070024.2</v>
      </c>
      <c r="E157" s="30"/>
      <c r="F157" s="73" t="str">
        <f>+VLOOKUP(PROVEEDORES[[#This Row],[PROVEEDOR]],TERCEROS_INFO[[PROVEEDOR]:[CORREO]],5,FALSE)</f>
        <v>libardopineda@tronex.com;girlesa.ruiz@servipilas.com;joriescobar64@gmail.com</v>
      </c>
      <c r="G157" s="111">
        <v>44319</v>
      </c>
      <c r="H157" s="31" t="s">
        <v>10</v>
      </c>
      <c r="I157" s="111">
        <v>44235</v>
      </c>
      <c r="J157" s="48" t="s">
        <v>190</v>
      </c>
      <c r="K157" s="26">
        <v>3703000</v>
      </c>
      <c r="L157" s="26"/>
      <c r="M157" s="27">
        <v>703570</v>
      </c>
      <c r="N157" s="28"/>
      <c r="O157" s="27">
        <v>0</v>
      </c>
      <c r="P157" s="28">
        <v>0</v>
      </c>
      <c r="Q157" s="27">
        <v>0</v>
      </c>
      <c r="R157" s="26">
        <v>4406570</v>
      </c>
      <c r="S157" s="115">
        <f ca="1">IF(PROVEEDORES[[#This Row],[FECHA DE PAGO]]=0,TODAY()-PROVEEDORES[[#This Row],[FECHA DE FACTURACIÓN]]-PROVEEDORES[[#This Row],[PLAZO Días]],0)</f>
        <v>0</v>
      </c>
      <c r="T15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8" spans="1:20" ht="21.9" customHeight="1" x14ac:dyDescent="0.3">
      <c r="A158" s="113" t="str">
        <f>+IF(PROVEEDORES[[#This Row],[FECHA DE PAGO]]=PROVEEDORES[[#This Row],[FECHA DE FACTURACIÓN]],"DE CONTADO","CRÉDITO")</f>
        <v>CRÉDITO</v>
      </c>
      <c r="B158" s="51" t="b">
        <f>+IF((PROVEEDORES[[#This Row],[FECHA DE PAGO]]-PROVEEDORES[[#This Row],[FECHA DE FACTURACIÓN]])&gt;PROVEEDORES[[#This Row],[PLAZO Días]],"PAGO VENCIDO")</f>
        <v>0</v>
      </c>
      <c r="C158" s="25">
        <f>+VLOOKUP(PROVEEDORES[[#This Row],[PROVEEDOR]],TERCEROS_INFO[#All],2,FALSE)</f>
        <v>30</v>
      </c>
      <c r="D158" s="30">
        <f>+SUMIFS(PROVEEDORES[Total],PROVEEDORES[PROVEEDOR],PROVEEDORES[[#This Row],[PROVEEDOR]],PROVEEDORES[FECHA DE PAGO],"")</f>
        <v>0</v>
      </c>
      <c r="E158" s="30"/>
      <c r="F158" s="73" t="str">
        <f>+VLOOKUP(PROVEEDORES[[#This Row],[PROVEEDOR]],TERCEROS_INFO[[PROVEEDOR]:[CORREO]],5,FALSE)</f>
        <v/>
      </c>
      <c r="G158" s="111">
        <v>44236</v>
      </c>
      <c r="H158" s="31" t="s">
        <v>27</v>
      </c>
      <c r="I158" s="111">
        <v>44235</v>
      </c>
      <c r="J158" s="48">
        <v>128121</v>
      </c>
      <c r="K158" s="26">
        <v>4914648</v>
      </c>
      <c r="L158" s="26"/>
      <c r="M158" s="27">
        <v>0</v>
      </c>
      <c r="N158" s="28"/>
      <c r="O158" s="27">
        <v>0</v>
      </c>
      <c r="P158" s="28">
        <v>0</v>
      </c>
      <c r="Q158" s="27">
        <v>0</v>
      </c>
      <c r="R158" s="26">
        <v>4914648</v>
      </c>
      <c r="S158" s="115">
        <f ca="1">IF(PROVEEDORES[[#This Row],[FECHA DE PAGO]]=0,TODAY()-PROVEEDORES[[#This Row],[FECHA DE FACTURACIÓN]]-PROVEEDORES[[#This Row],[PLAZO Días]],0)</f>
        <v>0</v>
      </c>
      <c r="T15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59" spans="1:20" ht="21.9" customHeight="1" x14ac:dyDescent="0.3">
      <c r="A159" s="113" t="str">
        <f>+IF(PROVEEDORES[[#This Row],[FECHA DE PAGO]]=PROVEEDORES[[#This Row],[FECHA DE FACTURACIÓN]],"DE CONTADO","CRÉDITO")</f>
        <v>CRÉDITO</v>
      </c>
      <c r="B159" s="51" t="str">
        <f>+IF((PROVEEDORES[[#This Row],[FECHA DE PAGO]]-PROVEEDORES[[#This Row],[FECHA DE FACTURACIÓN]])&gt;PROVEEDORES[[#This Row],[PLAZO Días]],"PAGO VENCIDO")</f>
        <v>PAGO VENCIDO</v>
      </c>
      <c r="C159" s="25">
        <f>+VLOOKUP(PROVEEDORES[[#This Row],[PROVEEDOR]],TERCEROS_INFO[#All],2,FALSE)</f>
        <v>30</v>
      </c>
      <c r="D159" s="30">
        <f>+SUMIFS(PROVEEDORES[Total],PROVEEDORES[PROVEEDOR],PROVEEDORES[[#This Row],[PROVEEDOR]],PROVEEDORES[FECHA DE PAGO],"")</f>
        <v>10764600</v>
      </c>
      <c r="E159" s="30"/>
      <c r="F159" s="73" t="str">
        <f>+VLOOKUP(PROVEEDORES[[#This Row],[PROVEEDOR]],TERCEROS_INFO[[PROVEEDOR]:[CORREO]],5,FALSE)</f>
        <v>apresupuesto@widexcolombia.com;girlesa.ruiz@servipilas.com;joriescobar64@gmail.com</v>
      </c>
      <c r="G159" s="111">
        <v>44279</v>
      </c>
      <c r="H159" s="31" t="s">
        <v>11</v>
      </c>
      <c r="I159" s="111">
        <v>44235</v>
      </c>
      <c r="J159" s="48" t="s">
        <v>191</v>
      </c>
      <c r="K159" s="26">
        <v>5532101</v>
      </c>
      <c r="L159" s="26"/>
      <c r="M159" s="27">
        <v>1051099.19</v>
      </c>
      <c r="N159" s="28"/>
      <c r="O159" s="27">
        <v>0</v>
      </c>
      <c r="P159" s="28">
        <v>2.5000000000000001E-2</v>
      </c>
      <c r="Q159" s="27">
        <v>138302.52499999999</v>
      </c>
      <c r="R159" s="26">
        <v>6444897.6649999991</v>
      </c>
      <c r="S159" s="115">
        <f ca="1">IF(PROVEEDORES[[#This Row],[FECHA DE PAGO]]=0,TODAY()-PROVEEDORES[[#This Row],[FECHA DE FACTURACIÓN]]-PROVEEDORES[[#This Row],[PLAZO Días]],0)</f>
        <v>0</v>
      </c>
      <c r="T1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0" spans="1:20" ht="21.9" customHeight="1" x14ac:dyDescent="0.3">
      <c r="A160" s="113" t="str">
        <f>+IF(PROVEEDORES[[#This Row],[FECHA DE PAGO]]=PROVEEDORES[[#This Row],[FECHA DE FACTURACIÓN]],"DE CONTADO","CRÉDITO")</f>
        <v>CRÉDITO</v>
      </c>
      <c r="B160" s="51" t="str">
        <f>+IF((PROVEEDORES[[#This Row],[FECHA DE PAGO]]-PROVEEDORES[[#This Row],[FECHA DE FACTURACIÓN]])&gt;PROVEEDORES[[#This Row],[PLAZO Días]],"PAGO VENCIDO")</f>
        <v>PAGO VENCIDO</v>
      </c>
      <c r="C160" s="25">
        <f>+VLOOKUP(PROVEEDORES[[#This Row],[PROVEEDOR]],TERCEROS_INFO[#All],2,FALSE)</f>
        <v>45</v>
      </c>
      <c r="D160" s="30">
        <f>+SUMIFS(PROVEEDORES[Total],PROVEEDORES[PROVEEDOR],PROVEEDORES[[#This Row],[PROVEEDOR]],PROVEEDORES[FECHA DE PAGO],"")</f>
        <v>17760678.600000001</v>
      </c>
      <c r="E160" s="30"/>
      <c r="F160" s="73" t="str">
        <f>+VLOOKUP(PROVEEDORES[[#This Row],[PROVEEDOR]],TERCEROS_INFO[[PROVEEDOR]:[CORREO]],5,FALSE)</f>
        <v>zully.florez@powest.com;girlesa.ruiz@servipilas.com;joriescobar64@gmail.com</v>
      </c>
      <c r="G160" s="111">
        <v>44312</v>
      </c>
      <c r="H160" s="31" t="s">
        <v>19</v>
      </c>
      <c r="I160" s="111">
        <v>44236</v>
      </c>
      <c r="J160" s="48" t="s">
        <v>228</v>
      </c>
      <c r="K160" s="26">
        <v>1144089</v>
      </c>
      <c r="L160" s="26"/>
      <c r="M160" s="27">
        <v>217376.91</v>
      </c>
      <c r="N160" s="28"/>
      <c r="O160" s="27">
        <v>0</v>
      </c>
      <c r="P160" s="28">
        <v>0</v>
      </c>
      <c r="Q160" s="27">
        <v>0</v>
      </c>
      <c r="R160" s="26">
        <v>1361465.91</v>
      </c>
      <c r="S160" s="115">
        <f ca="1">IF(PROVEEDORES[[#This Row],[FECHA DE PAGO]]=0,TODAY()-PROVEEDORES[[#This Row],[FECHA DE FACTURACIÓN]]-PROVEEDORES[[#This Row],[PLAZO Días]],0)</f>
        <v>0</v>
      </c>
      <c r="T16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1" spans="1:20" ht="21.9" customHeight="1" x14ac:dyDescent="0.3">
      <c r="A161" s="113" t="str">
        <f>+IF(PROVEEDORES[[#This Row],[FECHA DE PAGO]]=PROVEEDORES[[#This Row],[FECHA DE FACTURACIÓN]],"DE CONTADO","CRÉDITO")</f>
        <v>CRÉDITO</v>
      </c>
      <c r="B161" s="51" t="str">
        <f>+IF((PROVEEDORES[[#This Row],[FECHA DE PAGO]]-PROVEEDORES[[#This Row],[FECHA DE FACTURACIÓN]])&gt;PROVEEDORES[[#This Row],[PLAZO Días]],"PAGO VENCIDO")</f>
        <v>PAGO VENCIDO</v>
      </c>
      <c r="C161" s="25">
        <f>+VLOOKUP(PROVEEDORES[[#This Row],[PROVEEDOR]],TERCEROS_INFO[#All],2,FALSE)</f>
        <v>30</v>
      </c>
      <c r="D161" s="30">
        <f>+SUMIFS(PROVEEDORES[Total],PROVEEDORES[PROVEEDOR],PROVEEDORES[[#This Row],[PROVEEDOR]],PROVEEDORES[FECHA DE PAGO],"")</f>
        <v>3400186.8245000001</v>
      </c>
      <c r="E161" s="30"/>
      <c r="F161" s="73" t="str">
        <f>+VLOOKUP(PROVEEDORES[[#This Row],[PROVEEDOR]],TERCEROS_INFO[[PROVEEDOR]:[CORREO]],5,FALSE)</f>
        <v>contabilidad@amgimportadora.com;mcastellanos@amgimportadora.com;girlesa.ruiz@servipilas.com;joriescobar64@gmail.com</v>
      </c>
      <c r="G161" s="111">
        <v>44305</v>
      </c>
      <c r="H161" s="31" t="s">
        <v>20</v>
      </c>
      <c r="I161" s="111">
        <v>44236</v>
      </c>
      <c r="J161" s="48">
        <v>3284</v>
      </c>
      <c r="K161" s="26">
        <v>1310490</v>
      </c>
      <c r="L161" s="26"/>
      <c r="M161" s="27">
        <v>248993.1</v>
      </c>
      <c r="N161" s="28"/>
      <c r="O161" s="27">
        <v>0</v>
      </c>
      <c r="P161" s="28">
        <v>2.5000000000000001E-2</v>
      </c>
      <c r="Q161" s="27">
        <v>32762.25</v>
      </c>
      <c r="R161" s="26">
        <v>1526720.85</v>
      </c>
      <c r="S161" s="115">
        <f ca="1">IF(PROVEEDORES[[#This Row],[FECHA DE PAGO]]=0,TODAY()-PROVEEDORES[[#This Row],[FECHA DE FACTURACIÓN]]-PROVEEDORES[[#This Row],[PLAZO Días]],0)</f>
        <v>0</v>
      </c>
      <c r="T16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2" spans="1:20" ht="21.9" customHeight="1" x14ac:dyDescent="0.3">
      <c r="A162" s="113" t="str">
        <f>+IF(PROVEEDORES[[#This Row],[FECHA DE PAGO]]=PROVEEDORES[[#This Row],[FECHA DE FACTURACIÓN]],"DE CONTADO","CRÉDITO")</f>
        <v>CRÉDITO</v>
      </c>
      <c r="B162" s="51" t="str">
        <f>+IF((PROVEEDORES[[#This Row],[FECHA DE PAGO]]-PROVEEDORES[[#This Row],[FECHA DE FACTURACIÓN]])&gt;PROVEEDORES[[#This Row],[PLAZO Días]],"PAGO VENCIDO")</f>
        <v>PAGO VENCIDO</v>
      </c>
      <c r="C162" s="25">
        <f>+VLOOKUP(PROVEEDORES[[#This Row],[PROVEEDOR]],TERCEROS_INFO[#All],2,FALSE)</f>
        <v>30</v>
      </c>
      <c r="D162" s="30">
        <f>+SUMIFS(PROVEEDORES[Total],PROVEEDORES[PROVEEDOR],PROVEEDORES[[#This Row],[PROVEEDOR]],PROVEEDORES[FECHA DE PAGO],"")</f>
        <v>0</v>
      </c>
      <c r="E162" s="30"/>
      <c r="F162" s="73" t="str">
        <f>+VLOOKUP(PROVEEDORES[[#This Row],[PROVEEDOR]],TERCEROS_INFO[[PROVEEDOR]:[CORREO]],5,FALSE)</f>
        <v>juan.suarez@cosostenible.com;girlesa.ruiz@servipilas.com;joriescobar64@gmail.com</v>
      </c>
      <c r="G162" s="111">
        <v>44278</v>
      </c>
      <c r="H162" s="31" t="s">
        <v>50</v>
      </c>
      <c r="I162" s="111">
        <v>44236</v>
      </c>
      <c r="J162" s="48">
        <v>1405</v>
      </c>
      <c r="K162" s="26">
        <v>2956953</v>
      </c>
      <c r="L162" s="26"/>
      <c r="M162" s="27">
        <v>561821.06999999995</v>
      </c>
      <c r="N162" s="28"/>
      <c r="O162" s="27">
        <v>0</v>
      </c>
      <c r="P162" s="28">
        <v>2.5000000000000001E-2</v>
      </c>
      <c r="Q162" s="27">
        <v>73923.824999999997</v>
      </c>
      <c r="R162" s="26">
        <v>3444850.2449999996</v>
      </c>
      <c r="S162" s="115">
        <f ca="1">IF(PROVEEDORES[[#This Row],[FECHA DE PAGO]]=0,TODAY()-PROVEEDORES[[#This Row],[FECHA DE FACTURACIÓN]]-PROVEEDORES[[#This Row],[PLAZO Días]],0)</f>
        <v>0</v>
      </c>
      <c r="T1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3" spans="1:20" ht="21.9" customHeight="1" x14ac:dyDescent="0.3">
      <c r="A163" s="113" t="str">
        <f>+IF(PROVEEDORES[[#This Row],[FECHA DE PAGO]]=PROVEEDORES[[#This Row],[FECHA DE FACTURACIÓN]],"DE CONTADO","CRÉDITO")</f>
        <v>CRÉDITO</v>
      </c>
      <c r="B163" s="51" t="str">
        <f>+IF((PROVEEDORES[[#This Row],[FECHA DE PAGO]]-PROVEEDORES[[#This Row],[FECHA DE FACTURACIÓN]])&gt;PROVEEDORES[[#This Row],[PLAZO Días]],"PAGO VENCIDO")</f>
        <v>PAGO VENCIDO</v>
      </c>
      <c r="C163" s="25">
        <f>+VLOOKUP(PROVEEDORES[[#This Row],[PROVEEDOR]],TERCEROS_INFO[#All],2,FALSE)</f>
        <v>30</v>
      </c>
      <c r="D163" s="30">
        <f>+SUMIFS(PROVEEDORES[Total],PROVEEDORES[PROVEEDOR],PROVEEDORES[[#This Row],[PROVEEDOR]],PROVEEDORES[FECHA DE PAGO],"")</f>
        <v>0</v>
      </c>
      <c r="E163" s="30"/>
      <c r="F163" s="73" t="str">
        <f>+VLOOKUP(PROVEEDORES[[#This Row],[PROVEEDOR]],TERCEROS_INFO[[PROVEEDOR]:[CORREO]],5,FALSE)</f>
        <v>cxc11@unitecusa.com.co;jefecartera@unitecusa.com.co;girlesa.ruiz@servipilas.com;joriescobar64@gmail.com</v>
      </c>
      <c r="G163" s="111">
        <v>44271</v>
      </c>
      <c r="H163" s="31" t="s">
        <v>14</v>
      </c>
      <c r="I163" s="111">
        <v>44237</v>
      </c>
      <c r="J163" s="48" t="s">
        <v>245</v>
      </c>
      <c r="K163" s="26">
        <v>174202</v>
      </c>
      <c r="L163" s="26"/>
      <c r="M163" s="27">
        <v>33098.379999999997</v>
      </c>
      <c r="N163" s="28"/>
      <c r="O163" s="27">
        <v>0</v>
      </c>
      <c r="P163" s="28">
        <v>0</v>
      </c>
      <c r="Q163" s="27">
        <v>0</v>
      </c>
      <c r="R163" s="26">
        <v>207300.38</v>
      </c>
      <c r="S163" s="115">
        <f ca="1">IF(PROVEEDORES[[#This Row],[FECHA DE PAGO]]=0,TODAY()-PROVEEDORES[[#This Row],[FECHA DE FACTURACIÓN]]-PROVEEDORES[[#This Row],[PLAZO Días]],0)</f>
        <v>0</v>
      </c>
      <c r="T1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4" spans="1:20" ht="21.9" customHeight="1" x14ac:dyDescent="0.3">
      <c r="A164" s="113" t="str">
        <f>+IF(PROVEEDORES[[#This Row],[FECHA DE PAGO]]=PROVEEDORES[[#This Row],[FECHA DE FACTURACIÓN]],"DE CONTADO","CRÉDITO")</f>
        <v>CRÉDITO</v>
      </c>
      <c r="B164" s="51" t="str">
        <f>+IF((PROVEEDORES[[#This Row],[FECHA DE PAGO]]-PROVEEDORES[[#This Row],[FECHA DE FACTURACIÓN]])&gt;PROVEEDORES[[#This Row],[PLAZO Días]],"PAGO VENCIDO")</f>
        <v>PAGO VENCIDO</v>
      </c>
      <c r="C164" s="25">
        <f>+VLOOKUP(PROVEEDORES[[#This Row],[PROVEEDOR]],TERCEROS_INFO[#All],2,FALSE)</f>
        <v>30</v>
      </c>
      <c r="D164" s="30">
        <f>+SUMIFS(PROVEEDORES[Total],PROVEEDORES[PROVEEDOR],PROVEEDORES[[#This Row],[PROVEEDOR]],PROVEEDORES[FECHA DE PAGO],"")</f>
        <v>6482443.1751999995</v>
      </c>
      <c r="E164" s="30"/>
      <c r="F164" s="73" t="str">
        <f>+VLOOKUP(PROVEEDORES[[#This Row],[PROVEEDOR]],TERCEROS_INFO[[PROVEEDOR]:[CORREO]],5,FALSE)</f>
        <v>angela.navas@hyrdistribuciones.com;girlesa.ruiz@servipilas.com;joriescobar64@gmail.com</v>
      </c>
      <c r="G164" s="111">
        <v>44271</v>
      </c>
      <c r="H164" s="31" t="s">
        <v>18</v>
      </c>
      <c r="I164" s="111">
        <v>44238</v>
      </c>
      <c r="J164" s="48">
        <v>1034429</v>
      </c>
      <c r="K164" s="26">
        <v>1825646.4</v>
      </c>
      <c r="L164" s="26"/>
      <c r="M164" s="27">
        <v>346872.81599999999</v>
      </c>
      <c r="N164" s="28"/>
      <c r="O164" s="27">
        <v>0</v>
      </c>
      <c r="P164" s="28">
        <v>2.5000000000000001E-2</v>
      </c>
      <c r="Q164" s="27">
        <v>45641.16</v>
      </c>
      <c r="R164" s="26">
        <v>2126878.0559999999</v>
      </c>
      <c r="S164" s="115">
        <f ca="1">IF(PROVEEDORES[[#This Row],[FECHA DE PAGO]]=0,TODAY()-PROVEEDORES[[#This Row],[FECHA DE FACTURACIÓN]]-PROVEEDORES[[#This Row],[PLAZO Días]],0)</f>
        <v>0</v>
      </c>
      <c r="T1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5" spans="1:20" ht="21.9" customHeight="1" x14ac:dyDescent="0.3">
      <c r="A165" s="113" t="str">
        <f>+IF(PROVEEDORES[[#This Row],[FECHA DE PAGO]]=PROVEEDORES[[#This Row],[FECHA DE FACTURACIÓN]],"DE CONTADO","CRÉDITO")</f>
        <v>CRÉDITO</v>
      </c>
      <c r="B165" s="51" t="b">
        <f>+IF((PROVEEDORES[[#This Row],[FECHA DE PAGO]]-PROVEEDORES[[#This Row],[FECHA DE FACTURACIÓN]])&gt;PROVEEDORES[[#This Row],[PLAZO Días]],"PAGO VENCIDO")</f>
        <v>0</v>
      </c>
      <c r="C165" s="25">
        <f>+VLOOKUP(PROVEEDORES[[#This Row],[PROVEEDOR]],TERCEROS_INFO[#All],2,FALSE)</f>
        <v>10</v>
      </c>
      <c r="D165" s="30">
        <f>+SUMIFS(PROVEEDORES[Total],PROVEEDORES[PROVEEDOR],PROVEEDORES[[#This Row],[PROVEEDOR]],PROVEEDORES[FECHA DE PAGO],"")</f>
        <v>0</v>
      </c>
      <c r="E165" s="30"/>
      <c r="F165" s="73" t="str">
        <f>+VLOOKUP(PROVEEDORES[[#This Row],[PROVEEDOR]],TERCEROS_INFO[[PROVEEDOR]:[CORREO]],5,FALSE)</f>
        <v/>
      </c>
      <c r="G165" s="111">
        <v>44239</v>
      </c>
      <c r="H165" s="31" t="s">
        <v>23</v>
      </c>
      <c r="I165" s="111">
        <v>44238</v>
      </c>
      <c r="J165" s="48">
        <v>280191</v>
      </c>
      <c r="K165" s="26">
        <v>6801300</v>
      </c>
      <c r="L165" s="26"/>
      <c r="M165" s="27">
        <v>0</v>
      </c>
      <c r="N165" s="28"/>
      <c r="O165" s="27">
        <v>0</v>
      </c>
      <c r="P165" s="28">
        <v>0</v>
      </c>
      <c r="Q165" s="27">
        <v>0</v>
      </c>
      <c r="R165" s="26">
        <v>6801300</v>
      </c>
      <c r="S165" s="115">
        <f ca="1">IF(PROVEEDORES[[#This Row],[FECHA DE PAGO]]=0,TODAY()-PROVEEDORES[[#This Row],[FECHA DE FACTURACIÓN]]-PROVEEDORES[[#This Row],[PLAZO Días]],0)</f>
        <v>0</v>
      </c>
      <c r="T1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6" spans="1:20" ht="21.9" customHeight="1" x14ac:dyDescent="0.3">
      <c r="A166" s="113" t="str">
        <f>+IF(PROVEEDORES[[#This Row],[FECHA DE PAGO]]=PROVEEDORES[[#This Row],[FECHA DE FACTURACIÓN]],"DE CONTADO","CRÉDITO")</f>
        <v>CRÉDITO</v>
      </c>
      <c r="B166" s="51" t="str">
        <f>+IF((PROVEEDORES[[#This Row],[FECHA DE PAGO]]-PROVEEDORES[[#This Row],[FECHA DE FACTURACIÓN]])&gt;PROVEEDORES[[#This Row],[PLAZO Días]],"PAGO VENCIDO")</f>
        <v>PAGO VENCIDO</v>
      </c>
      <c r="C166" s="25">
        <f>+VLOOKUP(PROVEEDORES[[#This Row],[PROVEEDOR]],TERCEROS_INFO[#All],2,FALSE)</f>
        <v>30</v>
      </c>
      <c r="D166" s="30">
        <f>+SUMIFS(PROVEEDORES[Total],PROVEEDORES[PROVEEDOR],PROVEEDORES[[#This Row],[PROVEEDOR]],PROVEEDORES[FECHA DE PAGO],"")</f>
        <v>0</v>
      </c>
      <c r="E166" s="30"/>
      <c r="F166" s="73" t="str">
        <f>+VLOOKUP(PROVEEDORES[[#This Row],[PROVEEDOR]],TERCEROS_INFO[[PROVEEDOR]:[CORREO]],5,FALSE)</f>
        <v>juan.suarez@cosostenible.com;girlesa.ruiz@servipilas.com;joriescobar64@gmail.com</v>
      </c>
      <c r="G166" s="111">
        <v>44278</v>
      </c>
      <c r="H166" s="31" t="s">
        <v>50</v>
      </c>
      <c r="I166" s="111">
        <v>44242</v>
      </c>
      <c r="J166" s="48">
        <v>1462</v>
      </c>
      <c r="K166" s="26">
        <v>588235</v>
      </c>
      <c r="L166" s="26"/>
      <c r="M166" s="27">
        <v>111764.65</v>
      </c>
      <c r="N166" s="28"/>
      <c r="O166" s="27">
        <v>0</v>
      </c>
      <c r="P166" s="28">
        <v>0</v>
      </c>
      <c r="Q166" s="27">
        <v>0</v>
      </c>
      <c r="R166" s="26">
        <v>699999.65</v>
      </c>
      <c r="S166" s="115">
        <f ca="1">IF(PROVEEDORES[[#This Row],[FECHA DE PAGO]]=0,TODAY()-PROVEEDORES[[#This Row],[FECHA DE FACTURACIÓN]]-PROVEEDORES[[#This Row],[PLAZO Días]],0)</f>
        <v>0</v>
      </c>
      <c r="T16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7" spans="1:20" ht="21.9" customHeight="1" x14ac:dyDescent="0.3">
      <c r="A167" s="113" t="str">
        <f>+IF(PROVEEDORES[[#This Row],[FECHA DE PAGO]]=PROVEEDORES[[#This Row],[FECHA DE FACTURACIÓN]],"DE CONTADO","CRÉDITO")</f>
        <v>CRÉDITO</v>
      </c>
      <c r="B167" s="51" t="b">
        <f>+IF((PROVEEDORES[[#This Row],[FECHA DE PAGO]]-PROVEEDORES[[#This Row],[FECHA DE FACTURACIÓN]])&gt;PROVEEDORES[[#This Row],[PLAZO Días]],"PAGO VENCIDO")</f>
        <v>0</v>
      </c>
      <c r="C167" s="25">
        <f>+VLOOKUP(PROVEEDORES[[#This Row],[PROVEEDOR]],TERCEROS_INFO[#All],2,FALSE)</f>
        <v>30</v>
      </c>
      <c r="D167" s="30">
        <f>+SUMIFS(PROVEEDORES[Total],PROVEEDORES[PROVEEDOR],PROVEEDORES[[#This Row],[PROVEEDOR]],PROVEEDORES[FECHA DE PAGO],"")</f>
        <v>1119790</v>
      </c>
      <c r="E167" s="30"/>
      <c r="F167" s="73" t="str">
        <f>+VLOOKUP(PROVEEDORES[[#This Row],[PROVEEDOR]],TERCEROS_INFO[[PROVEEDOR]:[CORREO]],5,FALSE)</f>
        <v>MVALENCIA@mps.com.co;girlesa.ruiz@servipilas.com;joriescobar64@gmail.com</v>
      </c>
      <c r="G167" s="111">
        <v>44271</v>
      </c>
      <c r="H167" s="31" t="s">
        <v>17</v>
      </c>
      <c r="I167" s="111">
        <v>44242</v>
      </c>
      <c r="J167" s="48">
        <v>1726381</v>
      </c>
      <c r="K167" s="26">
        <v>3219678</v>
      </c>
      <c r="L167" s="26"/>
      <c r="M167" s="27">
        <v>0</v>
      </c>
      <c r="N167" s="28"/>
      <c r="O167" s="27">
        <v>0</v>
      </c>
      <c r="P167" s="28">
        <v>0</v>
      </c>
      <c r="Q167" s="27">
        <v>0</v>
      </c>
      <c r="R167" s="26">
        <v>3219678</v>
      </c>
      <c r="S167" s="115">
        <f ca="1">IF(PROVEEDORES[[#This Row],[FECHA DE PAGO]]=0,TODAY()-PROVEEDORES[[#This Row],[FECHA DE FACTURACIÓN]]-PROVEEDORES[[#This Row],[PLAZO Días]],0)</f>
        <v>0</v>
      </c>
      <c r="T1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8" spans="1:20" ht="21.9" customHeight="1" x14ac:dyDescent="0.3">
      <c r="A168" s="113" t="str">
        <f>+IF(PROVEEDORES[[#This Row],[FECHA DE PAGO]]=PROVEEDORES[[#This Row],[FECHA DE FACTURACIÓN]],"DE CONTADO","CRÉDITO")</f>
        <v>CRÉDITO</v>
      </c>
      <c r="B168" s="51" t="str">
        <f>+IF((PROVEEDORES[[#This Row],[FECHA DE PAGO]]-PROVEEDORES[[#This Row],[FECHA DE FACTURACIÓN]])&gt;PROVEEDORES[[#This Row],[PLAZO Días]],"PAGO VENCIDO")</f>
        <v>PAGO VENCIDO</v>
      </c>
      <c r="C168" s="25">
        <f>+VLOOKUP(PROVEEDORES[[#This Row],[PROVEEDOR]],TERCEROS_INFO[#All],2,FALSE)</f>
        <v>30</v>
      </c>
      <c r="D168" s="30">
        <f>+SUMIFS(PROVEEDORES[Total],PROVEEDORES[PROVEEDOR],PROVEEDORES[[#This Row],[PROVEEDOR]],PROVEEDORES[FECHA DE PAGO],"")</f>
        <v>-30345</v>
      </c>
      <c r="E168" s="30"/>
      <c r="F168" s="73" t="str">
        <f>+VLOOKUP(PROVEEDORES[[#This Row],[PROVEEDOR]],TERCEROS_INFO[[PROVEEDOR]:[CORREO]],5,FALSE)</f>
        <v>ventasmegamundo@yahoo.es;girlesa.ruiz@servipilas.com;joriescobar64@gmail.com</v>
      </c>
      <c r="G168" s="111">
        <v>44328</v>
      </c>
      <c r="H168" s="31" t="s">
        <v>1146</v>
      </c>
      <c r="I168" s="111">
        <v>44243</v>
      </c>
      <c r="J168" s="48" t="s">
        <v>352</v>
      </c>
      <c r="K168" s="26">
        <v>-95798.32</v>
      </c>
      <c r="L168" s="26"/>
      <c r="M168" s="27">
        <v>-18201.680800000002</v>
      </c>
      <c r="N168" s="28"/>
      <c r="O168" s="27">
        <v>0</v>
      </c>
      <c r="P168" s="28">
        <v>2.5000000000000001E-2</v>
      </c>
      <c r="Q168" s="27">
        <v>-2394.9580000000001</v>
      </c>
      <c r="R168" s="26">
        <v>-111605.04280000001</v>
      </c>
      <c r="S168" s="115">
        <f ca="1">IF(PROVEEDORES[[#This Row],[FECHA DE PAGO]]=0,TODAY()-PROVEEDORES[[#This Row],[FECHA DE FACTURACIÓN]]-PROVEEDORES[[#This Row],[PLAZO Días]],0)</f>
        <v>0</v>
      </c>
      <c r="T1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69" spans="1:20" ht="21.9" customHeight="1" x14ac:dyDescent="0.3">
      <c r="A169" s="113" t="str">
        <f>+IF(PROVEEDORES[[#This Row],[FECHA DE PAGO]]=PROVEEDORES[[#This Row],[FECHA DE FACTURACIÓN]],"DE CONTADO","CRÉDITO")</f>
        <v>CRÉDITO</v>
      </c>
      <c r="B169" s="51" t="str">
        <f>+IF((PROVEEDORES[[#This Row],[FECHA DE PAGO]]-PROVEEDORES[[#This Row],[FECHA DE FACTURACIÓN]])&gt;PROVEEDORES[[#This Row],[PLAZO Días]],"PAGO VENCIDO")</f>
        <v>PAGO VENCIDO</v>
      </c>
      <c r="C169" s="25">
        <f>+VLOOKUP(PROVEEDORES[[#This Row],[PROVEEDOR]],TERCEROS_INFO[#All],2,FALSE)</f>
        <v>30</v>
      </c>
      <c r="D169" s="30">
        <f>+SUMIFS(PROVEEDORES[Total],PROVEEDORES[PROVEEDOR],PROVEEDORES[[#This Row],[PROVEEDOR]],PROVEEDORES[FECHA DE PAGO],"")</f>
        <v>0</v>
      </c>
      <c r="E169" s="30"/>
      <c r="F169" s="73" t="str">
        <f>+VLOOKUP(PROVEEDORES[[#This Row],[PROVEEDOR]],TERCEROS_INFO[[PROVEEDOR]:[CORREO]],5,FALSE)</f>
        <v>Fernando.Carmona@energizer.com;girlesa.ruiz@servipilas.com;joriescobar64@gmail.com</v>
      </c>
      <c r="G169" s="111">
        <v>44321</v>
      </c>
      <c r="H169" s="31" t="s">
        <v>47</v>
      </c>
      <c r="I169" s="111">
        <v>44243</v>
      </c>
      <c r="J169" s="48" t="s">
        <v>220</v>
      </c>
      <c r="K169" s="26">
        <v>-54316</v>
      </c>
      <c r="L169" s="26"/>
      <c r="M169" s="27">
        <v>-10320.040000000001</v>
      </c>
      <c r="N169" s="28"/>
      <c r="O169" s="27">
        <v>0</v>
      </c>
      <c r="P169" s="28">
        <v>0</v>
      </c>
      <c r="Q169" s="27">
        <v>0</v>
      </c>
      <c r="R169" s="26">
        <v>-64636.04</v>
      </c>
      <c r="S169" s="115">
        <f ca="1">IF(PROVEEDORES[[#This Row],[FECHA DE PAGO]]=0,TODAY()-PROVEEDORES[[#This Row],[FECHA DE FACTURACIÓN]]-PROVEEDORES[[#This Row],[PLAZO Días]],0)</f>
        <v>0</v>
      </c>
      <c r="T16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0" spans="1:20" ht="21.9" customHeight="1" x14ac:dyDescent="0.3">
      <c r="A170" s="113" t="str">
        <f>+IF(PROVEEDORES[[#This Row],[FECHA DE PAGO]]=PROVEEDORES[[#This Row],[FECHA DE FACTURACIÓN]],"DE CONTADO","CRÉDITO")</f>
        <v>CRÉDITO</v>
      </c>
      <c r="B170" s="51" t="b">
        <f>+IF((PROVEEDORES[[#This Row],[FECHA DE PAGO]]-PROVEEDORES[[#This Row],[FECHA DE FACTURACIÓN]])&gt;PROVEEDORES[[#This Row],[PLAZO Días]],"PAGO VENCIDO")</f>
        <v>0</v>
      </c>
      <c r="C170" s="25">
        <f>+VLOOKUP(PROVEEDORES[[#This Row],[PROVEEDOR]],TERCEROS_INFO[#All],2,FALSE)</f>
        <v>30</v>
      </c>
      <c r="D170" s="30">
        <f>+SUMIFS(PROVEEDORES[Total],PROVEEDORES[PROVEEDOR],PROVEEDORES[[#This Row],[PROVEEDOR]],PROVEEDORES[FECHA DE PAGO],"")</f>
        <v>0</v>
      </c>
      <c r="E170" s="30"/>
      <c r="F170" s="73" t="str">
        <f>+VLOOKUP(PROVEEDORES[[#This Row],[PROVEEDOR]],TERCEROS_INFO[[PROVEEDOR]:[CORREO]],5,FALSE)</f>
        <v>BRIGHTSIDELED2019@gmail.com;girlesa.ruiz@servipilas.com;joriescobar64@gmail.com</v>
      </c>
      <c r="G170" s="111">
        <v>44264</v>
      </c>
      <c r="H170" s="31" t="s">
        <v>1044</v>
      </c>
      <c r="I170" s="111">
        <v>44243</v>
      </c>
      <c r="J170" s="48">
        <v>4110</v>
      </c>
      <c r="K170" s="26">
        <v>530000</v>
      </c>
      <c r="L170" s="26"/>
      <c r="M170" s="27">
        <v>0</v>
      </c>
      <c r="N170" s="28"/>
      <c r="O170" s="27">
        <v>0</v>
      </c>
      <c r="P170" s="28">
        <v>0</v>
      </c>
      <c r="Q170" s="27">
        <v>0</v>
      </c>
      <c r="R170" s="26">
        <v>530000</v>
      </c>
      <c r="S170" s="115">
        <f ca="1">IF(PROVEEDORES[[#This Row],[FECHA DE PAGO]]=0,TODAY()-PROVEEDORES[[#This Row],[FECHA DE FACTURACIÓN]]-PROVEEDORES[[#This Row],[PLAZO Días]],0)</f>
        <v>0</v>
      </c>
      <c r="T17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1" spans="1:20" ht="21.9" customHeight="1" x14ac:dyDescent="0.3">
      <c r="A171" s="113" t="str">
        <f>+IF(PROVEEDORES[[#This Row],[FECHA DE PAGO]]=PROVEEDORES[[#This Row],[FECHA DE FACTURACIÓN]],"DE CONTADO","CRÉDITO")</f>
        <v>CRÉDITO</v>
      </c>
      <c r="B171" s="51" t="str">
        <f>+IF((PROVEEDORES[[#This Row],[FECHA DE PAGO]]-PROVEEDORES[[#This Row],[FECHA DE FACTURACIÓN]])&gt;PROVEEDORES[[#This Row],[PLAZO Días]],"PAGO VENCIDO")</f>
        <v>PAGO VENCIDO</v>
      </c>
      <c r="C171" s="25">
        <f>+VLOOKUP(PROVEEDORES[[#This Row],[PROVEEDOR]],TERCEROS_INFO[#All],2,FALSE)</f>
        <v>30</v>
      </c>
      <c r="D171" s="30">
        <f>+SUMIFS(PROVEEDORES[Total],PROVEEDORES[PROVEEDOR],PROVEEDORES[[#This Row],[PROVEEDOR]],PROVEEDORES[FECHA DE PAGO],"")</f>
        <v>0</v>
      </c>
      <c r="E171" s="30"/>
      <c r="F171" s="73" t="str">
        <f>+VLOOKUP(PROVEEDORES[[#This Row],[PROVEEDOR]],TERCEROS_INFO[[PROVEEDOR]:[CORREO]],5,FALSE)</f>
        <v/>
      </c>
      <c r="G171" s="111">
        <v>44340</v>
      </c>
      <c r="H171" s="31" t="s">
        <v>989</v>
      </c>
      <c r="I171" s="111">
        <v>44243</v>
      </c>
      <c r="J171" s="48" t="s">
        <v>680</v>
      </c>
      <c r="K171" s="26">
        <v>595000</v>
      </c>
      <c r="L171" s="26"/>
      <c r="M171" s="27">
        <v>0</v>
      </c>
      <c r="N171" s="28"/>
      <c r="O171" s="27">
        <v>0</v>
      </c>
      <c r="P171" s="28">
        <v>0</v>
      </c>
      <c r="Q171" s="27">
        <v>0</v>
      </c>
      <c r="R171" s="26">
        <v>595000</v>
      </c>
      <c r="S171" s="115">
        <f ca="1">IF(PROVEEDORES[[#This Row],[FECHA DE PAGO]]=0,TODAY()-PROVEEDORES[[#This Row],[FECHA DE FACTURACIÓN]]-PROVEEDORES[[#This Row],[PLAZO Días]],0)</f>
        <v>0</v>
      </c>
      <c r="T1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2" spans="1:20" ht="21.9" customHeight="1" x14ac:dyDescent="0.3">
      <c r="A172" s="113" t="str">
        <f>+IF(PROVEEDORES[[#This Row],[FECHA DE PAGO]]=PROVEEDORES[[#This Row],[FECHA DE FACTURACIÓN]],"DE CONTADO","CRÉDITO")</f>
        <v>CRÉDITO</v>
      </c>
      <c r="B172" s="51" t="str">
        <f>+IF((PROVEEDORES[[#This Row],[FECHA DE PAGO]]-PROVEEDORES[[#This Row],[FECHA DE FACTURACIÓN]])&gt;PROVEEDORES[[#This Row],[PLAZO Días]],"PAGO VENCIDO")</f>
        <v>PAGO VENCIDO</v>
      </c>
      <c r="C172" s="25">
        <f>+VLOOKUP(PROVEEDORES[[#This Row],[PROVEEDOR]],TERCEROS_INFO[#All],2,FALSE)</f>
        <v>30</v>
      </c>
      <c r="D172" s="30">
        <f>+SUMIFS(PROVEEDORES[Total],PROVEEDORES[PROVEEDOR],PROVEEDORES[[#This Row],[PROVEEDOR]],PROVEEDORES[FECHA DE PAGO],"")</f>
        <v>-30345</v>
      </c>
      <c r="E172" s="30"/>
      <c r="F172" s="73" t="str">
        <f>+VLOOKUP(PROVEEDORES[[#This Row],[PROVEEDOR]],TERCEROS_INFO[[PROVEEDOR]:[CORREO]],5,FALSE)</f>
        <v>ventasmegamundo@yahoo.es;girlesa.ruiz@servipilas.com;joriescobar64@gmail.com</v>
      </c>
      <c r="G172" s="111">
        <v>44348</v>
      </c>
      <c r="H172" s="31" t="s">
        <v>1146</v>
      </c>
      <c r="I172" s="111">
        <v>44244</v>
      </c>
      <c r="J172" s="48">
        <v>830</v>
      </c>
      <c r="K172" s="26">
        <v>738655.46</v>
      </c>
      <c r="L172" s="26"/>
      <c r="M172" s="27">
        <v>140344.5374</v>
      </c>
      <c r="N172" s="28"/>
      <c r="O172" s="27">
        <v>0</v>
      </c>
      <c r="P172" s="28">
        <v>0</v>
      </c>
      <c r="Q172" s="27">
        <v>0</v>
      </c>
      <c r="R172" s="26">
        <v>878999.99739999999</v>
      </c>
      <c r="S172" s="115">
        <f ca="1">IF(PROVEEDORES[[#This Row],[FECHA DE PAGO]]=0,TODAY()-PROVEEDORES[[#This Row],[FECHA DE FACTURACIÓN]]-PROVEEDORES[[#This Row],[PLAZO Días]],0)</f>
        <v>0</v>
      </c>
      <c r="T17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3" spans="1:20" ht="21.9" customHeight="1" x14ac:dyDescent="0.3">
      <c r="A173" s="113" t="str">
        <f>+IF(PROVEEDORES[[#This Row],[FECHA DE PAGO]]=PROVEEDORES[[#This Row],[FECHA DE FACTURACIÓN]],"DE CONTADO","CRÉDITO")</f>
        <v>DE CONTADO</v>
      </c>
      <c r="B173" s="51" t="b">
        <f>+IF((PROVEEDORES[[#This Row],[FECHA DE PAGO]]-PROVEEDORES[[#This Row],[FECHA DE FACTURACIÓN]])&gt;PROVEEDORES[[#This Row],[PLAZO Días]],"PAGO VENCIDO")</f>
        <v>0</v>
      </c>
      <c r="C173" s="25">
        <f>+VLOOKUP(PROVEEDORES[[#This Row],[PROVEEDOR]],TERCEROS_INFO[#All],2,FALSE)</f>
        <v>30</v>
      </c>
      <c r="D173" s="30">
        <f>+SUMIFS(PROVEEDORES[Total],PROVEEDORES[PROVEEDOR],PROVEEDORES[[#This Row],[PROVEEDOR]],PROVEEDORES[FECHA DE PAGO],"")</f>
        <v>0</v>
      </c>
      <c r="E173" s="30"/>
      <c r="F173" s="73" t="str">
        <f>+VLOOKUP(PROVEEDORES[[#This Row],[PROVEEDOR]],TERCEROS_INFO[[PROVEEDOR]:[CORREO]],5,FALSE)</f>
        <v/>
      </c>
      <c r="G173" s="111">
        <v>44244</v>
      </c>
      <c r="H173" s="31" t="s">
        <v>1052</v>
      </c>
      <c r="I173" s="111">
        <v>44244</v>
      </c>
      <c r="J173" s="48"/>
      <c r="K173" s="26">
        <v>1000000</v>
      </c>
      <c r="L173" s="26"/>
      <c r="M173" s="27">
        <v>0</v>
      </c>
      <c r="N173" s="28"/>
      <c r="O173" s="27">
        <v>0</v>
      </c>
      <c r="P173" s="28">
        <v>0</v>
      </c>
      <c r="Q173" s="27">
        <v>0</v>
      </c>
      <c r="R173" s="26">
        <v>1000000</v>
      </c>
      <c r="S173" s="115">
        <f ca="1">IF(PROVEEDORES[[#This Row],[FECHA DE PAGO]]=0,TODAY()-PROVEEDORES[[#This Row],[FECHA DE FACTURACIÓN]]-PROVEEDORES[[#This Row],[PLAZO Días]],0)</f>
        <v>0</v>
      </c>
      <c r="T17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4" spans="1:20" ht="21.9" customHeight="1" x14ac:dyDescent="0.3">
      <c r="A174" s="113" t="str">
        <f>+IF(PROVEEDORES[[#This Row],[FECHA DE PAGO]]=PROVEEDORES[[#This Row],[FECHA DE FACTURACIÓN]],"DE CONTADO","CRÉDITO")</f>
        <v>CRÉDITO</v>
      </c>
      <c r="B174" s="51" t="b">
        <f>+IF((PROVEEDORES[[#This Row],[FECHA DE PAGO]]-PROVEEDORES[[#This Row],[FECHA DE FACTURACIÓN]])&gt;PROVEEDORES[[#This Row],[PLAZO Días]],"PAGO VENCIDO")</f>
        <v>0</v>
      </c>
      <c r="C174" s="25">
        <f>+VLOOKUP(PROVEEDORES[[#This Row],[PROVEEDOR]],TERCEROS_INFO[#All],2,FALSE)</f>
        <v>30</v>
      </c>
      <c r="D174" s="30">
        <f>+SUMIFS(PROVEEDORES[Total],PROVEEDORES[PROVEEDOR],PROVEEDORES[[#This Row],[PROVEEDOR]],PROVEEDORES[FECHA DE PAGO],"")</f>
        <v>0</v>
      </c>
      <c r="E174" s="30"/>
      <c r="F174" s="73" t="str">
        <f>+VLOOKUP(PROVEEDORES[[#This Row],[PROVEEDOR]],TERCEROS_INFO[[PROVEEDOR]:[CORREO]],5,FALSE)</f>
        <v>vromero@flashinternational.us;girlesa.ruiz@servipilas.com;joriescobar64@gmail.com</v>
      </c>
      <c r="G174" s="111">
        <v>44245</v>
      </c>
      <c r="H174" s="31" t="s">
        <v>135</v>
      </c>
      <c r="I174" s="111">
        <v>44244</v>
      </c>
      <c r="J174" s="48" t="s">
        <v>222</v>
      </c>
      <c r="K174" s="26">
        <v>1190000</v>
      </c>
      <c r="L174" s="26"/>
      <c r="M174" s="27">
        <v>0</v>
      </c>
      <c r="N174" s="28"/>
      <c r="O174" s="27">
        <v>0</v>
      </c>
      <c r="P174" s="28">
        <v>0</v>
      </c>
      <c r="Q174" s="27">
        <v>0</v>
      </c>
      <c r="R174" s="26">
        <v>1190000</v>
      </c>
      <c r="S174" s="115">
        <f ca="1">IF(PROVEEDORES[[#This Row],[FECHA DE PAGO]]=0,TODAY()-PROVEEDORES[[#This Row],[FECHA DE FACTURACIÓN]]-PROVEEDORES[[#This Row],[PLAZO Días]],0)</f>
        <v>0</v>
      </c>
      <c r="T17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5" spans="1:20" ht="21.9" customHeight="1" x14ac:dyDescent="0.3">
      <c r="A175" s="113" t="str">
        <f>+IF(PROVEEDORES[[#This Row],[FECHA DE PAGO]]=PROVEEDORES[[#This Row],[FECHA DE FACTURACIÓN]],"DE CONTADO","CRÉDITO")</f>
        <v>CRÉDITO</v>
      </c>
      <c r="B175" s="51" t="str">
        <f>+IF((PROVEEDORES[[#This Row],[FECHA DE PAGO]]-PROVEEDORES[[#This Row],[FECHA DE FACTURACIÓN]])&gt;PROVEEDORES[[#This Row],[PLAZO Días]],"PAGO VENCIDO")</f>
        <v>PAGO VENCIDO</v>
      </c>
      <c r="C175" s="25">
        <f>+VLOOKUP(PROVEEDORES[[#This Row],[PROVEEDOR]],TERCEROS_INFO[#All],2,FALSE)</f>
        <v>30</v>
      </c>
      <c r="D175" s="30">
        <f>+SUMIFS(PROVEEDORES[Total],PROVEEDORES[PROVEEDOR],PROVEEDORES[[#This Row],[PROVEEDOR]],PROVEEDORES[FECHA DE PAGO],"")</f>
        <v>0</v>
      </c>
      <c r="E175" s="30"/>
      <c r="F175" s="73" t="str">
        <f>+VLOOKUP(PROVEEDORES[[#This Row],[PROVEEDOR]],TERCEROS_INFO[[PROVEEDOR]:[CORREO]],5,FALSE)</f>
        <v>Pygimportadora@gmail.com;girlesa.ruiz@servipilas.com;joriescobar64@gmail.com</v>
      </c>
      <c r="G175" s="111">
        <v>44298</v>
      </c>
      <c r="H175" s="31" t="s">
        <v>26</v>
      </c>
      <c r="I175" s="111">
        <v>44244</v>
      </c>
      <c r="J175" s="48">
        <v>910</v>
      </c>
      <c r="K175" s="26">
        <v>2410000</v>
      </c>
      <c r="L175" s="26"/>
      <c r="M175" s="27">
        <v>457900</v>
      </c>
      <c r="N175" s="28"/>
      <c r="O175" s="27">
        <v>0</v>
      </c>
      <c r="P175" s="28">
        <v>2.5000000000000001E-2</v>
      </c>
      <c r="Q175" s="27">
        <v>60250</v>
      </c>
      <c r="R175" s="26">
        <v>2807650</v>
      </c>
      <c r="S175" s="115">
        <f ca="1">IF(PROVEEDORES[[#This Row],[FECHA DE PAGO]]=0,TODAY()-PROVEEDORES[[#This Row],[FECHA DE FACTURACIÓN]]-PROVEEDORES[[#This Row],[PLAZO Días]],0)</f>
        <v>0</v>
      </c>
      <c r="T17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6" spans="1:20" ht="21.9" customHeight="1" x14ac:dyDescent="0.3">
      <c r="A176" s="113" t="str">
        <f>+IF(PROVEEDORES[[#This Row],[FECHA DE PAGO]]=PROVEEDORES[[#This Row],[FECHA DE FACTURACIÓN]],"DE CONTADO","CRÉDITO")</f>
        <v>DE CONTADO</v>
      </c>
      <c r="B176" s="51" t="b">
        <f>+IF((PROVEEDORES[[#This Row],[FECHA DE PAGO]]-PROVEEDORES[[#This Row],[FECHA DE FACTURACIÓN]])&gt;PROVEEDORES[[#This Row],[PLAZO Días]],"PAGO VENCIDO")</f>
        <v>0</v>
      </c>
      <c r="C176" s="25">
        <f>+VLOOKUP(PROVEEDORES[[#This Row],[PROVEEDOR]],TERCEROS_INFO[#All],2,FALSE)</f>
        <v>30</v>
      </c>
      <c r="D176" s="30">
        <f>+SUMIFS(PROVEEDORES[Total],PROVEEDORES[PROVEEDOR],PROVEEDORES[[#This Row],[PROVEEDOR]],PROVEEDORES[FECHA DE PAGO],"")</f>
        <v>0</v>
      </c>
      <c r="E176" s="30"/>
      <c r="F176" s="73" t="str">
        <f>+VLOOKUP(PROVEEDORES[[#This Row],[PROVEEDOR]],TERCEROS_INFO[[PROVEEDOR]:[CORREO]],5,FALSE)</f>
        <v/>
      </c>
      <c r="G176" s="111">
        <v>44245</v>
      </c>
      <c r="H176" s="31" t="s">
        <v>1052</v>
      </c>
      <c r="I176" s="111">
        <v>44245</v>
      </c>
      <c r="J176" s="48"/>
      <c r="K176" s="26">
        <v>1000000</v>
      </c>
      <c r="L176" s="26"/>
      <c r="M176" s="27">
        <v>0</v>
      </c>
      <c r="N176" s="28"/>
      <c r="O176" s="27">
        <v>0</v>
      </c>
      <c r="P176" s="28">
        <v>0</v>
      </c>
      <c r="Q176" s="27">
        <v>0</v>
      </c>
      <c r="R176" s="26">
        <v>1000000</v>
      </c>
      <c r="S176" s="115">
        <f ca="1">IF(PROVEEDORES[[#This Row],[FECHA DE PAGO]]=0,TODAY()-PROVEEDORES[[#This Row],[FECHA DE FACTURACIÓN]]-PROVEEDORES[[#This Row],[PLAZO Días]],0)</f>
        <v>0</v>
      </c>
      <c r="T1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7" spans="1:20" ht="21.9" customHeight="1" x14ac:dyDescent="0.3">
      <c r="A177" s="113" t="str">
        <f>+IF(PROVEEDORES[[#This Row],[FECHA DE PAGO]]=PROVEEDORES[[#This Row],[FECHA DE FACTURACIÓN]],"DE CONTADO","CRÉDITO")</f>
        <v>DE CONTADO</v>
      </c>
      <c r="B177" s="51" t="b">
        <f>+IF((PROVEEDORES[[#This Row],[FECHA DE PAGO]]-PROVEEDORES[[#This Row],[FECHA DE FACTURACIÓN]])&gt;PROVEEDORES[[#This Row],[PLAZO Días]],"PAGO VENCIDO")</f>
        <v>0</v>
      </c>
      <c r="C177" s="25">
        <f>+VLOOKUP(PROVEEDORES[[#This Row],[PROVEEDOR]],TERCEROS_INFO[#All],2,FALSE)</f>
        <v>30</v>
      </c>
      <c r="D177" s="30">
        <f>+SUMIFS(PROVEEDORES[Total],PROVEEDORES[PROVEEDOR],PROVEEDORES[[#This Row],[PROVEEDOR]],PROVEEDORES[FECHA DE PAGO],"")</f>
        <v>0</v>
      </c>
      <c r="E177" s="30"/>
      <c r="F177" s="73" t="str">
        <f>+VLOOKUP(PROVEEDORES[[#This Row],[PROVEEDOR]],TERCEROS_INFO[[PROVEEDOR]:[CORREO]],5,FALSE)</f>
        <v>vromero@flashinternational.us;girlesa.ruiz@servipilas.com;joriescobar64@gmail.com</v>
      </c>
      <c r="G177" s="111">
        <v>44245</v>
      </c>
      <c r="H177" s="31" t="s">
        <v>58</v>
      </c>
      <c r="I177" s="111">
        <v>44245</v>
      </c>
      <c r="J177" s="48" t="s">
        <v>223</v>
      </c>
      <c r="K177" s="26">
        <v>1944000</v>
      </c>
      <c r="L177" s="26"/>
      <c r="M177" s="27">
        <v>0</v>
      </c>
      <c r="N177" s="28"/>
      <c r="O177" s="27">
        <v>0</v>
      </c>
      <c r="P177" s="28">
        <v>0</v>
      </c>
      <c r="Q177" s="27">
        <v>0</v>
      </c>
      <c r="R177" s="26">
        <v>1944000</v>
      </c>
      <c r="S177" s="115">
        <f ca="1">IF(PROVEEDORES[[#This Row],[FECHA DE PAGO]]=0,TODAY()-PROVEEDORES[[#This Row],[FECHA DE FACTURACIÓN]]-PROVEEDORES[[#This Row],[PLAZO Días]],0)</f>
        <v>0</v>
      </c>
      <c r="T1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8" spans="1:20" ht="21.9" customHeight="1" x14ac:dyDescent="0.3">
      <c r="A178" s="113" t="str">
        <f>+IF(PROVEEDORES[[#This Row],[FECHA DE PAGO]]=PROVEEDORES[[#This Row],[FECHA DE FACTURACIÓN]],"DE CONTADO","CRÉDITO")</f>
        <v>CRÉDITO</v>
      </c>
      <c r="B178" s="51" t="str">
        <f>+IF((PROVEEDORES[[#This Row],[FECHA DE PAGO]]-PROVEEDORES[[#This Row],[FECHA DE FACTURACIÓN]])&gt;PROVEEDORES[[#This Row],[PLAZO Días]],"PAGO VENCIDO")</f>
        <v>PAGO VENCIDO</v>
      </c>
      <c r="C178" s="25">
        <f>+VLOOKUP(PROVEEDORES[[#This Row],[PROVEEDOR]],TERCEROS_INFO[#All],2,FALSE)</f>
        <v>30</v>
      </c>
      <c r="D178" s="30">
        <f>+SUMIFS(PROVEEDORES[Total],PROVEEDORES[PROVEEDOR],PROVEEDORES[[#This Row],[PROVEEDOR]],PROVEEDORES[FECHA DE PAGO],"")</f>
        <v>6482443.1751999995</v>
      </c>
      <c r="E178" s="30"/>
      <c r="F178" s="73" t="str">
        <f>+VLOOKUP(PROVEEDORES[[#This Row],[PROVEEDOR]],TERCEROS_INFO[[PROVEEDOR]:[CORREO]],5,FALSE)</f>
        <v>angela.navas@hyrdistribuciones.com;girlesa.ruiz@servipilas.com;joriescobar64@gmail.com</v>
      </c>
      <c r="G178" s="111">
        <v>44307</v>
      </c>
      <c r="H178" s="31" t="s">
        <v>18</v>
      </c>
      <c r="I178" s="111">
        <v>44246</v>
      </c>
      <c r="J178" s="48" t="s">
        <v>246</v>
      </c>
      <c r="K178" s="26">
        <v>-268907.56302521011</v>
      </c>
      <c r="L178" s="26"/>
      <c r="M178" s="27">
        <v>-51092.436974789918</v>
      </c>
      <c r="N178" s="28"/>
      <c r="O178" s="27">
        <v>0</v>
      </c>
      <c r="P178" s="28">
        <v>0</v>
      </c>
      <c r="Q178" s="27">
        <v>0</v>
      </c>
      <c r="R178" s="26">
        <v>-320000</v>
      </c>
      <c r="S178" s="115">
        <f ca="1">IF(PROVEEDORES[[#This Row],[FECHA DE PAGO]]=0,TODAY()-PROVEEDORES[[#This Row],[FECHA DE FACTURACIÓN]]-PROVEEDORES[[#This Row],[PLAZO Días]],0)</f>
        <v>0</v>
      </c>
      <c r="T17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79" spans="1:20" ht="21.9" customHeight="1" x14ac:dyDescent="0.3">
      <c r="A179" s="113" t="str">
        <f>+IF(PROVEEDORES[[#This Row],[FECHA DE PAGO]]=PROVEEDORES[[#This Row],[FECHA DE FACTURACIÓN]],"DE CONTADO","CRÉDITO")</f>
        <v>DE CONTADO</v>
      </c>
      <c r="B179" s="51" t="b">
        <f>+IF((PROVEEDORES[[#This Row],[FECHA DE PAGO]]-PROVEEDORES[[#This Row],[FECHA DE FACTURACIÓN]])&gt;PROVEEDORES[[#This Row],[PLAZO Días]],"PAGO VENCIDO")</f>
        <v>0</v>
      </c>
      <c r="C179" s="25">
        <f>+VLOOKUP(PROVEEDORES[[#This Row],[PROVEEDOR]],TERCEROS_INFO[#All],2,FALSE)</f>
        <v>30</v>
      </c>
      <c r="D179" s="30">
        <f>+SUMIFS(PROVEEDORES[Total],PROVEEDORES[PROVEEDOR],PROVEEDORES[[#This Row],[PROVEEDOR]],PROVEEDORES[FECHA DE PAGO],"")</f>
        <v>0</v>
      </c>
      <c r="E179" s="30"/>
      <c r="F179" s="73" t="str">
        <f>+VLOOKUP(PROVEEDORES[[#This Row],[PROVEEDOR]],TERCEROS_INFO[[PROVEEDOR]:[CORREO]],5,FALSE)</f>
        <v/>
      </c>
      <c r="G179" s="111">
        <v>44246</v>
      </c>
      <c r="H179" s="31" t="s">
        <v>1065</v>
      </c>
      <c r="I179" s="111">
        <v>44246</v>
      </c>
      <c r="J179" s="48"/>
      <c r="K179" s="26">
        <v>20000</v>
      </c>
      <c r="L179" s="26"/>
      <c r="M179" s="27">
        <v>0</v>
      </c>
      <c r="N179" s="28"/>
      <c r="O179" s="27">
        <v>0</v>
      </c>
      <c r="P179" s="28">
        <v>0</v>
      </c>
      <c r="Q179" s="27">
        <v>0</v>
      </c>
      <c r="R179" s="26">
        <v>20000</v>
      </c>
      <c r="S179" s="115">
        <f ca="1">IF(PROVEEDORES[[#This Row],[FECHA DE PAGO]]=0,TODAY()-PROVEEDORES[[#This Row],[FECHA DE FACTURACIÓN]]-PROVEEDORES[[#This Row],[PLAZO Días]],0)</f>
        <v>0</v>
      </c>
      <c r="T1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0" spans="1:20" ht="21.9" customHeight="1" x14ac:dyDescent="0.3">
      <c r="A180" s="113" t="str">
        <f>+IF(PROVEEDORES[[#This Row],[FECHA DE PAGO]]=PROVEEDORES[[#This Row],[FECHA DE FACTURACIÓN]],"DE CONTADO","CRÉDITO")</f>
        <v>CRÉDITO</v>
      </c>
      <c r="B180" s="51" t="str">
        <f>+IF((PROVEEDORES[[#This Row],[FECHA DE PAGO]]-PROVEEDORES[[#This Row],[FECHA DE FACTURACIÓN]])&gt;PROVEEDORES[[#This Row],[PLAZO Días]],"PAGO VENCIDO")</f>
        <v>PAGO VENCIDO</v>
      </c>
      <c r="C180" s="25">
        <f>+VLOOKUP(PROVEEDORES[[#This Row],[PROVEEDOR]],TERCEROS_INFO[#All],2,FALSE)</f>
        <v>30</v>
      </c>
      <c r="D180" s="30">
        <f>+SUMIFS(PROVEEDORES[Total],PROVEEDORES[PROVEEDOR],PROVEEDORES[[#This Row],[PROVEEDOR]],PROVEEDORES[FECHA DE PAGO],"")</f>
        <v>1064947.47</v>
      </c>
      <c r="E180" s="30"/>
      <c r="F180" s="73" t="str">
        <f>+VLOOKUP(PROVEEDORES[[#This Row],[PROVEEDOR]],TERCEROS_INFO[[PROVEEDOR]:[CORREO]],5,FALSE)</f>
        <v>supervisorventasbridge@gmail.com;newtimewatches1@gmail.com;girlesa.ruiz@servipilas.com;joriescobar64@gmail.com</v>
      </c>
      <c r="G180" s="111">
        <v>44285</v>
      </c>
      <c r="H180" s="31" t="s">
        <v>137</v>
      </c>
      <c r="I180" s="111">
        <v>44246</v>
      </c>
      <c r="J180" s="48" t="s">
        <v>230</v>
      </c>
      <c r="K180" s="26">
        <v>1335643</v>
      </c>
      <c r="L180" s="26">
        <v>128222</v>
      </c>
      <c r="M180" s="27">
        <v>229409.99</v>
      </c>
      <c r="N180" s="28"/>
      <c r="O180" s="27">
        <v>0</v>
      </c>
      <c r="P180" s="28">
        <v>2.5000000000000001E-2</v>
      </c>
      <c r="Q180" s="27">
        <v>30185.525000000001</v>
      </c>
      <c r="R180" s="26">
        <v>1406645.4650000001</v>
      </c>
      <c r="S180" s="115">
        <f ca="1">IF(PROVEEDORES[[#This Row],[FECHA DE PAGO]]=0,TODAY()-PROVEEDORES[[#This Row],[FECHA DE FACTURACIÓN]]-PROVEEDORES[[#This Row],[PLAZO Días]],0)</f>
        <v>0</v>
      </c>
      <c r="T1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1" spans="1:20" ht="21.9" customHeight="1" x14ac:dyDescent="0.3">
      <c r="A181" s="113" t="str">
        <f>+IF(PROVEEDORES[[#This Row],[FECHA DE PAGO]]=PROVEEDORES[[#This Row],[FECHA DE FACTURACIÓN]],"DE CONTADO","CRÉDITO")</f>
        <v>CRÉDITO</v>
      </c>
      <c r="B181" s="51" t="b">
        <f>+IF((PROVEEDORES[[#This Row],[FECHA DE PAGO]]-PROVEEDORES[[#This Row],[FECHA DE FACTURACIÓN]])&gt;PROVEEDORES[[#This Row],[PLAZO Días]],"PAGO VENCIDO")</f>
        <v>0</v>
      </c>
      <c r="C181" s="25">
        <f>+VLOOKUP(PROVEEDORES[[#This Row],[PROVEEDOR]],TERCEROS_INFO[#All],2,FALSE)</f>
        <v>30</v>
      </c>
      <c r="D181" s="30">
        <f>+SUMIFS(PROVEEDORES[Total],PROVEEDORES[PROVEEDOR],PROVEEDORES[[#This Row],[PROVEEDOR]],PROVEEDORES[FECHA DE PAGO],"")</f>
        <v>0</v>
      </c>
      <c r="E181" s="30"/>
      <c r="F181" s="73" t="str">
        <f>+VLOOKUP(PROVEEDORES[[#This Row],[PROVEEDOR]],TERCEROS_INFO[[PROVEEDOR]:[CORREO]],5,FALSE)</f>
        <v>vromero@flashinternational.us;girlesa.ruiz@servipilas.com;joriescobar64@gmail.com</v>
      </c>
      <c r="G181" s="111">
        <v>44250</v>
      </c>
      <c r="H181" s="31" t="s">
        <v>136</v>
      </c>
      <c r="I181" s="111">
        <v>44246</v>
      </c>
      <c r="J181" s="48" t="s">
        <v>227</v>
      </c>
      <c r="K181" s="26">
        <v>1667000</v>
      </c>
      <c r="L181" s="26"/>
      <c r="M181" s="27">
        <v>0</v>
      </c>
      <c r="N181" s="28"/>
      <c r="O181" s="27">
        <v>0</v>
      </c>
      <c r="P181" s="28">
        <v>0</v>
      </c>
      <c r="Q181" s="27">
        <v>0</v>
      </c>
      <c r="R181" s="26">
        <v>1667000</v>
      </c>
      <c r="S181" s="115">
        <f ca="1">IF(PROVEEDORES[[#This Row],[FECHA DE PAGO]]=0,TODAY()-PROVEEDORES[[#This Row],[FECHA DE FACTURACIÓN]]-PROVEEDORES[[#This Row],[PLAZO Días]],0)</f>
        <v>0</v>
      </c>
      <c r="T1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2" spans="1:20" ht="21.9" customHeight="1" x14ac:dyDescent="0.3">
      <c r="A182" s="113" t="str">
        <f>+IF(PROVEEDORES[[#This Row],[FECHA DE PAGO]]=PROVEEDORES[[#This Row],[FECHA DE FACTURACIÓN]],"DE CONTADO","CRÉDITO")</f>
        <v>CRÉDITO</v>
      </c>
      <c r="B182" s="51" t="str">
        <f>+IF((PROVEEDORES[[#This Row],[FECHA DE PAGO]]-PROVEEDORES[[#This Row],[FECHA DE FACTURACIÓN]])&gt;PROVEEDORES[[#This Row],[PLAZO Días]],"PAGO VENCIDO")</f>
        <v>PAGO VENCIDO</v>
      </c>
      <c r="C182" s="25">
        <f>+VLOOKUP(PROVEEDORES[[#This Row],[PROVEEDOR]],TERCEROS_INFO[#All],2,FALSE)</f>
        <v>30</v>
      </c>
      <c r="D182" s="30">
        <f>+SUMIFS(PROVEEDORES[Total],PROVEEDORES[PROVEEDOR],PROVEEDORES[[#This Row],[PROVEEDOR]],PROVEEDORES[FECHA DE PAGO],"")</f>
        <v>3750700</v>
      </c>
      <c r="E182" s="30"/>
      <c r="F182" s="73" t="str">
        <f>+VLOOKUP(PROVEEDORES[[#This Row],[PROVEEDOR]],TERCEROS_INFO[[PROVEEDOR]:[CORREO]],5,FALSE)</f>
        <v/>
      </c>
      <c r="G182" s="111">
        <v>44290</v>
      </c>
      <c r="H182" s="31" t="s">
        <v>996</v>
      </c>
      <c r="I182" s="111">
        <v>44246</v>
      </c>
      <c r="J182" s="48" t="s">
        <v>681</v>
      </c>
      <c r="K182" s="26">
        <v>2760000</v>
      </c>
      <c r="L182" s="26"/>
      <c r="M182" s="27">
        <v>0</v>
      </c>
      <c r="N182" s="28"/>
      <c r="O182" s="27">
        <v>0</v>
      </c>
      <c r="P182" s="28">
        <v>0</v>
      </c>
      <c r="Q182" s="27">
        <v>0</v>
      </c>
      <c r="R182" s="26">
        <v>2760000</v>
      </c>
      <c r="S182" s="115">
        <f ca="1">IF(PROVEEDORES[[#This Row],[FECHA DE PAGO]]=0,TODAY()-PROVEEDORES[[#This Row],[FECHA DE FACTURACIÓN]]-PROVEEDORES[[#This Row],[PLAZO Días]],0)</f>
        <v>0</v>
      </c>
      <c r="T18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3" spans="1:20" ht="21.9" customHeight="1" x14ac:dyDescent="0.3">
      <c r="A183" s="113" t="str">
        <f>+IF(PROVEEDORES[[#This Row],[FECHA DE PAGO]]=PROVEEDORES[[#This Row],[FECHA DE FACTURACIÓN]],"DE CONTADO","CRÉDITO")</f>
        <v>DE CONTADO</v>
      </c>
      <c r="B183" s="51" t="b">
        <f>+IF((PROVEEDORES[[#This Row],[FECHA DE PAGO]]-PROVEEDORES[[#This Row],[FECHA DE FACTURACIÓN]])&gt;PROVEEDORES[[#This Row],[PLAZO Días]],"PAGO VENCIDO")</f>
        <v>0</v>
      </c>
      <c r="C183" s="25">
        <f>+VLOOKUP(PROVEEDORES[[#This Row],[PROVEEDOR]],TERCEROS_INFO[#All],2,FALSE)</f>
        <v>30</v>
      </c>
      <c r="D183" s="30">
        <f>+SUMIFS(PROVEEDORES[Total],PROVEEDORES[PROVEEDOR],PROVEEDORES[[#This Row],[PROVEEDOR]],PROVEEDORES[FECHA DE PAGO],"")</f>
        <v>0</v>
      </c>
      <c r="E183" s="30"/>
      <c r="F183" s="73" t="str">
        <f>+VLOOKUP(PROVEEDORES[[#This Row],[PROVEEDOR]],TERCEROS_INFO[[PROVEEDOR]:[CORREO]],5,FALSE)</f>
        <v/>
      </c>
      <c r="G183" s="111">
        <v>44247</v>
      </c>
      <c r="H183" s="31" t="s">
        <v>1003</v>
      </c>
      <c r="I183" s="111">
        <v>44247</v>
      </c>
      <c r="J183" s="48">
        <v>2218</v>
      </c>
      <c r="K183" s="26">
        <v>540000</v>
      </c>
      <c r="L183" s="26"/>
      <c r="M183" s="27">
        <v>0</v>
      </c>
      <c r="N183" s="28"/>
      <c r="O183" s="27">
        <v>0</v>
      </c>
      <c r="P183" s="28">
        <v>0</v>
      </c>
      <c r="Q183" s="27">
        <v>0</v>
      </c>
      <c r="R183" s="26">
        <v>540000</v>
      </c>
      <c r="S183" s="115">
        <f ca="1">IF(PROVEEDORES[[#This Row],[FECHA DE PAGO]]=0,TODAY()-PROVEEDORES[[#This Row],[FECHA DE FACTURACIÓN]]-PROVEEDORES[[#This Row],[PLAZO Días]],0)</f>
        <v>0</v>
      </c>
      <c r="T18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4" spans="1:20" ht="21.9" customHeight="1" x14ac:dyDescent="0.3">
      <c r="A184" s="113" t="str">
        <f>+IF(PROVEEDORES[[#This Row],[FECHA DE PAGO]]=PROVEEDORES[[#This Row],[FECHA DE FACTURACIÓN]],"DE CONTADO","CRÉDITO")</f>
        <v>CRÉDITO</v>
      </c>
      <c r="B184" s="51" t="b">
        <f>+IF((PROVEEDORES[[#This Row],[FECHA DE PAGO]]-PROVEEDORES[[#This Row],[FECHA DE FACTURACIÓN]])&gt;PROVEEDORES[[#This Row],[PLAZO Días]],"PAGO VENCIDO")</f>
        <v>0</v>
      </c>
      <c r="C184" s="25">
        <f>+VLOOKUP(PROVEEDORES[[#This Row],[PROVEEDOR]],TERCEROS_INFO[#All],2,FALSE)</f>
        <v>30</v>
      </c>
      <c r="D184" s="30">
        <f>+SUMIFS(PROVEEDORES[Total],PROVEEDORES[PROVEEDOR],PROVEEDORES[[#This Row],[PROVEEDOR]],PROVEEDORES[FECHA DE PAGO],"")</f>
        <v>0</v>
      </c>
      <c r="E184" s="30"/>
      <c r="F184" s="73" t="str">
        <f>+VLOOKUP(PROVEEDORES[[#This Row],[PROVEEDOR]],TERCEROS_INFO[[PROVEEDOR]:[CORREO]],5,FALSE)</f>
        <v>girlesa.ruiz@servipilas.com;joriescobar64@gmail.com</v>
      </c>
      <c r="G184" s="111">
        <v>44264</v>
      </c>
      <c r="H184" s="31" t="s">
        <v>339</v>
      </c>
      <c r="I184" s="111">
        <v>44249</v>
      </c>
      <c r="J184" s="48" t="s">
        <v>231</v>
      </c>
      <c r="K184" s="26">
        <v>3023387</v>
      </c>
      <c r="L184" s="26"/>
      <c r="M184" s="27">
        <v>0</v>
      </c>
      <c r="N184" s="28"/>
      <c r="O184" s="27">
        <v>0</v>
      </c>
      <c r="P184" s="28">
        <v>3.5000000000000003E-2</v>
      </c>
      <c r="Q184" s="27">
        <v>105818.54500000001</v>
      </c>
      <c r="R184" s="26">
        <v>2917568.4550000001</v>
      </c>
      <c r="S184" s="115">
        <f ca="1">IF(PROVEEDORES[[#This Row],[FECHA DE PAGO]]=0,TODAY()-PROVEEDORES[[#This Row],[FECHA DE FACTURACIÓN]]-PROVEEDORES[[#This Row],[PLAZO Días]],0)</f>
        <v>0</v>
      </c>
      <c r="T1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5" spans="1:20" ht="21.9" customHeight="1" x14ac:dyDescent="0.3">
      <c r="A185" s="113" t="str">
        <f>+IF(PROVEEDORES[[#This Row],[FECHA DE PAGO]]=PROVEEDORES[[#This Row],[FECHA DE FACTURACIÓN]],"DE CONTADO","CRÉDITO")</f>
        <v>CRÉDITO</v>
      </c>
      <c r="B185" s="51" t="str">
        <f>+IF((PROVEEDORES[[#This Row],[FECHA DE PAGO]]-PROVEEDORES[[#This Row],[FECHA DE FACTURACIÓN]])&gt;PROVEEDORES[[#This Row],[PLAZO Días]],"PAGO VENCIDO")</f>
        <v>PAGO VENCIDO</v>
      </c>
      <c r="C185" s="25">
        <f>+VLOOKUP(PROVEEDORES[[#This Row],[PROVEEDOR]],TERCEROS_INFO[#All],2,FALSE)</f>
        <v>30</v>
      </c>
      <c r="D185" s="30">
        <f>+SUMIFS(PROVEEDORES[Total],PROVEEDORES[PROVEEDOR],PROVEEDORES[[#This Row],[PROVEEDOR]],PROVEEDORES[FECHA DE PAGO],"")</f>
        <v>0</v>
      </c>
      <c r="E185" s="30"/>
      <c r="F185" s="73" t="str">
        <f>+VLOOKUP(PROVEEDORES[[#This Row],[PROVEEDOR]],TERCEROS_INFO[[PROVEEDOR]:[CORREO]],5,FALSE)</f>
        <v>vromero@flashinternational.us;girlesa.ruiz@servipilas.com;joriescobar64@gmail.com</v>
      </c>
      <c r="G185" s="111">
        <v>44286</v>
      </c>
      <c r="H185" s="31" t="s">
        <v>144</v>
      </c>
      <c r="I185" s="111">
        <v>44250</v>
      </c>
      <c r="J185" s="48" t="s">
        <v>682</v>
      </c>
      <c r="K185" s="26">
        <v>144000</v>
      </c>
      <c r="L185" s="26"/>
      <c r="M185" s="27">
        <v>0</v>
      </c>
      <c r="N185" s="28"/>
      <c r="O185" s="27">
        <v>0</v>
      </c>
      <c r="P185" s="28">
        <v>0</v>
      </c>
      <c r="Q185" s="27">
        <v>0</v>
      </c>
      <c r="R185" s="26">
        <v>144000</v>
      </c>
      <c r="S185" s="115">
        <f ca="1">IF(PROVEEDORES[[#This Row],[FECHA DE PAGO]]=0,TODAY()-PROVEEDORES[[#This Row],[FECHA DE FACTURACIÓN]]-PROVEEDORES[[#This Row],[PLAZO Días]],0)</f>
        <v>0</v>
      </c>
      <c r="T18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6" spans="1:20" ht="21.9" customHeight="1" x14ac:dyDescent="0.3">
      <c r="A186" s="113" t="str">
        <f>+IF(PROVEEDORES[[#This Row],[FECHA DE PAGO]]=PROVEEDORES[[#This Row],[FECHA DE FACTURACIÓN]],"DE CONTADO","CRÉDITO")</f>
        <v>CRÉDITO</v>
      </c>
      <c r="B186" s="51" t="str">
        <f>+IF((PROVEEDORES[[#This Row],[FECHA DE PAGO]]-PROVEEDORES[[#This Row],[FECHA DE FACTURACIÓN]])&gt;PROVEEDORES[[#This Row],[PLAZO Días]],"PAGO VENCIDO")</f>
        <v>PAGO VENCIDO</v>
      </c>
      <c r="C186" s="25">
        <f>+VLOOKUP(PROVEEDORES[[#This Row],[PROVEEDOR]],TERCEROS_INFO[#All],2,FALSE)</f>
        <v>30</v>
      </c>
      <c r="D186" s="30">
        <f>+SUMIFS(PROVEEDORES[Total],PROVEEDORES[PROVEEDOR],PROVEEDORES[[#This Row],[PROVEEDOR]],PROVEEDORES[FECHA DE PAGO],"")</f>
        <v>2324514.0150000001</v>
      </c>
      <c r="E186" s="30"/>
      <c r="F186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186" s="111">
        <v>44321</v>
      </c>
      <c r="H186" s="31" t="s">
        <v>24</v>
      </c>
      <c r="I186" s="111">
        <v>44250</v>
      </c>
      <c r="J186" s="48" t="s">
        <v>235</v>
      </c>
      <c r="K186" s="26">
        <v>375000</v>
      </c>
      <c r="L186" s="26"/>
      <c r="M186" s="27">
        <v>71250</v>
      </c>
      <c r="N186" s="28"/>
      <c r="O186" s="27">
        <v>0</v>
      </c>
      <c r="P186" s="28">
        <v>0</v>
      </c>
      <c r="Q186" s="27">
        <v>0</v>
      </c>
      <c r="R186" s="26">
        <v>446250</v>
      </c>
      <c r="S186" s="115">
        <f ca="1">IF(PROVEEDORES[[#This Row],[FECHA DE PAGO]]=0,TODAY()-PROVEEDORES[[#This Row],[FECHA DE FACTURACIÓN]]-PROVEEDORES[[#This Row],[PLAZO Días]],0)</f>
        <v>0</v>
      </c>
      <c r="T18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7" spans="1:20" ht="21.9" customHeight="1" x14ac:dyDescent="0.3">
      <c r="A187" s="113" t="str">
        <f>+IF(PROVEEDORES[[#This Row],[FECHA DE PAGO]]=PROVEEDORES[[#This Row],[FECHA DE FACTURACIÓN]],"DE CONTADO","CRÉDITO")</f>
        <v>CRÉDITO</v>
      </c>
      <c r="B187" s="51" t="b">
        <f>+IF((PROVEEDORES[[#This Row],[FECHA DE PAGO]]-PROVEEDORES[[#This Row],[FECHA DE FACTURACIÓN]])&gt;PROVEEDORES[[#This Row],[PLAZO Días]],"PAGO VENCIDO")</f>
        <v>0</v>
      </c>
      <c r="C187" s="25">
        <f>+VLOOKUP(PROVEEDORES[[#This Row],[PROVEEDOR]],TERCEROS_INFO[#All],2,FALSE)</f>
        <v>30</v>
      </c>
      <c r="D187" s="30">
        <f>+SUMIFS(PROVEEDORES[Total],PROVEEDORES[PROVEEDOR],PROVEEDORES[[#This Row],[PROVEEDOR]],PROVEEDORES[FECHA DE PAGO],"")</f>
        <v>5060410.5999999996</v>
      </c>
      <c r="E187" s="30"/>
      <c r="F187" s="73" t="str">
        <f>+VLOOKUP(PROVEEDORES[[#This Row],[PROVEEDOR]],TERCEROS_INFO[[PROVEEDOR]:[CORREO]],5,FALSE)</f>
        <v>CBastidas@vyp.com.co;girlesa.ruiz@servipilas.com;joriescobar64@gmail.com</v>
      </c>
      <c r="G187" s="111">
        <v>44280</v>
      </c>
      <c r="H187" s="31" t="s">
        <v>347</v>
      </c>
      <c r="I187" s="111">
        <v>44251</v>
      </c>
      <c r="J187" s="48" t="s">
        <v>232</v>
      </c>
      <c r="K187" s="26">
        <v>-174400</v>
      </c>
      <c r="L187" s="26"/>
      <c r="M187" s="27">
        <v>-33136</v>
      </c>
      <c r="N187" s="28"/>
      <c r="O187" s="27">
        <v>0</v>
      </c>
      <c r="P187" s="28">
        <v>3.5000000000000003E-2</v>
      </c>
      <c r="Q187" s="27">
        <v>-6104.0000000000009</v>
      </c>
      <c r="R187" s="26">
        <v>-201432</v>
      </c>
      <c r="S187" s="115">
        <f ca="1">IF(PROVEEDORES[[#This Row],[FECHA DE PAGO]]=0,TODAY()-PROVEEDORES[[#This Row],[FECHA DE FACTURACIÓN]]-PROVEEDORES[[#This Row],[PLAZO Días]],0)</f>
        <v>0</v>
      </c>
      <c r="T1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8" spans="1:20" ht="21.9" customHeight="1" x14ac:dyDescent="0.3">
      <c r="A188" s="113" t="str">
        <f>+IF(PROVEEDORES[[#This Row],[FECHA DE PAGO]]=PROVEEDORES[[#This Row],[FECHA DE FACTURACIÓN]],"DE CONTADO","CRÉDITO")</f>
        <v>CRÉDITO</v>
      </c>
      <c r="B188" s="51" t="str">
        <f>+IF((PROVEEDORES[[#This Row],[FECHA DE PAGO]]-PROVEEDORES[[#This Row],[FECHA DE FACTURACIÓN]])&gt;PROVEEDORES[[#This Row],[PLAZO Días]],"PAGO VENCIDO")</f>
        <v>PAGO VENCIDO</v>
      </c>
      <c r="C188" s="25">
        <f>+VLOOKUP(PROVEEDORES[[#This Row],[PROVEEDOR]],TERCEROS_INFO[#All],2,FALSE)</f>
        <v>30</v>
      </c>
      <c r="D188" s="30">
        <f>+SUMIFS(PROVEEDORES[Total],PROVEEDORES[PROVEEDOR],PROVEEDORES[[#This Row],[PROVEEDOR]],PROVEEDORES[FECHA DE PAGO],"")</f>
        <v>452687.9</v>
      </c>
      <c r="E188" s="30"/>
      <c r="F188" s="73" t="str">
        <f>+VLOOKUP(PROVEEDORES[[#This Row],[PROVEEDOR]],TERCEROS_INFO[[PROVEEDOR]:[CORREO]],5,FALSE)</f>
        <v>soluenergiacentro@une.net.co;girlesa.ruiz@servipilas.com;joriescobar64@gmail.com</v>
      </c>
      <c r="G188" s="111">
        <v>44326</v>
      </c>
      <c r="H188" s="31" t="s">
        <v>39</v>
      </c>
      <c r="I188" s="111">
        <v>44252</v>
      </c>
      <c r="J188" s="48">
        <v>327</v>
      </c>
      <c r="K188" s="26">
        <v>668100</v>
      </c>
      <c r="L188" s="26"/>
      <c r="M188" s="27">
        <v>126939</v>
      </c>
      <c r="N188" s="28"/>
      <c r="O188" s="27">
        <v>0</v>
      </c>
      <c r="P188" s="28">
        <v>0</v>
      </c>
      <c r="Q188" s="27">
        <v>0</v>
      </c>
      <c r="R188" s="26">
        <v>795039</v>
      </c>
      <c r="S188" s="115">
        <f ca="1">IF(PROVEEDORES[[#This Row],[FECHA DE PAGO]]=0,TODAY()-PROVEEDORES[[#This Row],[FECHA DE FACTURACIÓN]]-PROVEEDORES[[#This Row],[PLAZO Días]],0)</f>
        <v>0</v>
      </c>
      <c r="T1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89" spans="1:20" ht="21.9" customHeight="1" x14ac:dyDescent="0.3">
      <c r="A189" s="113" t="str">
        <f>+IF(PROVEEDORES[[#This Row],[FECHA DE PAGO]]=PROVEEDORES[[#This Row],[FECHA DE FACTURACIÓN]],"DE CONTADO","CRÉDITO")</f>
        <v>CRÉDITO</v>
      </c>
      <c r="B189" s="51" t="str">
        <f>+IF((PROVEEDORES[[#This Row],[FECHA DE PAGO]]-PROVEEDORES[[#This Row],[FECHA DE FACTURACIÓN]])&gt;PROVEEDORES[[#This Row],[PLAZO Días]],"PAGO VENCIDO")</f>
        <v>PAGO VENCIDO</v>
      </c>
      <c r="C189" s="25">
        <f>+VLOOKUP(PROVEEDORES[[#This Row],[PROVEEDOR]],TERCEROS_INFO[#All],2,FALSE)</f>
        <v>30</v>
      </c>
      <c r="D189" s="30">
        <f>+SUMIFS(PROVEEDORES[Total],PROVEEDORES[PROVEEDOR],PROVEEDORES[[#This Row],[PROVEEDOR]],PROVEEDORES[FECHA DE PAGO],"")</f>
        <v>3406</v>
      </c>
      <c r="E189" s="30"/>
      <c r="F189" s="73" t="str">
        <f>+VLOOKUP(PROVEEDORES[[#This Row],[PROVEEDOR]],TERCEROS_INFO[[PROVEEDOR]:[CORREO]],5,FALSE)</f>
        <v>ventas@ismartsas.com;girlesa.ruiz@servipilas.com;joriescobar64@gmail.com</v>
      </c>
      <c r="G189" s="111">
        <v>44298</v>
      </c>
      <c r="H189" s="31" t="s">
        <v>48</v>
      </c>
      <c r="I189" s="111">
        <v>44252</v>
      </c>
      <c r="J189" s="48">
        <v>26574</v>
      </c>
      <c r="K189" s="26">
        <v>812350</v>
      </c>
      <c r="L189" s="26"/>
      <c r="M189" s="27">
        <v>154346.5</v>
      </c>
      <c r="N189" s="28"/>
      <c r="O189" s="27">
        <v>0</v>
      </c>
      <c r="P189" s="28">
        <v>0</v>
      </c>
      <c r="Q189" s="27">
        <v>0</v>
      </c>
      <c r="R189" s="26">
        <v>966696.5</v>
      </c>
      <c r="S189" s="115">
        <f ca="1">IF(PROVEEDORES[[#This Row],[FECHA DE PAGO]]=0,TODAY()-PROVEEDORES[[#This Row],[FECHA DE FACTURACIÓN]]-PROVEEDORES[[#This Row],[PLAZO Días]],0)</f>
        <v>0</v>
      </c>
      <c r="T1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0" spans="1:20" ht="21.9" customHeight="1" x14ac:dyDescent="0.3">
      <c r="A190" s="113" t="str">
        <f>+IF(PROVEEDORES[[#This Row],[FECHA DE PAGO]]=PROVEEDORES[[#This Row],[FECHA DE FACTURACIÓN]],"DE CONTADO","CRÉDITO")</f>
        <v>CRÉDITO</v>
      </c>
      <c r="B190" s="51" t="str">
        <f>+IF((PROVEEDORES[[#This Row],[FECHA DE PAGO]]-PROVEEDORES[[#This Row],[FECHA DE FACTURACIÓN]])&gt;PROVEEDORES[[#This Row],[PLAZO Días]],"PAGO VENCIDO")</f>
        <v>PAGO VENCIDO</v>
      </c>
      <c r="C190" s="25">
        <f>+VLOOKUP(PROVEEDORES[[#This Row],[PROVEEDOR]],TERCEROS_INFO[#All],2,FALSE)</f>
        <v>30</v>
      </c>
      <c r="D190" s="30">
        <f>+SUMIFS(PROVEEDORES[Total],PROVEEDORES[PROVEEDOR],PROVEEDORES[[#This Row],[PROVEEDOR]],PROVEEDORES[FECHA DE PAGO],"")</f>
        <v>4078650.6</v>
      </c>
      <c r="E190" s="30"/>
      <c r="F190" s="73" t="str">
        <f>+VLOOKUP(PROVEEDORES[[#This Row],[PROVEEDOR]],TERCEROS_INFO[[PROVEEDOR]:[CORREO]],5,FALSE)</f>
        <v>financiera@nalpicentral.com;girlesa.ruiz@servipilas.com;joriescobar64@gmail.com</v>
      </c>
      <c r="G190" s="111">
        <v>44348</v>
      </c>
      <c r="H190" s="31" t="s">
        <v>1095</v>
      </c>
      <c r="I190" s="111">
        <v>44253</v>
      </c>
      <c r="J190" s="48">
        <v>20108</v>
      </c>
      <c r="K190" s="26">
        <v>1018772</v>
      </c>
      <c r="L190" s="26"/>
      <c r="M190" s="27">
        <v>193566.68</v>
      </c>
      <c r="N190" s="28"/>
      <c r="O190" s="27">
        <v>0</v>
      </c>
      <c r="P190" s="28">
        <v>2.5000000000000001E-2</v>
      </c>
      <c r="Q190" s="27">
        <v>25469.300000000003</v>
      </c>
      <c r="R190" s="26">
        <v>1186869.3799999999</v>
      </c>
      <c r="S190" s="115">
        <f ca="1">IF(PROVEEDORES[[#This Row],[FECHA DE PAGO]]=0,TODAY()-PROVEEDORES[[#This Row],[FECHA DE FACTURACIÓN]]-PROVEEDORES[[#This Row],[PLAZO Días]],0)</f>
        <v>0</v>
      </c>
      <c r="T1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1" spans="1:20" ht="21.9" customHeight="1" x14ac:dyDescent="0.3">
      <c r="A191" s="113" t="str">
        <f>+IF(PROVEEDORES[[#This Row],[FECHA DE PAGO]]=PROVEEDORES[[#This Row],[FECHA DE FACTURACIÓN]],"DE CONTADO","CRÉDITO")</f>
        <v>CRÉDITO</v>
      </c>
      <c r="B191" s="51" t="b">
        <f>+IF((PROVEEDORES[[#This Row],[FECHA DE PAGO]]-PROVEEDORES[[#This Row],[FECHA DE FACTURACIÓN]])&gt;PROVEEDORES[[#This Row],[PLAZO Días]],"PAGO VENCIDO")</f>
        <v>0</v>
      </c>
      <c r="C191" s="25">
        <f>+VLOOKUP(PROVEEDORES[[#This Row],[PROVEEDOR]],TERCEROS_INFO[#All],2,FALSE)</f>
        <v>30</v>
      </c>
      <c r="D191" s="30">
        <f>+SUMIFS(PROVEEDORES[Total],PROVEEDORES[PROVEEDOR],PROVEEDORES[[#This Row],[PROVEEDOR]],PROVEEDORES[FECHA DE PAGO],"")</f>
        <v>0</v>
      </c>
      <c r="E191" s="30"/>
      <c r="F191" s="73" t="str">
        <f>+VLOOKUP(PROVEEDORES[[#This Row],[PROVEEDOR]],TERCEROS_INFO[[PROVEEDOR]:[CORREO]],5,FALSE)</f>
        <v>cxc11@unitecusa.com.co;jefecartera@unitecusa.com.co;girlesa.ruiz@servipilas.com;joriescobar64@gmail.com</v>
      </c>
      <c r="G191" s="111">
        <v>44264</v>
      </c>
      <c r="H191" s="31" t="s">
        <v>14</v>
      </c>
      <c r="I191" s="111">
        <v>44254</v>
      </c>
      <c r="J191" s="48">
        <v>4881</v>
      </c>
      <c r="K191" s="26">
        <v>377984</v>
      </c>
      <c r="L191" s="26"/>
      <c r="M191" s="27">
        <v>71816.960000000006</v>
      </c>
      <c r="N191" s="28"/>
      <c r="O191" s="27">
        <v>0</v>
      </c>
      <c r="P191" s="28">
        <v>0</v>
      </c>
      <c r="Q191" s="27">
        <v>0</v>
      </c>
      <c r="R191" s="26">
        <v>449800.96000000002</v>
      </c>
      <c r="S191" s="115">
        <f ca="1">IF(PROVEEDORES[[#This Row],[FECHA DE PAGO]]=0,TODAY()-PROVEEDORES[[#This Row],[FECHA DE FACTURACIÓN]]-PROVEEDORES[[#This Row],[PLAZO Días]],0)</f>
        <v>0</v>
      </c>
      <c r="T1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2" spans="1:20" ht="21.9" customHeight="1" x14ac:dyDescent="0.3">
      <c r="A192" s="113" t="str">
        <f>+IF(PROVEEDORES[[#This Row],[FECHA DE PAGO]]=PROVEEDORES[[#This Row],[FECHA DE FACTURACIÓN]],"DE CONTADO","CRÉDITO")</f>
        <v>CRÉDITO</v>
      </c>
      <c r="B192" s="51" t="b">
        <f>+IF((PROVEEDORES[[#This Row],[FECHA DE PAGO]]-PROVEEDORES[[#This Row],[FECHA DE FACTURACIÓN]])&gt;PROVEEDORES[[#This Row],[PLAZO Días]],"PAGO VENCIDO")</f>
        <v>0</v>
      </c>
      <c r="C192" s="25">
        <f>+VLOOKUP(PROVEEDORES[[#This Row],[PROVEEDOR]],TERCEROS_INFO[#All],2,FALSE)</f>
        <v>30</v>
      </c>
      <c r="D192" s="30">
        <f>+SUMIFS(PROVEEDORES[Total],PROVEEDORES[PROVEEDOR],PROVEEDORES[[#This Row],[PROVEEDOR]],PROVEEDORES[FECHA DE PAGO],"")</f>
        <v>248736.18000000002</v>
      </c>
      <c r="E192" s="30"/>
      <c r="F192" s="73" t="str">
        <f>+VLOOKUP(PROVEEDORES[[#This Row],[PROVEEDOR]],TERCEROS_INFO[[PROVEEDOR]:[CORREO]],5,FALSE)</f>
        <v>administracion@sapian.com.co;girlesa.ruiz@servipilas.com;joriescobar64@gmail.com</v>
      </c>
      <c r="G192" s="111">
        <v>44284</v>
      </c>
      <c r="H192" s="31" t="s">
        <v>346</v>
      </c>
      <c r="I192" s="111">
        <v>44256</v>
      </c>
      <c r="J192" s="48">
        <v>1554</v>
      </c>
      <c r="K192" s="26">
        <v>203897</v>
      </c>
      <c r="L192" s="26"/>
      <c r="M192" s="27">
        <v>38740.43</v>
      </c>
      <c r="N192" s="28"/>
      <c r="O192" s="27">
        <v>0</v>
      </c>
      <c r="P192" s="28">
        <v>3.5000000000000003E-2</v>
      </c>
      <c r="Q192" s="27">
        <v>7136.4</v>
      </c>
      <c r="R192" s="26">
        <v>235501.03</v>
      </c>
      <c r="S192" s="115">
        <f ca="1">IF(PROVEEDORES[[#This Row],[FECHA DE PAGO]]=0,TODAY()-PROVEEDORES[[#This Row],[FECHA DE FACTURACIÓN]]-PROVEEDORES[[#This Row],[PLAZO Días]],0)</f>
        <v>0</v>
      </c>
      <c r="T1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3" spans="1:20" ht="21.9" customHeight="1" x14ac:dyDescent="0.3">
      <c r="A193" s="113" t="str">
        <f>+IF(PROVEEDORES[[#This Row],[FECHA DE PAGO]]=PROVEEDORES[[#This Row],[FECHA DE FACTURACIÓN]],"DE CONTADO","CRÉDITO")</f>
        <v>CRÉDITO</v>
      </c>
      <c r="B193" s="51" t="b">
        <f>+IF((PROVEEDORES[[#This Row],[FECHA DE PAGO]]-PROVEEDORES[[#This Row],[FECHA DE FACTURACIÓN]])&gt;PROVEEDORES[[#This Row],[PLAZO Días]],"PAGO VENCIDO")</f>
        <v>0</v>
      </c>
      <c r="C193" s="25">
        <f>+VLOOKUP(PROVEEDORES[[#This Row],[PROVEEDOR]],TERCEROS_INFO[#All],2,FALSE)</f>
        <v>30</v>
      </c>
      <c r="D193" s="30">
        <f>+SUMIFS(PROVEEDORES[Total],PROVEEDORES[PROVEEDOR],PROVEEDORES[[#This Row],[PROVEEDOR]],PROVEEDORES[FECHA DE PAGO],"")</f>
        <v>0</v>
      </c>
      <c r="E193" s="30"/>
      <c r="F193" s="73" t="str">
        <f>+VLOOKUP(PROVEEDORES[[#This Row],[PROVEEDOR]],TERCEROS_INFO[[PROVEEDOR]:[CORREO]],5,FALSE)</f>
        <v>facturacion@losmolinos.com.co</v>
      </c>
      <c r="G193" s="111">
        <v>44271</v>
      </c>
      <c r="H193" s="31" t="s">
        <v>345</v>
      </c>
      <c r="I193" s="111">
        <v>44256</v>
      </c>
      <c r="J193" s="48">
        <v>61974</v>
      </c>
      <c r="K193" s="26">
        <v>250973</v>
      </c>
      <c r="L193" s="26"/>
      <c r="M193" s="27">
        <v>0</v>
      </c>
      <c r="N193" s="28"/>
      <c r="O193" s="27">
        <v>12532</v>
      </c>
      <c r="P193" s="28">
        <v>0</v>
      </c>
      <c r="Q193" s="27">
        <v>0</v>
      </c>
      <c r="R193" s="26">
        <v>238441</v>
      </c>
      <c r="S193" s="115">
        <f ca="1">IF(PROVEEDORES[[#This Row],[FECHA DE PAGO]]=0,TODAY()-PROVEEDORES[[#This Row],[FECHA DE FACTURACIÓN]]-PROVEEDORES[[#This Row],[PLAZO Días]],0)</f>
        <v>0</v>
      </c>
      <c r="T1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4" spans="1:20" ht="21.9" customHeight="1" x14ac:dyDescent="0.3">
      <c r="A194" s="113" t="str">
        <f>+IF(PROVEEDORES[[#This Row],[FECHA DE PAGO]]=PROVEEDORES[[#This Row],[FECHA DE FACTURACIÓN]],"DE CONTADO","CRÉDITO")</f>
        <v>CRÉDITO</v>
      </c>
      <c r="B194" s="51" t="b">
        <f>+IF((PROVEEDORES[[#This Row],[FECHA DE PAGO]]-PROVEEDORES[[#This Row],[FECHA DE FACTURACIÓN]])&gt;PROVEEDORES[[#This Row],[PLAZO Días]],"PAGO VENCIDO")</f>
        <v>0</v>
      </c>
      <c r="C194" s="25">
        <f>+VLOOKUP(PROVEEDORES[[#This Row],[PROVEEDOR]],TERCEROS_INFO[#All],2,FALSE)</f>
        <v>30</v>
      </c>
      <c r="D194" s="30">
        <f>+SUMIFS(PROVEEDORES[Total],PROVEEDORES[PROVEEDOR],PROVEEDORES[[#This Row],[PROVEEDOR]],PROVEEDORES[FECHA DE PAGO],"")</f>
        <v>1119790</v>
      </c>
      <c r="E194" s="30"/>
      <c r="F194" s="73" t="str">
        <f>+VLOOKUP(PROVEEDORES[[#This Row],[PROVEEDOR]],TERCEROS_INFO[[PROVEEDOR]:[CORREO]],5,FALSE)</f>
        <v>MVALENCIA@mps.com.co;girlesa.ruiz@servipilas.com;joriescobar64@gmail.com</v>
      </c>
      <c r="G194" s="111">
        <v>44279</v>
      </c>
      <c r="H194" s="31" t="s">
        <v>17</v>
      </c>
      <c r="I194" s="111">
        <v>44256</v>
      </c>
      <c r="J194" s="48">
        <v>1733179</v>
      </c>
      <c r="K194" s="26">
        <v>512507</v>
      </c>
      <c r="L194" s="26"/>
      <c r="M194" s="27">
        <v>97376.33</v>
      </c>
      <c r="N194" s="28"/>
      <c r="O194" s="27">
        <v>0</v>
      </c>
      <c r="P194" s="28">
        <v>0</v>
      </c>
      <c r="Q194" s="27">
        <v>0</v>
      </c>
      <c r="R194" s="26">
        <v>609883.32999999996</v>
      </c>
      <c r="S194" s="115">
        <f ca="1">IF(PROVEEDORES[[#This Row],[FECHA DE PAGO]]=0,TODAY()-PROVEEDORES[[#This Row],[FECHA DE FACTURACIÓN]]-PROVEEDORES[[#This Row],[PLAZO Días]],0)</f>
        <v>0</v>
      </c>
      <c r="T1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5" spans="1:20" ht="21.9" customHeight="1" x14ac:dyDescent="0.3">
      <c r="A195" s="113" t="str">
        <f>+IF(PROVEEDORES[[#This Row],[FECHA DE PAGO]]=PROVEEDORES[[#This Row],[FECHA DE FACTURACIÓN]],"DE CONTADO","CRÉDITO")</f>
        <v>CRÉDITO</v>
      </c>
      <c r="B195" s="51" t="b">
        <f>+IF((PROVEEDORES[[#This Row],[FECHA DE PAGO]]-PROVEEDORES[[#This Row],[FECHA DE FACTURACIÓN]])&gt;PROVEEDORES[[#This Row],[PLAZO Días]],"PAGO VENCIDO")</f>
        <v>0</v>
      </c>
      <c r="C195" s="25">
        <f>+VLOOKUP(PROVEEDORES[[#This Row],[PROVEEDOR]],TERCEROS_INFO[#All],2,FALSE)</f>
        <v>30</v>
      </c>
      <c r="D195" s="30">
        <f>+SUMIFS(PROVEEDORES[Total],PROVEEDORES[PROVEEDOR],PROVEEDORES[[#This Row],[PROVEEDOR]],PROVEEDORES[FECHA DE PAGO],"")</f>
        <v>4862586.33</v>
      </c>
      <c r="E195" s="30"/>
      <c r="F195" s="73" t="str">
        <f>+VLOOKUP(PROVEEDORES[[#This Row],[PROVEEDOR]],TERCEROS_INFO[[PROVEEDOR]:[CORREO]],5,FALSE)</f>
        <v>cartera@conbienes.com;girlesa.ruiz@servipilas.com;joriescobar64@gmail.com</v>
      </c>
      <c r="G195" s="111">
        <v>44284</v>
      </c>
      <c r="H195" s="31" t="s">
        <v>348</v>
      </c>
      <c r="I195" s="111">
        <v>44256</v>
      </c>
      <c r="J195" s="48">
        <v>234</v>
      </c>
      <c r="K195" s="26">
        <v>716544</v>
      </c>
      <c r="L195" s="26"/>
      <c r="M195" s="27">
        <v>136143.36000000002</v>
      </c>
      <c r="N195" s="28"/>
      <c r="O195" s="27">
        <v>0</v>
      </c>
      <c r="P195" s="28">
        <v>0</v>
      </c>
      <c r="Q195" s="27">
        <v>0</v>
      </c>
      <c r="R195" s="26">
        <v>852687.35999999999</v>
      </c>
      <c r="S195" s="115">
        <f ca="1">IF(PROVEEDORES[[#This Row],[FECHA DE PAGO]]=0,TODAY()-PROVEEDORES[[#This Row],[FECHA DE FACTURACIÓN]]-PROVEEDORES[[#This Row],[PLAZO Días]],0)</f>
        <v>0</v>
      </c>
      <c r="T1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6" spans="1:20" ht="21.9" customHeight="1" x14ac:dyDescent="0.3">
      <c r="A196" s="113" t="str">
        <f>+IF(PROVEEDORES[[#This Row],[FECHA DE PAGO]]=PROVEEDORES[[#This Row],[FECHA DE FACTURACIÓN]],"DE CONTADO","CRÉDITO")</f>
        <v>CRÉDITO</v>
      </c>
      <c r="B196" s="51" t="b">
        <f>+IF((PROVEEDORES[[#This Row],[FECHA DE PAGO]]-PROVEEDORES[[#This Row],[FECHA DE FACTURACIÓN]])&gt;PROVEEDORES[[#This Row],[PLAZO Días]],"PAGO VENCIDO")</f>
        <v>0</v>
      </c>
      <c r="C196" s="25">
        <f>+VLOOKUP(PROVEEDORES[[#This Row],[PROVEEDOR]],TERCEROS_INFO[#All],2,FALSE)</f>
        <v>30</v>
      </c>
      <c r="D196" s="30">
        <f>+SUMIFS(PROVEEDORES[Total],PROVEEDORES[PROVEEDOR],PROVEEDORES[[#This Row],[PROVEEDOR]],PROVEEDORES[FECHA DE PAGO],"")</f>
        <v>1296896</v>
      </c>
      <c r="E196" s="30"/>
      <c r="F196" s="73" t="str">
        <f>+VLOOKUP(PROVEEDORES[[#This Row],[PROVEEDOR]],TERCEROS_INFO[[PROVEEDOR]:[CORREO]],5,FALSE)</f>
        <v>tesoreria@lacentral.com.co;girlesa.ruiz@servipilas.com;joriescobar64@gmail.com</v>
      </c>
      <c r="G196" s="111">
        <v>44285</v>
      </c>
      <c r="H196" s="31" t="s">
        <v>335</v>
      </c>
      <c r="I196" s="111">
        <v>44256</v>
      </c>
      <c r="J196" s="48">
        <v>7708</v>
      </c>
      <c r="K196" s="26">
        <v>1327746</v>
      </c>
      <c r="L196" s="26"/>
      <c r="M196" s="27">
        <v>0</v>
      </c>
      <c r="N196" s="28"/>
      <c r="O196" s="27">
        <v>131601</v>
      </c>
      <c r="P196" s="28">
        <v>0</v>
      </c>
      <c r="Q196" s="27">
        <v>0</v>
      </c>
      <c r="R196" s="26">
        <v>1196145</v>
      </c>
      <c r="S196" s="115">
        <f ca="1">IF(PROVEEDORES[[#This Row],[FECHA DE PAGO]]=0,TODAY()-PROVEEDORES[[#This Row],[FECHA DE FACTURACIÓN]]-PROVEEDORES[[#This Row],[PLAZO Días]],0)</f>
        <v>0</v>
      </c>
      <c r="T19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7" spans="1:20" ht="21.9" customHeight="1" x14ac:dyDescent="0.3">
      <c r="A197" s="113" t="str">
        <f>+IF(PROVEEDORES[[#This Row],[FECHA DE PAGO]]=PROVEEDORES[[#This Row],[FECHA DE FACTURACIÓN]],"DE CONTADO","CRÉDITO")</f>
        <v>CRÉDITO</v>
      </c>
      <c r="B197" s="51" t="b">
        <f>+IF((PROVEEDORES[[#This Row],[FECHA DE PAGO]]-PROVEEDORES[[#This Row],[FECHA DE FACTURACIÓN]])&gt;PROVEEDORES[[#This Row],[PLAZO Días]],"PAGO VENCIDO")</f>
        <v>0</v>
      </c>
      <c r="C197" s="25">
        <f>+VLOOKUP(PROVEEDORES[[#This Row],[PROVEEDOR]],TERCEROS_INFO[#All],2,FALSE)</f>
        <v>30</v>
      </c>
      <c r="D197" s="30">
        <f>+SUMIFS(PROVEEDORES[Total],PROVEEDORES[PROVEEDOR],PROVEEDORES[[#This Row],[PROVEEDOR]],PROVEEDORES[FECHA DE PAGO],"")</f>
        <v>0</v>
      </c>
      <c r="E197" s="30"/>
      <c r="F197" s="73" t="str">
        <f>+VLOOKUP(PROVEEDORES[[#This Row],[PROVEEDOR]],TERCEROS_INFO[[PROVEEDOR]:[CORREO]],5,FALSE)</f>
        <v>propertymarketingsas@hotmail.com;girlesa.ruiz@servipilas.com;joriescobar64@gmail.com</v>
      </c>
      <c r="G197" s="111">
        <v>44284</v>
      </c>
      <c r="H197" s="31" t="s">
        <v>486</v>
      </c>
      <c r="I197" s="111">
        <v>44256</v>
      </c>
      <c r="J197" s="48">
        <v>3831</v>
      </c>
      <c r="K197" s="26">
        <v>2789636</v>
      </c>
      <c r="L197" s="26"/>
      <c r="M197" s="27">
        <v>0</v>
      </c>
      <c r="N197" s="28"/>
      <c r="O197" s="27">
        <v>0</v>
      </c>
      <c r="P197" s="28">
        <v>3.5000000000000003E-2</v>
      </c>
      <c r="Q197" s="27">
        <v>97637.260000000009</v>
      </c>
      <c r="R197" s="26">
        <v>2691998.74</v>
      </c>
      <c r="S197" s="115">
        <f ca="1">IF(PROVEEDORES[[#This Row],[FECHA DE PAGO]]=0,TODAY()-PROVEEDORES[[#This Row],[FECHA DE FACTURACIÓN]]-PROVEEDORES[[#This Row],[PLAZO Días]],0)</f>
        <v>0</v>
      </c>
      <c r="T19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8" spans="1:20" ht="21.9" customHeight="1" x14ac:dyDescent="0.3">
      <c r="A198" s="113" t="str">
        <f>+IF(PROVEEDORES[[#This Row],[FECHA DE PAGO]]=PROVEEDORES[[#This Row],[FECHA DE FACTURACIÓN]],"DE CONTADO","CRÉDITO")</f>
        <v>CRÉDITO</v>
      </c>
      <c r="B198" s="51" t="b">
        <f>+IF((PROVEEDORES[[#This Row],[FECHA DE PAGO]]-PROVEEDORES[[#This Row],[FECHA DE FACTURACIÓN]])&gt;PROVEEDORES[[#This Row],[PLAZO Días]],"PAGO VENCIDO")</f>
        <v>0</v>
      </c>
      <c r="C198" s="25">
        <f>+VLOOKUP(PROVEEDORES[[#This Row],[PROVEEDOR]],TERCEROS_INFO[#All],2,FALSE)</f>
        <v>30</v>
      </c>
      <c r="D198" s="30">
        <f>+SUMIFS(PROVEEDORES[Total],PROVEEDORES[PROVEEDOR],PROVEEDORES[[#This Row],[PROVEEDOR]],PROVEEDORES[FECHA DE PAGO],"")</f>
        <v>0</v>
      </c>
      <c r="E198" s="30"/>
      <c r="F198" s="73" t="str">
        <f>+VLOOKUP(PROVEEDORES[[#This Row],[PROVEEDOR]],TERCEROS_INFO[[PROVEEDOR]:[CORREO]],5,FALSE)</f>
        <v>girlesa.ruiz@servipilas.com;joriescobar64@gmail.com</v>
      </c>
      <c r="G198" s="111">
        <v>44284</v>
      </c>
      <c r="H198" s="31" t="s">
        <v>339</v>
      </c>
      <c r="I198" s="111">
        <v>44256</v>
      </c>
      <c r="J198" s="48" t="s">
        <v>236</v>
      </c>
      <c r="K198" s="26">
        <v>3023387</v>
      </c>
      <c r="L198" s="26"/>
      <c r="M198" s="27">
        <v>0</v>
      </c>
      <c r="N198" s="28"/>
      <c r="O198" s="27">
        <v>0</v>
      </c>
      <c r="P198" s="28">
        <v>3.5000000000000003E-2</v>
      </c>
      <c r="Q198" s="27">
        <v>105818.54500000001</v>
      </c>
      <c r="R198" s="26">
        <v>2917568.4550000001</v>
      </c>
      <c r="S198" s="115">
        <f ca="1">IF(PROVEEDORES[[#This Row],[FECHA DE PAGO]]=0,TODAY()-PROVEEDORES[[#This Row],[FECHA DE FACTURACIÓN]]-PROVEEDORES[[#This Row],[PLAZO Días]],0)</f>
        <v>0</v>
      </c>
      <c r="T1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99" spans="1:20" ht="21.9" customHeight="1" x14ac:dyDescent="0.3">
      <c r="A199" s="113" t="str">
        <f>+IF(PROVEEDORES[[#This Row],[FECHA DE PAGO]]=PROVEEDORES[[#This Row],[FECHA DE FACTURACIÓN]],"DE CONTADO","CRÉDITO")</f>
        <v>CRÉDITO</v>
      </c>
      <c r="B199" s="51" t="b">
        <f>+IF((PROVEEDORES[[#This Row],[FECHA DE PAGO]]-PROVEEDORES[[#This Row],[FECHA DE FACTURACIÓN]])&gt;PROVEEDORES[[#This Row],[PLAZO Días]],"PAGO VENCIDO")</f>
        <v>0</v>
      </c>
      <c r="C199" s="25">
        <f>+VLOOKUP(PROVEEDORES[[#This Row],[PROVEEDOR]],TERCEROS_INFO[#All],2,FALSE)</f>
        <v>30</v>
      </c>
      <c r="D199" s="30">
        <f>+SUMIFS(PROVEEDORES[Total],PROVEEDORES[PROVEEDOR],PROVEEDORES[[#This Row],[PROVEEDOR]],PROVEEDORES[FECHA DE PAGO],"")</f>
        <v>4862586.33</v>
      </c>
      <c r="E199" s="30"/>
      <c r="F199" s="73" t="str">
        <f>+VLOOKUP(PROVEEDORES[[#This Row],[PROVEEDOR]],TERCEROS_INFO[[PROVEEDOR]:[CORREO]],5,FALSE)</f>
        <v>cartera@conbienes.com;girlesa.ruiz@servipilas.com;joriescobar64@gmail.com</v>
      </c>
      <c r="G199" s="111">
        <v>44284</v>
      </c>
      <c r="H199" s="31" t="s">
        <v>348</v>
      </c>
      <c r="I199" s="111">
        <v>44256</v>
      </c>
      <c r="J199" s="48">
        <v>486</v>
      </c>
      <c r="K199" s="26">
        <v>3061166</v>
      </c>
      <c r="L199" s="26"/>
      <c r="M199" s="27">
        <v>581621.54</v>
      </c>
      <c r="N199" s="28"/>
      <c r="O199" s="27">
        <v>0</v>
      </c>
      <c r="P199" s="28">
        <v>0</v>
      </c>
      <c r="Q199" s="27">
        <v>0</v>
      </c>
      <c r="R199" s="26">
        <v>3642787.54</v>
      </c>
      <c r="S199" s="115">
        <f ca="1">IF(PROVEEDORES[[#This Row],[FECHA DE PAGO]]=0,TODAY()-PROVEEDORES[[#This Row],[FECHA DE FACTURACIÓN]]-PROVEEDORES[[#This Row],[PLAZO Días]],0)</f>
        <v>0</v>
      </c>
      <c r="T1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0" spans="1:20" ht="21.9" customHeight="1" x14ac:dyDescent="0.3">
      <c r="A200" s="113" t="str">
        <f>+IF(PROVEEDORES[[#This Row],[FECHA DE PAGO]]=PROVEEDORES[[#This Row],[FECHA DE FACTURACIÓN]],"DE CONTADO","CRÉDITO")</f>
        <v>CRÉDITO</v>
      </c>
      <c r="B200" s="51" t="b">
        <f>+IF((PROVEEDORES[[#This Row],[FECHA DE PAGO]]-PROVEEDORES[[#This Row],[FECHA DE FACTURACIÓN]])&gt;PROVEEDORES[[#This Row],[PLAZO Días]],"PAGO VENCIDO")</f>
        <v>0</v>
      </c>
      <c r="C200" s="25">
        <f>+VLOOKUP(PROVEEDORES[[#This Row],[PROVEEDOR]],TERCEROS_INFO[#All],2,FALSE)</f>
        <v>30</v>
      </c>
      <c r="D200" s="30">
        <f>+SUMIFS(PROVEEDORES[Total],PROVEEDORES[PROVEEDOR],PROVEEDORES[[#This Row],[PROVEEDOR]],PROVEEDORES[FECHA DE PAGO],"")</f>
        <v>5060410.5999999996</v>
      </c>
      <c r="E200" s="30"/>
      <c r="F200" s="73" t="str">
        <f>+VLOOKUP(PROVEEDORES[[#This Row],[PROVEEDOR]],TERCEROS_INFO[[PROVEEDOR]:[CORREO]],5,FALSE)</f>
        <v>CBastidas@vyp.com.co;girlesa.ruiz@servipilas.com;joriescobar64@gmail.com</v>
      </c>
      <c r="G200" s="111">
        <v>44280</v>
      </c>
      <c r="H200" s="31" t="s">
        <v>347</v>
      </c>
      <c r="I200" s="111">
        <v>44256</v>
      </c>
      <c r="J200" s="48">
        <v>38432</v>
      </c>
      <c r="K200" s="26">
        <v>3706000</v>
      </c>
      <c r="L200" s="26"/>
      <c r="M200" s="27">
        <v>704140</v>
      </c>
      <c r="N200" s="28"/>
      <c r="O200" s="27">
        <v>214021</v>
      </c>
      <c r="P200" s="28">
        <v>3.5000000000000003E-2</v>
      </c>
      <c r="Q200" s="27">
        <v>129710.00000000001</v>
      </c>
      <c r="R200" s="26">
        <v>4066409</v>
      </c>
      <c r="S200" s="115">
        <f ca="1">IF(PROVEEDORES[[#This Row],[FECHA DE PAGO]]=0,TODAY()-PROVEEDORES[[#This Row],[FECHA DE FACTURACIÓN]]-PROVEEDORES[[#This Row],[PLAZO Días]],0)</f>
        <v>0</v>
      </c>
      <c r="T20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1" spans="1:20" ht="21.9" customHeight="1" x14ac:dyDescent="0.3">
      <c r="A201" s="113" t="str">
        <f>+IF(PROVEEDORES[[#This Row],[FECHA DE PAGO]]=PROVEEDORES[[#This Row],[FECHA DE FACTURACIÓN]],"DE CONTADO","CRÉDITO")</f>
        <v>CRÉDITO</v>
      </c>
      <c r="B201" s="51" t="str">
        <f>+IF((PROVEEDORES[[#This Row],[FECHA DE PAGO]]-PROVEEDORES[[#This Row],[FECHA DE FACTURACIÓN]])&gt;PROVEEDORES[[#This Row],[PLAZO Días]],"PAGO VENCIDO")</f>
        <v>PAGO VENCIDO</v>
      </c>
      <c r="C201" s="25">
        <f>+VLOOKUP(PROVEEDORES[[#This Row],[PROVEEDOR]],TERCEROS_INFO[#All],2,FALSE)</f>
        <v>30</v>
      </c>
      <c r="D201" s="30">
        <f>+SUMIFS(PROVEEDORES[Total],PROVEEDORES[PROVEEDOR],PROVEEDORES[[#This Row],[PROVEEDOR]],PROVEEDORES[FECHA DE PAGO],"")</f>
        <v>452687.9</v>
      </c>
      <c r="E201" s="30"/>
      <c r="F201" s="73" t="str">
        <f>+VLOOKUP(PROVEEDORES[[#This Row],[PROVEEDOR]],TERCEROS_INFO[[PROVEEDOR]:[CORREO]],5,FALSE)</f>
        <v>soluenergiacentro@une.net.co;girlesa.ruiz@servipilas.com;joriescobar64@gmail.com</v>
      </c>
      <c r="G201" s="111">
        <v>44326</v>
      </c>
      <c r="H201" s="31" t="s">
        <v>39</v>
      </c>
      <c r="I201" s="111">
        <v>44257</v>
      </c>
      <c r="J201" s="48" t="s">
        <v>151</v>
      </c>
      <c r="K201" s="26">
        <v>-42016.806722689078</v>
      </c>
      <c r="L201" s="26"/>
      <c r="M201" s="27">
        <v>-7983.1932773109247</v>
      </c>
      <c r="N201" s="28"/>
      <c r="O201" s="27">
        <v>0</v>
      </c>
      <c r="P201" s="28">
        <v>0</v>
      </c>
      <c r="Q201" s="27">
        <v>0</v>
      </c>
      <c r="R201" s="26">
        <v>-50000</v>
      </c>
      <c r="S201" s="115">
        <f ca="1">IF(PROVEEDORES[[#This Row],[FECHA DE PAGO]]=0,TODAY()-PROVEEDORES[[#This Row],[FECHA DE FACTURACIÓN]]-PROVEEDORES[[#This Row],[PLAZO Días]],0)</f>
        <v>0</v>
      </c>
      <c r="T2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2" spans="1:20" ht="21.9" customHeight="1" x14ac:dyDescent="0.3">
      <c r="A202" s="113" t="str">
        <f>+IF(PROVEEDORES[[#This Row],[FECHA DE PAGO]]=PROVEEDORES[[#This Row],[FECHA DE FACTURACIÓN]],"DE CONTADO","CRÉDITO")</f>
        <v>CRÉDITO</v>
      </c>
      <c r="B202" s="51" t="str">
        <f>+IF((PROVEEDORES[[#This Row],[FECHA DE PAGO]]-PROVEEDORES[[#This Row],[FECHA DE FACTURACIÓN]])&gt;PROVEEDORES[[#This Row],[PLAZO Días]],"PAGO VENCIDO")</f>
        <v>PAGO VENCIDO</v>
      </c>
      <c r="C202" s="25">
        <f>+VLOOKUP(PROVEEDORES[[#This Row],[PROVEEDOR]],TERCEROS_INFO[#All],2,FALSE)</f>
        <v>45</v>
      </c>
      <c r="D202" s="30">
        <f>+SUMIFS(PROVEEDORES[Total],PROVEEDORES[PROVEEDOR],PROVEEDORES[[#This Row],[PROVEEDOR]],PROVEEDORES[FECHA DE PAGO],"")</f>
        <v>1070024.2</v>
      </c>
      <c r="E202" s="30"/>
      <c r="F202" s="73" t="str">
        <f>+VLOOKUP(PROVEEDORES[[#This Row],[PROVEEDOR]],TERCEROS_INFO[[PROVEEDOR]:[CORREO]],5,FALSE)</f>
        <v>libardopineda@tronex.com;girlesa.ruiz@servipilas.com;joriescobar64@gmail.com</v>
      </c>
      <c r="G202" s="111">
        <v>44342</v>
      </c>
      <c r="H202" s="31" t="s">
        <v>10</v>
      </c>
      <c r="I202" s="111">
        <v>44257</v>
      </c>
      <c r="J202" s="48" t="s">
        <v>239</v>
      </c>
      <c r="K202" s="26">
        <v>864000</v>
      </c>
      <c r="L202" s="26"/>
      <c r="M202" s="27">
        <v>164160</v>
      </c>
      <c r="N202" s="28"/>
      <c r="O202" s="27">
        <v>0</v>
      </c>
      <c r="P202" s="28">
        <v>0</v>
      </c>
      <c r="Q202" s="27">
        <v>0</v>
      </c>
      <c r="R202" s="26">
        <v>1028160</v>
      </c>
      <c r="S202" s="115">
        <f ca="1">IF(PROVEEDORES[[#This Row],[FECHA DE PAGO]]=0,TODAY()-PROVEEDORES[[#This Row],[FECHA DE FACTURACIÓN]]-PROVEEDORES[[#This Row],[PLAZO Días]],0)</f>
        <v>0</v>
      </c>
      <c r="T2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3" spans="1:20" ht="21.9" customHeight="1" x14ac:dyDescent="0.3">
      <c r="A203" s="113" t="str">
        <f>+IF(PROVEEDORES[[#This Row],[FECHA DE PAGO]]=PROVEEDORES[[#This Row],[FECHA DE FACTURACIÓN]],"DE CONTADO","CRÉDITO")</f>
        <v>DE CONTADO</v>
      </c>
      <c r="B203" s="51" t="b">
        <f>+IF((PROVEEDORES[[#This Row],[FECHA DE PAGO]]-PROVEEDORES[[#This Row],[FECHA DE FACTURACIÓN]])&gt;PROVEEDORES[[#This Row],[PLAZO Días]],"PAGO VENCIDO")</f>
        <v>0</v>
      </c>
      <c r="C203" s="25">
        <f>+VLOOKUP(PROVEEDORES[[#This Row],[PROVEEDOR]],TERCEROS_INFO[#All],2,FALSE)</f>
        <v>30</v>
      </c>
      <c r="D203" s="30">
        <f>+SUMIFS(PROVEEDORES[Total],PROVEEDORES[PROVEEDOR],PROVEEDORES[[#This Row],[PROVEEDOR]],PROVEEDORES[FECHA DE PAGO],"")</f>
        <v>0</v>
      </c>
      <c r="E203" s="30"/>
      <c r="F203" s="73" t="str">
        <f>+VLOOKUP(PROVEEDORES[[#This Row],[PROVEEDOR]],TERCEROS_INFO[[PROVEEDOR]:[CORREO]],5,FALSE)</f>
        <v/>
      </c>
      <c r="G203" s="111">
        <v>44257</v>
      </c>
      <c r="H203" s="31" t="s">
        <v>1007</v>
      </c>
      <c r="I203" s="111">
        <v>44257</v>
      </c>
      <c r="J203" s="48" t="s">
        <v>683</v>
      </c>
      <c r="K203" s="26">
        <v>1711000</v>
      </c>
      <c r="L203" s="26"/>
      <c r="M203" s="27">
        <v>0</v>
      </c>
      <c r="N203" s="28"/>
      <c r="O203" s="27">
        <v>0</v>
      </c>
      <c r="P203" s="28">
        <v>0</v>
      </c>
      <c r="Q203" s="27">
        <v>0</v>
      </c>
      <c r="R203" s="26">
        <v>1711000</v>
      </c>
      <c r="S203" s="115">
        <f ca="1">IF(PROVEEDORES[[#This Row],[FECHA DE PAGO]]=0,TODAY()-PROVEEDORES[[#This Row],[FECHA DE FACTURACIÓN]]-PROVEEDORES[[#This Row],[PLAZO Días]],0)</f>
        <v>0</v>
      </c>
      <c r="T2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4" spans="1:20" ht="21.9" customHeight="1" x14ac:dyDescent="0.3">
      <c r="A204" s="113" t="str">
        <f>+IF(PROVEEDORES[[#This Row],[FECHA DE PAGO]]=PROVEEDORES[[#This Row],[FECHA DE FACTURACIÓN]],"DE CONTADO","CRÉDITO")</f>
        <v>CRÉDITO</v>
      </c>
      <c r="B204" s="51" t="str">
        <f>+IF((PROVEEDORES[[#This Row],[FECHA DE PAGO]]-PROVEEDORES[[#This Row],[FECHA DE FACTURACIÓN]])&gt;PROVEEDORES[[#This Row],[PLAZO Días]],"PAGO VENCIDO")</f>
        <v>PAGO VENCIDO</v>
      </c>
      <c r="C204" s="25">
        <f>+VLOOKUP(PROVEEDORES[[#This Row],[PROVEEDOR]],TERCEROS_INFO[#All],2,FALSE)</f>
        <v>30</v>
      </c>
      <c r="D204" s="30">
        <f>+SUMIFS(PROVEEDORES[Total],PROVEEDORES[PROVEEDOR],PROVEEDORES[[#This Row],[PROVEEDOR]],PROVEEDORES[FECHA DE PAGO],"")</f>
        <v>0</v>
      </c>
      <c r="E204" s="30"/>
      <c r="F204" s="73" t="str">
        <f>+VLOOKUP(PROVEEDORES[[#This Row],[PROVEEDOR]],TERCEROS_INFO[[PROVEEDOR]:[CORREO]],5,FALSE)</f>
        <v>vcortes@power-sonic.com;alexander.baur@power-sonic.com;jirias@power-sonic.com;girlesa.ruiz@servipilas.com;joriescobar64@gmail.com;info@servipilas.com</v>
      </c>
      <c r="G204" s="111">
        <v>44357</v>
      </c>
      <c r="H204" s="31" t="s">
        <v>38</v>
      </c>
      <c r="I204" s="111">
        <v>44257</v>
      </c>
      <c r="J204" s="48" t="s">
        <v>296</v>
      </c>
      <c r="K204" s="26">
        <v>9253877.5999999996</v>
      </c>
      <c r="L204" s="26"/>
      <c r="M204" s="27">
        <v>0</v>
      </c>
      <c r="N204" s="28"/>
      <c r="O204" s="27">
        <v>0</v>
      </c>
      <c r="P204" s="28">
        <v>0</v>
      </c>
      <c r="Q204" s="27">
        <v>0</v>
      </c>
      <c r="R204" s="26">
        <v>9253877.5999999996</v>
      </c>
      <c r="S204" s="115">
        <f ca="1">IF(PROVEEDORES[[#This Row],[FECHA DE PAGO]]=0,TODAY()-PROVEEDORES[[#This Row],[FECHA DE FACTURACIÓN]]-PROVEEDORES[[#This Row],[PLAZO Días]],0)</f>
        <v>0</v>
      </c>
      <c r="T2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5" spans="1:20" ht="21.9" customHeight="1" x14ac:dyDescent="0.3">
      <c r="A205" s="113" t="str">
        <f>+IF(PROVEEDORES[[#This Row],[FECHA DE PAGO]]=PROVEEDORES[[#This Row],[FECHA DE FACTURACIÓN]],"DE CONTADO","CRÉDITO")</f>
        <v>DE CONTADO</v>
      </c>
      <c r="B205" s="51" t="b">
        <f>+IF((PROVEEDORES[[#This Row],[FECHA DE PAGO]]-PROVEEDORES[[#This Row],[FECHA DE FACTURACIÓN]])&gt;PROVEEDORES[[#This Row],[PLAZO Días]],"PAGO VENCIDO")</f>
        <v>0</v>
      </c>
      <c r="C205" s="25">
        <f>+VLOOKUP(PROVEEDORES[[#This Row],[PROVEEDOR]],TERCEROS_INFO[#All],2,FALSE)</f>
        <v>30</v>
      </c>
      <c r="D205" s="30">
        <f>+SUMIFS(PROVEEDORES[Total],PROVEEDORES[PROVEEDOR],PROVEEDORES[[#This Row],[PROVEEDOR]],PROVEEDORES[FECHA DE PAGO],"")</f>
        <v>0</v>
      </c>
      <c r="E205" s="30"/>
      <c r="F205" s="73" t="str">
        <f>+VLOOKUP(PROVEEDORES[[#This Row],[PROVEEDOR]],TERCEROS_INFO[[PROVEEDOR]:[CORREO]],5,FALSE)</f>
        <v/>
      </c>
      <c r="G205" s="111">
        <v>44258</v>
      </c>
      <c r="H205" s="31" t="s">
        <v>1052</v>
      </c>
      <c r="I205" s="111">
        <v>44258</v>
      </c>
      <c r="J205" s="48"/>
      <c r="K205" s="26">
        <v>1000000</v>
      </c>
      <c r="L205" s="26"/>
      <c r="M205" s="27">
        <v>0</v>
      </c>
      <c r="N205" s="28"/>
      <c r="O205" s="27">
        <v>0</v>
      </c>
      <c r="P205" s="28">
        <v>0</v>
      </c>
      <c r="Q205" s="27">
        <v>0</v>
      </c>
      <c r="R205" s="26">
        <v>1000000</v>
      </c>
      <c r="S205" s="115">
        <f ca="1">IF(PROVEEDORES[[#This Row],[FECHA DE PAGO]]=0,TODAY()-PROVEEDORES[[#This Row],[FECHA DE FACTURACIÓN]]-PROVEEDORES[[#This Row],[PLAZO Días]],0)</f>
        <v>0</v>
      </c>
      <c r="T20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6" spans="1:20" ht="21.9" customHeight="1" x14ac:dyDescent="0.3">
      <c r="A206" s="113" t="str">
        <f>+IF(PROVEEDORES[[#This Row],[FECHA DE PAGO]]=PROVEEDORES[[#This Row],[FECHA DE FACTURACIÓN]],"DE CONTADO","CRÉDITO")</f>
        <v>CRÉDITO</v>
      </c>
      <c r="B206" s="51" t="str">
        <f>+IF((PROVEEDORES[[#This Row],[FECHA DE PAGO]]-PROVEEDORES[[#This Row],[FECHA DE FACTURACIÓN]])&gt;PROVEEDORES[[#This Row],[PLAZO Días]],"PAGO VENCIDO")</f>
        <v>PAGO VENCIDO</v>
      </c>
      <c r="C206" s="25">
        <f>+VLOOKUP(PROVEEDORES[[#This Row],[PROVEEDOR]],TERCEROS_INFO[#All],2,FALSE)</f>
        <v>30</v>
      </c>
      <c r="D206" s="30">
        <f>+SUMIFS(PROVEEDORES[Total],PROVEEDORES[PROVEEDOR],PROVEEDORES[[#This Row],[PROVEEDOR]],PROVEEDORES[FECHA DE PAGO],"")</f>
        <v>6482443.1751999995</v>
      </c>
      <c r="E206" s="30"/>
      <c r="F206" s="73" t="str">
        <f>+VLOOKUP(PROVEEDORES[[#This Row],[PROVEEDOR]],TERCEROS_INFO[[PROVEEDOR]:[CORREO]],5,FALSE)</f>
        <v>angela.navas@hyrdistribuciones.com;girlesa.ruiz@servipilas.com;joriescobar64@gmail.com</v>
      </c>
      <c r="G206" s="111">
        <v>44307</v>
      </c>
      <c r="H206" s="31" t="s">
        <v>18</v>
      </c>
      <c r="I206" s="111">
        <v>44258</v>
      </c>
      <c r="J206" s="48">
        <v>1035231</v>
      </c>
      <c r="K206" s="26">
        <v>1334863.2</v>
      </c>
      <c r="L206" s="26"/>
      <c r="M206" s="27">
        <v>253624.008</v>
      </c>
      <c r="N206" s="28"/>
      <c r="O206" s="27">
        <v>0</v>
      </c>
      <c r="P206" s="28">
        <v>2.5000000000000001E-2</v>
      </c>
      <c r="Q206" s="27">
        <v>33371.58</v>
      </c>
      <c r="R206" s="26">
        <v>1555115.6279999998</v>
      </c>
      <c r="S206" s="115">
        <f ca="1">IF(PROVEEDORES[[#This Row],[FECHA DE PAGO]]=0,TODAY()-PROVEEDORES[[#This Row],[FECHA DE FACTURACIÓN]]-PROVEEDORES[[#This Row],[PLAZO Días]],0)</f>
        <v>0</v>
      </c>
      <c r="T20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7" spans="1:20" ht="21.9" customHeight="1" x14ac:dyDescent="0.3">
      <c r="A207" s="113" t="str">
        <f>+IF(PROVEEDORES[[#This Row],[FECHA DE PAGO]]=PROVEEDORES[[#This Row],[FECHA DE FACTURACIÓN]],"DE CONTADO","CRÉDITO")</f>
        <v>CRÉDITO</v>
      </c>
      <c r="B207" s="51" t="str">
        <f>+IF((PROVEEDORES[[#This Row],[FECHA DE PAGO]]-PROVEEDORES[[#This Row],[FECHA DE FACTURACIÓN]])&gt;PROVEEDORES[[#This Row],[PLAZO Días]],"PAGO VENCIDO")</f>
        <v>PAGO VENCIDO</v>
      </c>
      <c r="C207" s="25">
        <f>+VLOOKUP(PROVEEDORES[[#This Row],[PROVEEDOR]],TERCEROS_INFO[#All],2,FALSE)</f>
        <v>30</v>
      </c>
      <c r="D207" s="30">
        <f>+SUMIFS(PROVEEDORES[Total],PROVEEDORES[PROVEEDOR],PROVEEDORES[[#This Row],[PROVEEDOR]],PROVEEDORES[FECHA DE PAGO],"")</f>
        <v>3750700</v>
      </c>
      <c r="E207" s="30"/>
      <c r="F207" s="73" t="str">
        <f>+VLOOKUP(PROVEEDORES[[#This Row],[PROVEEDOR]],TERCEROS_INFO[[PROVEEDOR]:[CORREO]],5,FALSE)</f>
        <v/>
      </c>
      <c r="G207" s="111">
        <v>44312</v>
      </c>
      <c r="H207" s="31" t="s">
        <v>996</v>
      </c>
      <c r="I207" s="111">
        <v>44258</v>
      </c>
      <c r="J207" s="48" t="s">
        <v>684</v>
      </c>
      <c r="K207" s="26">
        <v>1360000</v>
      </c>
      <c r="L207" s="26"/>
      <c r="M207" s="27">
        <v>0</v>
      </c>
      <c r="N207" s="28"/>
      <c r="O207" s="27">
        <v>0</v>
      </c>
      <c r="P207" s="28">
        <v>0</v>
      </c>
      <c r="Q207" s="27">
        <v>0</v>
      </c>
      <c r="R207" s="26">
        <v>1360000</v>
      </c>
      <c r="S207" s="115">
        <f ca="1">IF(PROVEEDORES[[#This Row],[FECHA DE PAGO]]=0,TODAY()-PROVEEDORES[[#This Row],[FECHA DE FACTURACIÓN]]-PROVEEDORES[[#This Row],[PLAZO Días]],0)</f>
        <v>0</v>
      </c>
      <c r="T20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8" spans="1:20" ht="21.9" customHeight="1" x14ac:dyDescent="0.3">
      <c r="A208" s="113" t="str">
        <f>+IF(PROVEEDORES[[#This Row],[FECHA DE PAGO]]=PROVEEDORES[[#This Row],[FECHA DE FACTURACIÓN]],"DE CONTADO","CRÉDITO")</f>
        <v>CRÉDITO</v>
      </c>
      <c r="B208" s="51" t="str">
        <f>+IF((PROVEEDORES[[#This Row],[FECHA DE PAGO]]-PROVEEDORES[[#This Row],[FECHA DE FACTURACIÓN]])&gt;PROVEEDORES[[#This Row],[PLAZO Días]],"PAGO VENCIDO")</f>
        <v>PAGO VENCIDO</v>
      </c>
      <c r="C208" s="25">
        <f>+VLOOKUP(PROVEEDORES[[#This Row],[PROVEEDOR]],TERCEROS_INFO[#All],2,FALSE)</f>
        <v>30</v>
      </c>
      <c r="D208" s="30">
        <f>+SUMIFS(PROVEEDORES[Total],PROVEEDORES[PROVEEDOR],PROVEEDORES[[#This Row],[PROVEEDOR]],PROVEEDORES[FECHA DE PAGO],"")</f>
        <v>1451823</v>
      </c>
      <c r="E208" s="30"/>
      <c r="F208" s="73" t="str">
        <f>+VLOOKUP(PROVEEDORES[[#This Row],[PROVEEDOR]],TERCEROS_INFO[[PROVEEDOR]:[CORREO]],5,FALSE)</f>
        <v>cartera@ienewline.com;andres.arroyave@ienewline.com;girlesa.ruiz@servipilas.com;joriescobar64@gmail.com</v>
      </c>
      <c r="G208" s="111">
        <v>44298</v>
      </c>
      <c r="H208" s="31" t="s">
        <v>1131</v>
      </c>
      <c r="I208" s="111">
        <v>44260</v>
      </c>
      <c r="J208" s="48">
        <v>14581</v>
      </c>
      <c r="K208" s="26">
        <v>1708000</v>
      </c>
      <c r="L208" s="26"/>
      <c r="M208" s="27">
        <v>324520</v>
      </c>
      <c r="N208" s="28"/>
      <c r="O208" s="27">
        <v>0</v>
      </c>
      <c r="P208" s="28">
        <v>2.5000000000000001E-2</v>
      </c>
      <c r="Q208" s="27">
        <v>42700</v>
      </c>
      <c r="R208" s="26">
        <v>1989820</v>
      </c>
      <c r="S208" s="115">
        <f ca="1">IF(PROVEEDORES[[#This Row],[FECHA DE PAGO]]=0,TODAY()-PROVEEDORES[[#This Row],[FECHA DE FACTURACIÓN]]-PROVEEDORES[[#This Row],[PLAZO Días]],0)</f>
        <v>0</v>
      </c>
      <c r="T2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09" spans="1:20" ht="21.9" customHeight="1" x14ac:dyDescent="0.3">
      <c r="A209" s="113" t="str">
        <f>+IF(PROVEEDORES[[#This Row],[FECHA DE PAGO]]=PROVEEDORES[[#This Row],[FECHA DE FACTURACIÓN]],"DE CONTADO","CRÉDITO")</f>
        <v>CRÉDITO</v>
      </c>
      <c r="B209" s="51" t="str">
        <f>+IF((PROVEEDORES[[#This Row],[FECHA DE PAGO]]-PROVEEDORES[[#This Row],[FECHA DE FACTURACIÓN]])&gt;PROVEEDORES[[#This Row],[PLAZO Días]],"PAGO VENCIDO")</f>
        <v>PAGO VENCIDO</v>
      </c>
      <c r="C209" s="25">
        <f>+VLOOKUP(PROVEEDORES[[#This Row],[PROVEEDOR]],TERCEROS_INFO[#All],2,FALSE)</f>
        <v>45</v>
      </c>
      <c r="D209" s="30">
        <f>+SUMIFS(PROVEEDORES[Total],PROVEEDORES[PROVEEDOR],PROVEEDORES[[#This Row],[PROVEEDOR]],PROVEEDORES[FECHA DE PAGO],"")</f>
        <v>17760678.600000001</v>
      </c>
      <c r="E209" s="30"/>
      <c r="F209" s="73" t="str">
        <f>+VLOOKUP(PROVEEDORES[[#This Row],[PROVEEDOR]],TERCEROS_INFO[[PROVEEDOR]:[CORREO]],5,FALSE)</f>
        <v>zully.florez@powest.com;girlesa.ruiz@servipilas.com;joriescobar64@gmail.com</v>
      </c>
      <c r="G209" s="111">
        <v>44312</v>
      </c>
      <c r="H209" s="31" t="s">
        <v>19</v>
      </c>
      <c r="I209" s="111">
        <v>44260</v>
      </c>
      <c r="J209" s="48" t="s">
        <v>238</v>
      </c>
      <c r="K209" s="26">
        <v>4483620</v>
      </c>
      <c r="L209" s="26"/>
      <c r="M209" s="27">
        <v>851887.8</v>
      </c>
      <c r="N209" s="28"/>
      <c r="O209" s="27">
        <v>0</v>
      </c>
      <c r="P209" s="28">
        <v>0</v>
      </c>
      <c r="Q209" s="27">
        <v>0</v>
      </c>
      <c r="R209" s="26">
        <v>5335507.8</v>
      </c>
      <c r="S209" s="115">
        <f ca="1">IF(PROVEEDORES[[#This Row],[FECHA DE PAGO]]=0,TODAY()-PROVEEDORES[[#This Row],[FECHA DE FACTURACIÓN]]-PROVEEDORES[[#This Row],[PLAZO Días]],0)</f>
        <v>0</v>
      </c>
      <c r="T20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0" spans="1:20" ht="21.9" customHeight="1" x14ac:dyDescent="0.3">
      <c r="A210" s="113" t="str">
        <f>+IF(PROVEEDORES[[#This Row],[FECHA DE PAGO]]=PROVEEDORES[[#This Row],[FECHA DE FACTURACIÓN]],"DE CONTADO","CRÉDITO")</f>
        <v>CRÉDITO</v>
      </c>
      <c r="B210" s="51" t="b">
        <f>+IF((PROVEEDORES[[#This Row],[FECHA DE PAGO]]-PROVEEDORES[[#This Row],[FECHA DE FACTURACIÓN]])&gt;PROVEEDORES[[#This Row],[PLAZO Días]],"PAGO VENCIDO")</f>
        <v>0</v>
      </c>
      <c r="C210" s="25">
        <f>+VLOOKUP(PROVEEDORES[[#This Row],[PROVEEDOR]],TERCEROS_INFO[#All],2,FALSE)</f>
        <v>30</v>
      </c>
      <c r="D210" s="30">
        <f>+SUMIFS(PROVEEDORES[Total],PROVEEDORES[PROVEEDOR],PROVEEDORES[[#This Row],[PROVEEDOR]],PROVEEDORES[FECHA DE PAGO],"")</f>
        <v>0</v>
      </c>
      <c r="E210" s="30"/>
      <c r="F210" s="73" t="str">
        <f>+VLOOKUP(PROVEEDORES[[#This Row],[PROVEEDOR]],TERCEROS_INFO[[PROVEEDOR]:[CORREO]],5,FALSE)</f>
        <v/>
      </c>
      <c r="G210" s="111">
        <v>44271</v>
      </c>
      <c r="H210" s="31" t="s">
        <v>1063</v>
      </c>
      <c r="I210" s="111">
        <v>44261</v>
      </c>
      <c r="J210" s="48"/>
      <c r="K210" s="26">
        <v>1040200</v>
      </c>
      <c r="L210" s="26"/>
      <c r="M210" s="27">
        <v>0</v>
      </c>
      <c r="N210" s="28"/>
      <c r="O210" s="27">
        <v>0</v>
      </c>
      <c r="P210" s="28">
        <v>0</v>
      </c>
      <c r="Q210" s="27">
        <v>0</v>
      </c>
      <c r="R210" s="26">
        <v>1040200</v>
      </c>
      <c r="S210" s="115">
        <f ca="1">IF(PROVEEDORES[[#This Row],[FECHA DE PAGO]]=0,TODAY()-PROVEEDORES[[#This Row],[FECHA DE FACTURACIÓN]]-PROVEEDORES[[#This Row],[PLAZO Días]],0)</f>
        <v>0</v>
      </c>
      <c r="T2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1" spans="1:20" ht="21.9" customHeight="1" x14ac:dyDescent="0.3">
      <c r="A211" s="113" t="str">
        <f>+IF(PROVEEDORES[[#This Row],[FECHA DE PAGO]]=PROVEEDORES[[#This Row],[FECHA DE FACTURACIÓN]],"DE CONTADO","CRÉDITO")</f>
        <v>CRÉDITO</v>
      </c>
      <c r="B211" s="51" t="str">
        <f>+IF((PROVEEDORES[[#This Row],[FECHA DE PAGO]]-PROVEEDORES[[#This Row],[FECHA DE FACTURACIÓN]])&gt;PROVEEDORES[[#This Row],[PLAZO Días]],"PAGO VENCIDO")</f>
        <v>PAGO VENCIDO</v>
      </c>
      <c r="C211" s="25">
        <f>+VLOOKUP(PROVEEDORES[[#This Row],[PROVEEDOR]],TERCEROS_INFO[#All],2,FALSE)</f>
        <v>45</v>
      </c>
      <c r="D211" s="30">
        <f>+SUMIFS(PROVEEDORES[Total],PROVEEDORES[PROVEEDOR],PROVEEDORES[[#This Row],[PROVEEDOR]],PROVEEDORES[FECHA DE PAGO],"")</f>
        <v>1070024.2</v>
      </c>
      <c r="E211" s="30"/>
      <c r="F211" s="73" t="str">
        <f>+VLOOKUP(PROVEEDORES[[#This Row],[PROVEEDOR]],TERCEROS_INFO[[PROVEEDOR]:[CORREO]],5,FALSE)</f>
        <v>libardopineda@tronex.com;girlesa.ruiz@servipilas.com;joriescobar64@gmail.com</v>
      </c>
      <c r="G211" s="111">
        <v>44342</v>
      </c>
      <c r="H211" s="31" t="s">
        <v>10</v>
      </c>
      <c r="I211" s="111">
        <v>44261</v>
      </c>
      <c r="J211" s="48" t="s">
        <v>237</v>
      </c>
      <c r="K211" s="26">
        <v>1200000</v>
      </c>
      <c r="L211" s="26"/>
      <c r="M211" s="27">
        <v>228000</v>
      </c>
      <c r="N211" s="28"/>
      <c r="O211" s="27">
        <v>0</v>
      </c>
      <c r="P211" s="28">
        <v>0</v>
      </c>
      <c r="Q211" s="27">
        <v>0</v>
      </c>
      <c r="R211" s="26">
        <v>1428000</v>
      </c>
      <c r="S211" s="115">
        <f ca="1">IF(PROVEEDORES[[#This Row],[FECHA DE PAGO]]=0,TODAY()-PROVEEDORES[[#This Row],[FECHA DE FACTURACIÓN]]-PROVEEDORES[[#This Row],[PLAZO Días]],0)</f>
        <v>0</v>
      </c>
      <c r="T2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2" spans="1:20" ht="21.9" customHeight="1" x14ac:dyDescent="0.3">
      <c r="A212" s="113" t="str">
        <f>+IF(PROVEEDORES[[#This Row],[FECHA DE PAGO]]=PROVEEDORES[[#This Row],[FECHA DE FACTURACIÓN]],"DE CONTADO","CRÉDITO")</f>
        <v>CRÉDITO</v>
      </c>
      <c r="B212" s="51" t="str">
        <f>+IF((PROVEEDORES[[#This Row],[FECHA DE PAGO]]-PROVEEDORES[[#This Row],[FECHA DE FACTURACIÓN]])&gt;PROVEEDORES[[#This Row],[PLAZO Días]],"PAGO VENCIDO")</f>
        <v>PAGO VENCIDO</v>
      </c>
      <c r="C212" s="25">
        <f>+VLOOKUP(PROVEEDORES[[#This Row],[PROVEEDOR]],TERCEROS_INFO[#All],2,FALSE)</f>
        <v>30</v>
      </c>
      <c r="D212" s="30">
        <f>+SUMIFS(PROVEEDORES[Total],PROVEEDORES[PROVEEDOR],PROVEEDORES[[#This Row],[PROVEEDOR]],PROVEEDORES[FECHA DE PAGO],"")</f>
        <v>6482443.1751999995</v>
      </c>
      <c r="E212" s="30"/>
      <c r="F212" s="73" t="str">
        <f>+VLOOKUP(PROVEEDORES[[#This Row],[PROVEEDOR]],TERCEROS_INFO[[PROVEEDOR]:[CORREO]],5,FALSE)</f>
        <v>angela.navas@hyrdistribuciones.com;girlesa.ruiz@servipilas.com;joriescobar64@gmail.com</v>
      </c>
      <c r="G212" s="111">
        <v>44307</v>
      </c>
      <c r="H212" s="31" t="s">
        <v>18</v>
      </c>
      <c r="I212" s="111">
        <v>44261</v>
      </c>
      <c r="J212" s="48">
        <v>1035341</v>
      </c>
      <c r="K212" s="26">
        <v>1508580</v>
      </c>
      <c r="L212" s="26"/>
      <c r="M212" s="27">
        <v>286630.2</v>
      </c>
      <c r="N212" s="28"/>
      <c r="O212" s="27">
        <v>0</v>
      </c>
      <c r="P212" s="28">
        <v>2.5000000000000001E-2</v>
      </c>
      <c r="Q212" s="27">
        <v>37714.5</v>
      </c>
      <c r="R212" s="26">
        <v>1757495.7</v>
      </c>
      <c r="S212" s="115">
        <f ca="1">IF(PROVEEDORES[[#This Row],[FECHA DE PAGO]]=0,TODAY()-PROVEEDORES[[#This Row],[FECHA DE FACTURACIÓN]]-PROVEEDORES[[#This Row],[PLAZO Días]],0)</f>
        <v>0</v>
      </c>
      <c r="T2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3" spans="1:20" ht="21.9" customHeight="1" x14ac:dyDescent="0.3">
      <c r="A213" s="113" t="str">
        <f>+IF(PROVEEDORES[[#This Row],[FECHA DE PAGO]]=PROVEEDORES[[#This Row],[FECHA DE FACTURACIÓN]],"DE CONTADO","CRÉDITO")</f>
        <v>CRÉDITO</v>
      </c>
      <c r="B213" s="51" t="str">
        <f>+IF((PROVEEDORES[[#This Row],[FECHA DE PAGO]]-PROVEEDORES[[#This Row],[FECHA DE FACTURACIÓN]])&gt;PROVEEDORES[[#This Row],[PLAZO Días]],"PAGO VENCIDO")</f>
        <v>PAGO VENCIDO</v>
      </c>
      <c r="C213" s="25">
        <f>+VLOOKUP(PROVEEDORES[[#This Row],[PROVEEDOR]],TERCEROS_INFO[#All],2,FALSE)</f>
        <v>30</v>
      </c>
      <c r="D213" s="30">
        <f>+SUMIFS(PROVEEDORES[Total],PROVEEDORES[PROVEEDOR],PROVEEDORES[[#This Row],[PROVEEDOR]],PROVEEDORES[FECHA DE PAGO],"")</f>
        <v>4078650.6</v>
      </c>
      <c r="E213" s="30"/>
      <c r="F213" s="73" t="str">
        <f>+VLOOKUP(PROVEEDORES[[#This Row],[PROVEEDOR]],TERCEROS_INFO[[PROVEEDOR]:[CORREO]],5,FALSE)</f>
        <v>financiera@nalpicentral.com;girlesa.ruiz@servipilas.com;joriescobar64@gmail.com</v>
      </c>
      <c r="G213" s="111">
        <v>44348</v>
      </c>
      <c r="H213" s="31" t="s">
        <v>1095</v>
      </c>
      <c r="I213" s="111">
        <v>44263</v>
      </c>
      <c r="J213" s="48">
        <v>20217</v>
      </c>
      <c r="K213" s="26">
        <v>1560000</v>
      </c>
      <c r="L213" s="26"/>
      <c r="M213" s="27">
        <v>296400</v>
      </c>
      <c r="N213" s="28"/>
      <c r="O213" s="27">
        <v>0</v>
      </c>
      <c r="P213" s="28">
        <v>2.5000000000000001E-2</v>
      </c>
      <c r="Q213" s="27">
        <v>39000</v>
      </c>
      <c r="R213" s="26">
        <v>1817400</v>
      </c>
      <c r="S213" s="115">
        <f ca="1">IF(PROVEEDORES[[#This Row],[FECHA DE PAGO]]=0,TODAY()-PROVEEDORES[[#This Row],[FECHA DE FACTURACIÓN]]-PROVEEDORES[[#This Row],[PLAZO Días]],0)</f>
        <v>0</v>
      </c>
      <c r="T2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4" spans="1:20" ht="21.9" customHeight="1" x14ac:dyDescent="0.3">
      <c r="A214" s="113" t="str">
        <f>+IF(PROVEEDORES[[#This Row],[FECHA DE PAGO]]=PROVEEDORES[[#This Row],[FECHA DE FACTURACIÓN]],"DE CONTADO","CRÉDITO")</f>
        <v>CRÉDITO</v>
      </c>
      <c r="B214" s="51" t="str">
        <f>+IF((PROVEEDORES[[#This Row],[FECHA DE PAGO]]-PROVEEDORES[[#This Row],[FECHA DE FACTURACIÓN]])&gt;PROVEEDORES[[#This Row],[PLAZO Días]],"PAGO VENCIDO")</f>
        <v>PAGO VENCIDO</v>
      </c>
      <c r="C214" s="25">
        <f>+VLOOKUP(PROVEEDORES[[#This Row],[PROVEEDOR]],TERCEROS_INFO[#All],2,FALSE)</f>
        <v>30</v>
      </c>
      <c r="D214" s="30">
        <f>+SUMIFS(PROVEEDORES[Total],PROVEEDORES[PROVEEDOR],PROVEEDORES[[#This Row],[PROVEEDOR]],PROVEEDORES[FECHA DE PAGO],"")</f>
        <v>6482443.1751999995</v>
      </c>
      <c r="E214" s="30"/>
      <c r="F214" s="73" t="str">
        <f>+VLOOKUP(PROVEEDORES[[#This Row],[PROVEEDOR]],TERCEROS_INFO[[PROVEEDOR]:[CORREO]],5,FALSE)</f>
        <v>angela.navas@hyrdistribuciones.com;girlesa.ruiz@servipilas.com;joriescobar64@gmail.com</v>
      </c>
      <c r="G214" s="111">
        <v>44312</v>
      </c>
      <c r="H214" s="31" t="s">
        <v>18</v>
      </c>
      <c r="I214" s="111">
        <v>44263</v>
      </c>
      <c r="J214" s="48">
        <v>1035371</v>
      </c>
      <c r="K214" s="26">
        <v>1837723.2</v>
      </c>
      <c r="L214" s="26"/>
      <c r="M214" s="27">
        <v>349167.408</v>
      </c>
      <c r="N214" s="28"/>
      <c r="O214" s="27">
        <v>0</v>
      </c>
      <c r="P214" s="28">
        <v>2.5000000000000001E-2</v>
      </c>
      <c r="Q214" s="27">
        <v>45943.08</v>
      </c>
      <c r="R214" s="26">
        <v>2140947.5279999999</v>
      </c>
      <c r="S214" s="115">
        <f ca="1">IF(PROVEEDORES[[#This Row],[FECHA DE PAGO]]=0,TODAY()-PROVEEDORES[[#This Row],[FECHA DE FACTURACIÓN]]-PROVEEDORES[[#This Row],[PLAZO Días]],0)</f>
        <v>0</v>
      </c>
      <c r="T2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5" spans="1:20" ht="21.9" customHeight="1" x14ac:dyDescent="0.3">
      <c r="A215" s="113" t="str">
        <f>+IF(PROVEEDORES[[#This Row],[FECHA DE PAGO]]=PROVEEDORES[[#This Row],[FECHA DE FACTURACIÓN]],"DE CONTADO","CRÉDITO")</f>
        <v>CRÉDITO</v>
      </c>
      <c r="B215" s="51" t="str">
        <f>+IF((PROVEEDORES[[#This Row],[FECHA DE PAGO]]-PROVEEDORES[[#This Row],[FECHA DE FACTURACIÓN]])&gt;PROVEEDORES[[#This Row],[PLAZO Días]],"PAGO VENCIDO")</f>
        <v>PAGO VENCIDO</v>
      </c>
      <c r="C215" s="25">
        <f>+VLOOKUP(PROVEEDORES[[#This Row],[PROVEEDOR]],TERCEROS_INFO[#All],2,FALSE)</f>
        <v>30</v>
      </c>
      <c r="D215" s="30">
        <f>+SUMIFS(PROVEEDORES[Total],PROVEEDORES[PROVEEDOR],PROVEEDORES[[#This Row],[PROVEEDOR]],PROVEEDORES[FECHA DE PAGO],"")</f>
        <v>10764600</v>
      </c>
      <c r="E215" s="30"/>
      <c r="F215" s="73" t="str">
        <f>+VLOOKUP(PROVEEDORES[[#This Row],[PROVEEDOR]],TERCEROS_INFO[[PROVEEDOR]:[CORREO]],5,FALSE)</f>
        <v>apresupuesto@widexcolombia.com;girlesa.ruiz@servipilas.com;joriescobar64@gmail.com</v>
      </c>
      <c r="G215" s="111">
        <v>44319</v>
      </c>
      <c r="H215" s="31" t="s">
        <v>11</v>
      </c>
      <c r="I215" s="111">
        <v>44263</v>
      </c>
      <c r="J215" s="48" t="s">
        <v>242</v>
      </c>
      <c r="K215" s="26">
        <v>1980000</v>
      </c>
      <c r="L215" s="26"/>
      <c r="M215" s="27">
        <v>376200</v>
      </c>
      <c r="N215" s="28"/>
      <c r="O215" s="27">
        <v>0</v>
      </c>
      <c r="P215" s="28">
        <v>2.5000000000000001E-2</v>
      </c>
      <c r="Q215" s="27">
        <v>49500</v>
      </c>
      <c r="R215" s="26">
        <v>2306700</v>
      </c>
      <c r="S215" s="115">
        <f ca="1">IF(PROVEEDORES[[#This Row],[FECHA DE PAGO]]=0,TODAY()-PROVEEDORES[[#This Row],[FECHA DE FACTURACIÓN]]-PROVEEDORES[[#This Row],[PLAZO Días]],0)</f>
        <v>0</v>
      </c>
      <c r="T2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6" spans="1:20" ht="21.9" customHeight="1" x14ac:dyDescent="0.3">
      <c r="A216" s="113" t="str">
        <f>+IF(PROVEEDORES[[#This Row],[FECHA DE PAGO]]=PROVEEDORES[[#This Row],[FECHA DE FACTURACIÓN]],"DE CONTADO","CRÉDITO")</f>
        <v>DE CONTADO</v>
      </c>
      <c r="B216" s="51" t="b">
        <f>+IF((PROVEEDORES[[#This Row],[FECHA DE PAGO]]-PROVEEDORES[[#This Row],[FECHA DE FACTURACIÓN]])&gt;PROVEEDORES[[#This Row],[PLAZO Días]],"PAGO VENCIDO")</f>
        <v>0</v>
      </c>
      <c r="C216" s="25">
        <f>+VLOOKUP(PROVEEDORES[[#This Row],[PROVEEDOR]],TERCEROS_INFO[#All],2,FALSE)</f>
        <v>30</v>
      </c>
      <c r="D216" s="30">
        <f>+SUMIFS(PROVEEDORES[Total],PROVEEDORES[PROVEEDOR],PROVEEDORES[[#This Row],[PROVEEDOR]],PROVEEDORES[FECHA DE PAGO],"")</f>
        <v>0</v>
      </c>
      <c r="E216" s="30"/>
      <c r="F216" s="73" t="str">
        <f>+VLOOKUP(PROVEEDORES[[#This Row],[PROVEEDOR]],TERCEROS_INFO[[PROVEEDOR]:[CORREO]],5,FALSE)</f>
        <v/>
      </c>
      <c r="G216" s="111">
        <v>44264</v>
      </c>
      <c r="H216" s="31" t="s">
        <v>1052</v>
      </c>
      <c r="I216" s="111">
        <v>44264</v>
      </c>
      <c r="J216" s="48"/>
      <c r="K216" s="26">
        <v>1000000</v>
      </c>
      <c r="L216" s="26"/>
      <c r="M216" s="27">
        <v>0</v>
      </c>
      <c r="N216" s="28"/>
      <c r="O216" s="27">
        <v>0</v>
      </c>
      <c r="P216" s="28">
        <v>0</v>
      </c>
      <c r="Q216" s="27">
        <v>0</v>
      </c>
      <c r="R216" s="26">
        <v>1000000</v>
      </c>
      <c r="S216" s="115">
        <f ca="1">IF(PROVEEDORES[[#This Row],[FECHA DE PAGO]]=0,TODAY()-PROVEEDORES[[#This Row],[FECHA DE FACTURACIÓN]]-PROVEEDORES[[#This Row],[PLAZO Días]],0)</f>
        <v>0</v>
      </c>
      <c r="T2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7" spans="1:20" ht="21.9" customHeight="1" x14ac:dyDescent="0.3">
      <c r="A217" s="113" t="str">
        <f>+IF(PROVEEDORES[[#This Row],[FECHA DE PAGO]]=PROVEEDORES[[#This Row],[FECHA DE FACTURACIÓN]],"DE CONTADO","CRÉDITO")</f>
        <v>CRÉDITO</v>
      </c>
      <c r="B217" s="51" t="str">
        <f>+IF((PROVEEDORES[[#This Row],[FECHA DE PAGO]]-PROVEEDORES[[#This Row],[FECHA DE FACTURACIÓN]])&gt;PROVEEDORES[[#This Row],[PLAZO Días]],"PAGO VENCIDO")</f>
        <v>PAGO VENCIDO</v>
      </c>
      <c r="C217" s="25">
        <f>+VLOOKUP(PROVEEDORES[[#This Row],[PROVEEDOR]],TERCEROS_INFO[#All],2,FALSE)</f>
        <v>30</v>
      </c>
      <c r="D217" s="30">
        <f>+SUMIFS(PROVEEDORES[Total],PROVEEDORES[PROVEEDOR],PROVEEDORES[[#This Row],[PROVEEDOR]],PROVEEDORES[FECHA DE PAGO],"")</f>
        <v>6482443.1751999995</v>
      </c>
      <c r="E217" s="30"/>
      <c r="F217" s="73" t="str">
        <f>+VLOOKUP(PROVEEDORES[[#This Row],[PROVEEDOR]],TERCEROS_INFO[[PROVEEDOR]:[CORREO]],5,FALSE)</f>
        <v>angela.navas@hyrdistribuciones.com;girlesa.ruiz@servipilas.com;joriescobar64@gmail.com</v>
      </c>
      <c r="G217" s="111">
        <v>44312</v>
      </c>
      <c r="H217" s="31" t="s">
        <v>18</v>
      </c>
      <c r="I217" s="111">
        <v>44265</v>
      </c>
      <c r="J217" s="48">
        <v>1035528</v>
      </c>
      <c r="K217" s="26">
        <v>500285.04</v>
      </c>
      <c r="L217" s="26"/>
      <c r="M217" s="27">
        <v>95054.157599999991</v>
      </c>
      <c r="N217" s="28"/>
      <c r="O217" s="27">
        <v>0</v>
      </c>
      <c r="P217" s="28">
        <v>0</v>
      </c>
      <c r="Q217" s="27">
        <v>0</v>
      </c>
      <c r="R217" s="26">
        <v>595339.19759999996</v>
      </c>
      <c r="S217" s="115">
        <f ca="1">IF(PROVEEDORES[[#This Row],[FECHA DE PAGO]]=0,TODAY()-PROVEEDORES[[#This Row],[FECHA DE FACTURACIÓN]]-PROVEEDORES[[#This Row],[PLAZO Días]],0)</f>
        <v>0</v>
      </c>
      <c r="T2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8" spans="1:20" ht="21.9" customHeight="1" x14ac:dyDescent="0.3">
      <c r="A218" s="113" t="str">
        <f>+IF(PROVEEDORES[[#This Row],[FECHA DE PAGO]]=PROVEEDORES[[#This Row],[FECHA DE FACTURACIÓN]],"DE CONTADO","CRÉDITO")</f>
        <v>CRÉDITO</v>
      </c>
      <c r="B218" s="51" t="str">
        <f>+IF((PROVEEDORES[[#This Row],[FECHA DE PAGO]]-PROVEEDORES[[#This Row],[FECHA DE FACTURACIÓN]])&gt;PROVEEDORES[[#This Row],[PLAZO Días]],"PAGO VENCIDO")</f>
        <v>PAGO VENCIDO</v>
      </c>
      <c r="C218" s="25">
        <f>+VLOOKUP(PROVEEDORES[[#This Row],[PROVEEDOR]],TERCEROS_INFO[#All],2,FALSE)</f>
        <v>30</v>
      </c>
      <c r="D218" s="30">
        <f>+SUMIFS(PROVEEDORES[Total],PROVEEDORES[PROVEEDOR],PROVEEDORES[[#This Row],[PROVEEDOR]],PROVEEDORES[FECHA DE PAGO],"")</f>
        <v>3400186.8245000001</v>
      </c>
      <c r="E218" s="30"/>
      <c r="F218" s="73" t="str">
        <f>+VLOOKUP(PROVEEDORES[[#This Row],[PROVEEDOR]],TERCEROS_INFO[[PROVEEDOR]:[CORREO]],5,FALSE)</f>
        <v>contabilidad@amgimportadora.com;mcastellanos@amgimportadora.com;girlesa.ruiz@servipilas.com;joriescobar64@gmail.com</v>
      </c>
      <c r="G218" s="111">
        <v>44335</v>
      </c>
      <c r="H218" s="31" t="s">
        <v>20</v>
      </c>
      <c r="I218" s="111">
        <v>44265</v>
      </c>
      <c r="J218" s="48">
        <v>3556</v>
      </c>
      <c r="K218" s="26">
        <v>1098280</v>
      </c>
      <c r="L218" s="26"/>
      <c r="M218" s="27">
        <v>208673.2</v>
      </c>
      <c r="N218" s="28"/>
      <c r="O218" s="27">
        <v>0</v>
      </c>
      <c r="P218" s="28">
        <v>2.5000000000000001E-2</v>
      </c>
      <c r="Q218" s="27">
        <v>27457</v>
      </c>
      <c r="R218" s="26">
        <v>1279496.2</v>
      </c>
      <c r="S218" s="115">
        <f ca="1">IF(PROVEEDORES[[#This Row],[FECHA DE PAGO]]=0,TODAY()-PROVEEDORES[[#This Row],[FECHA DE FACTURACIÓN]]-PROVEEDORES[[#This Row],[PLAZO Días]],0)</f>
        <v>0</v>
      </c>
      <c r="T2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19" spans="1:20" ht="21.9" customHeight="1" x14ac:dyDescent="0.3">
      <c r="A219" s="113" t="str">
        <f>+IF(PROVEEDORES[[#This Row],[FECHA DE PAGO]]=PROVEEDORES[[#This Row],[FECHA DE FACTURACIÓN]],"DE CONTADO","CRÉDITO")</f>
        <v>CRÉDITO</v>
      </c>
      <c r="B219" s="51" t="str">
        <f>+IF((PROVEEDORES[[#This Row],[FECHA DE PAGO]]-PROVEEDORES[[#This Row],[FECHA DE FACTURACIÓN]])&gt;PROVEEDORES[[#This Row],[PLAZO Días]],"PAGO VENCIDO")</f>
        <v>PAGO VENCIDO</v>
      </c>
      <c r="C219" s="25">
        <f>+VLOOKUP(PROVEEDORES[[#This Row],[PROVEEDOR]],TERCEROS_INFO[#All],2,FALSE)</f>
        <v>90</v>
      </c>
      <c r="D219" s="30">
        <f>+SUMIFS(PROVEEDORES[Total],PROVEEDORES[PROVEEDOR],PROVEEDORES[[#This Row],[PROVEEDOR]],PROVEEDORES[FECHA DE PAGO],"")</f>
        <v>26364243.66155</v>
      </c>
      <c r="E219" s="30"/>
      <c r="F219" s="73" t="str">
        <f>+VLOOKUP(PROVEEDORES[[#This Row],[PROVEEDOR]],TERCEROS_INFO[[PROVEEDOR]:[CORREO]],5,FALSE)</f>
        <v>javiergomez_72@hotmail.com ;girlesa.ruiz@servipilas.com;joriescobar64@gmail.com</v>
      </c>
      <c r="G219" s="111">
        <v>44376</v>
      </c>
      <c r="H219" s="31" t="s">
        <v>12</v>
      </c>
      <c r="I219" s="111">
        <v>44265</v>
      </c>
      <c r="J219" s="48" t="s">
        <v>254</v>
      </c>
      <c r="K219" s="26">
        <v>1928572</v>
      </c>
      <c r="L219" s="26"/>
      <c r="M219" s="27">
        <v>366428.68</v>
      </c>
      <c r="N219" s="28"/>
      <c r="O219" s="27">
        <v>0</v>
      </c>
      <c r="P219" s="28">
        <v>2.5000000000000001E-2</v>
      </c>
      <c r="Q219" s="27">
        <v>48214.3</v>
      </c>
      <c r="R219" s="26">
        <v>2246786.3800000004</v>
      </c>
      <c r="S219" s="115">
        <f ca="1">IF(PROVEEDORES[[#This Row],[FECHA DE PAGO]]=0,TODAY()-PROVEEDORES[[#This Row],[FECHA DE FACTURACIÓN]]-PROVEEDORES[[#This Row],[PLAZO Días]],0)</f>
        <v>0</v>
      </c>
      <c r="T2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0" spans="1:20" ht="21.9" customHeight="1" x14ac:dyDescent="0.3">
      <c r="A220" s="113" t="str">
        <f>+IF(PROVEEDORES[[#This Row],[FECHA DE PAGO]]=PROVEEDORES[[#This Row],[FECHA DE FACTURACIÓN]],"DE CONTADO","CRÉDITO")</f>
        <v>CRÉDITO</v>
      </c>
      <c r="B220" s="51" t="b">
        <f>+IF((PROVEEDORES[[#This Row],[FECHA DE PAGO]]-PROVEEDORES[[#This Row],[FECHA DE FACTURACIÓN]])&gt;PROVEEDORES[[#This Row],[PLAZO Días]],"PAGO VENCIDO")</f>
        <v>0</v>
      </c>
      <c r="C220" s="25">
        <f>+VLOOKUP(PROVEEDORES[[#This Row],[PROVEEDOR]],TERCEROS_INFO[#All],2,FALSE)</f>
        <v>10</v>
      </c>
      <c r="D220" s="30">
        <f>+SUMIFS(PROVEEDORES[Total],PROVEEDORES[PROVEEDOR],PROVEEDORES[[#This Row],[PROVEEDOR]],PROVEEDORES[FECHA DE PAGO],"")</f>
        <v>0</v>
      </c>
      <c r="E220" s="30"/>
      <c r="F220" s="73" t="str">
        <f>+VLOOKUP(PROVEEDORES[[#This Row],[PROVEEDOR]],TERCEROS_INFO[[PROVEEDOR]:[CORREO]],5,FALSE)</f>
        <v/>
      </c>
      <c r="G220" s="111">
        <v>44270</v>
      </c>
      <c r="H220" s="31" t="s">
        <v>23</v>
      </c>
      <c r="I220" s="111">
        <v>44265</v>
      </c>
      <c r="J220" s="48">
        <v>280663</v>
      </c>
      <c r="K220" s="26">
        <v>7538400</v>
      </c>
      <c r="L220" s="26"/>
      <c r="M220" s="27">
        <v>0</v>
      </c>
      <c r="N220" s="28"/>
      <c r="O220" s="27">
        <v>0</v>
      </c>
      <c r="P220" s="28">
        <v>0</v>
      </c>
      <c r="Q220" s="27">
        <v>0</v>
      </c>
      <c r="R220" s="26">
        <v>7538400</v>
      </c>
      <c r="S220" s="115">
        <f ca="1">IF(PROVEEDORES[[#This Row],[FECHA DE PAGO]]=0,TODAY()-PROVEEDORES[[#This Row],[FECHA DE FACTURACIÓN]]-PROVEEDORES[[#This Row],[PLAZO Días]],0)</f>
        <v>0</v>
      </c>
      <c r="T2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1" spans="1:20" ht="21.9" customHeight="1" x14ac:dyDescent="0.3">
      <c r="A221" s="113" t="str">
        <f>+IF(PROVEEDORES[[#This Row],[FECHA DE PAGO]]=PROVEEDORES[[#This Row],[FECHA DE FACTURACIÓN]],"DE CONTADO","CRÉDITO")</f>
        <v>CRÉDITO</v>
      </c>
      <c r="B221" s="51" t="str">
        <f>+IF((PROVEEDORES[[#This Row],[FECHA DE PAGO]]-PROVEEDORES[[#This Row],[FECHA DE FACTURACIÓN]])&gt;PROVEEDORES[[#This Row],[PLAZO Días]],"PAGO VENCIDO")</f>
        <v>PAGO VENCIDO</v>
      </c>
      <c r="C221" s="25">
        <f>+VLOOKUP(PROVEEDORES[[#This Row],[PROVEEDOR]],TERCEROS_INFO[#All],2,FALSE)</f>
        <v>30</v>
      </c>
      <c r="D221" s="30">
        <f>+SUMIFS(PROVEEDORES[Total],PROVEEDORES[PROVEEDOR],PROVEEDORES[[#This Row],[PROVEEDOR]],PROVEEDORES[FECHA DE PAGO],"")</f>
        <v>3406</v>
      </c>
      <c r="E221" s="30"/>
      <c r="F221" s="73" t="str">
        <f>+VLOOKUP(PROVEEDORES[[#This Row],[PROVEEDOR]],TERCEROS_INFO[[PROVEEDOR]:[CORREO]],5,FALSE)</f>
        <v>ventas@ismartsas.com;girlesa.ruiz@servipilas.com;joriescobar64@gmail.com</v>
      </c>
      <c r="G221" s="111">
        <v>44298</v>
      </c>
      <c r="H221" s="31" t="s">
        <v>48</v>
      </c>
      <c r="I221" s="111">
        <v>44267</v>
      </c>
      <c r="J221" s="48" t="s">
        <v>248</v>
      </c>
      <c r="K221" s="26">
        <v>-60000</v>
      </c>
      <c r="L221" s="26"/>
      <c r="M221" s="27">
        <v>-11400</v>
      </c>
      <c r="N221" s="28"/>
      <c r="O221" s="27">
        <v>0</v>
      </c>
      <c r="P221" s="28">
        <v>0</v>
      </c>
      <c r="Q221" s="27">
        <v>0</v>
      </c>
      <c r="R221" s="26">
        <v>-71400</v>
      </c>
      <c r="S221" s="115">
        <f ca="1">IF(PROVEEDORES[[#This Row],[FECHA DE PAGO]]=0,TODAY()-PROVEEDORES[[#This Row],[FECHA DE FACTURACIÓN]]-PROVEEDORES[[#This Row],[PLAZO Días]],0)</f>
        <v>0</v>
      </c>
      <c r="T2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2" spans="1:20" ht="21.9" customHeight="1" x14ac:dyDescent="0.3">
      <c r="A222" s="113" t="str">
        <f>+IF(PROVEEDORES[[#This Row],[FECHA DE PAGO]]=PROVEEDORES[[#This Row],[FECHA DE FACTURACIÓN]],"DE CONTADO","CRÉDITO")</f>
        <v>CRÉDITO</v>
      </c>
      <c r="B222" s="51" t="str">
        <f>+IF((PROVEEDORES[[#This Row],[FECHA DE PAGO]]-PROVEEDORES[[#This Row],[FECHA DE FACTURACIÓN]])&gt;PROVEEDORES[[#This Row],[PLAZO Días]],"PAGO VENCIDO")</f>
        <v>PAGO VENCIDO</v>
      </c>
      <c r="C222" s="25">
        <f>+VLOOKUP(PROVEEDORES[[#This Row],[PROVEEDOR]],TERCEROS_INFO[#All],2,FALSE)</f>
        <v>45</v>
      </c>
      <c r="D222" s="30">
        <f>+SUMIFS(PROVEEDORES[Total],PROVEEDORES[PROVEEDOR],PROVEEDORES[[#This Row],[PROVEEDOR]],PROVEEDORES[FECHA DE PAGO],"")</f>
        <v>1070024.2</v>
      </c>
      <c r="E222" s="30"/>
      <c r="F222" s="73" t="str">
        <f>+VLOOKUP(PROVEEDORES[[#This Row],[PROVEEDOR]],TERCEROS_INFO[[PROVEEDOR]:[CORREO]],5,FALSE)</f>
        <v>libardopineda@tronex.com;girlesa.ruiz@servipilas.com;joriescobar64@gmail.com</v>
      </c>
      <c r="G222" s="111">
        <v>44342</v>
      </c>
      <c r="H222" s="31" t="s">
        <v>10</v>
      </c>
      <c r="I222" s="111">
        <v>44270</v>
      </c>
      <c r="J222" s="48" t="s">
        <v>250</v>
      </c>
      <c r="K222" s="26">
        <v>1386000</v>
      </c>
      <c r="L222" s="26"/>
      <c r="M222" s="27">
        <v>263340</v>
      </c>
      <c r="N222" s="28"/>
      <c r="O222" s="27">
        <v>0</v>
      </c>
      <c r="P222" s="28">
        <v>0</v>
      </c>
      <c r="Q222" s="27">
        <v>0</v>
      </c>
      <c r="R222" s="26">
        <v>1649340</v>
      </c>
      <c r="S222" s="115">
        <f ca="1">IF(PROVEEDORES[[#This Row],[FECHA DE PAGO]]=0,TODAY()-PROVEEDORES[[#This Row],[FECHA DE FACTURACIÓN]]-PROVEEDORES[[#This Row],[PLAZO Días]],0)</f>
        <v>0</v>
      </c>
      <c r="T2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3" spans="1:20" ht="21.9" customHeight="1" x14ac:dyDescent="0.3">
      <c r="A223" s="113" t="str">
        <f>+IF(PROVEEDORES[[#This Row],[FECHA DE PAGO]]=PROVEEDORES[[#This Row],[FECHA DE FACTURACIÓN]],"DE CONTADO","CRÉDITO")</f>
        <v>CRÉDITO</v>
      </c>
      <c r="B223" s="51" t="str">
        <f>+IF((PROVEEDORES[[#This Row],[FECHA DE PAGO]]-PROVEEDORES[[#This Row],[FECHA DE FACTURACIÓN]])&gt;PROVEEDORES[[#This Row],[PLAZO Días]],"PAGO VENCIDO")</f>
        <v>PAGO VENCIDO</v>
      </c>
      <c r="C223" s="25">
        <f>+VLOOKUP(PROVEEDORES[[#This Row],[PROVEEDOR]],TERCEROS_INFO[#All],2,FALSE)</f>
        <v>45</v>
      </c>
      <c r="D223" s="30">
        <f>+SUMIFS(PROVEEDORES[Total],PROVEEDORES[PROVEEDOR],PROVEEDORES[[#This Row],[PROVEEDOR]],PROVEEDORES[FECHA DE PAGO],"")</f>
        <v>17760678.600000001</v>
      </c>
      <c r="E223" s="30"/>
      <c r="F223" s="73" t="str">
        <f>+VLOOKUP(PROVEEDORES[[#This Row],[PROVEEDOR]],TERCEROS_INFO[[PROVEEDOR]:[CORREO]],5,FALSE)</f>
        <v>zully.florez@powest.com;girlesa.ruiz@servipilas.com;joriescobar64@gmail.com</v>
      </c>
      <c r="G223" s="111">
        <v>44343</v>
      </c>
      <c r="H223" s="31" t="s">
        <v>19</v>
      </c>
      <c r="I223" s="111">
        <v>44270</v>
      </c>
      <c r="J223" s="48" t="s">
        <v>253</v>
      </c>
      <c r="K223" s="26">
        <v>4154835</v>
      </c>
      <c r="L223" s="26"/>
      <c r="M223" s="27">
        <v>789418.65</v>
      </c>
      <c r="N223" s="28"/>
      <c r="O223" s="27">
        <v>0</v>
      </c>
      <c r="P223" s="28">
        <v>0</v>
      </c>
      <c r="Q223" s="27">
        <v>0</v>
      </c>
      <c r="R223" s="26">
        <v>4944253.6500000004</v>
      </c>
      <c r="S223" s="115">
        <f ca="1">IF(PROVEEDORES[[#This Row],[FECHA DE PAGO]]=0,TODAY()-PROVEEDORES[[#This Row],[FECHA DE FACTURACIÓN]]-PROVEEDORES[[#This Row],[PLAZO Días]],0)</f>
        <v>0</v>
      </c>
      <c r="T2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4" spans="1:20" ht="21.9" customHeight="1" x14ac:dyDescent="0.3">
      <c r="A224" s="113" t="str">
        <f>+IF(PROVEEDORES[[#This Row],[FECHA DE PAGO]]=PROVEEDORES[[#This Row],[FECHA DE FACTURACIÓN]],"DE CONTADO","CRÉDITO")</f>
        <v>CRÉDITO</v>
      </c>
      <c r="B224" s="51" t="b">
        <f>+IF((PROVEEDORES[[#This Row],[FECHA DE PAGO]]-PROVEEDORES[[#This Row],[FECHA DE FACTURACIÓN]])&gt;PROVEEDORES[[#This Row],[PLAZO Días]],"PAGO VENCIDO")</f>
        <v>0</v>
      </c>
      <c r="C224" s="25">
        <f>+VLOOKUP(PROVEEDORES[[#This Row],[PROVEEDOR]],TERCEROS_INFO[#All],2,FALSE)</f>
        <v>30</v>
      </c>
      <c r="D224" s="30">
        <f>+SUMIFS(PROVEEDORES[Total],PROVEEDORES[PROVEEDOR],PROVEEDORES[[#This Row],[PROVEEDOR]],PROVEEDORES[FECHA DE PAGO],"")</f>
        <v>0</v>
      </c>
      <c r="E224" s="30"/>
      <c r="F224" s="73" t="str">
        <f>+VLOOKUP(PROVEEDORES[[#This Row],[PROVEEDOR]],TERCEROS_INFO[[PROVEEDOR]:[CORREO]],5,FALSE)</f>
        <v>vromero@flashinternational.us;girlesa.ruiz@servipilas.com;joriescobar64@gmail.com</v>
      </c>
      <c r="G224" s="111">
        <v>44286</v>
      </c>
      <c r="H224" s="31" t="s">
        <v>144</v>
      </c>
      <c r="I224" s="111">
        <v>44271</v>
      </c>
      <c r="J224" s="48">
        <v>9838</v>
      </c>
      <c r="K224" s="26">
        <v>126000</v>
      </c>
      <c r="L224" s="26"/>
      <c r="M224" s="27">
        <v>0</v>
      </c>
      <c r="N224" s="28"/>
      <c r="O224" s="27">
        <v>0</v>
      </c>
      <c r="P224" s="28">
        <v>0</v>
      </c>
      <c r="Q224" s="27">
        <v>0</v>
      </c>
      <c r="R224" s="26">
        <v>126000</v>
      </c>
      <c r="S224" s="115">
        <f ca="1">IF(PROVEEDORES[[#This Row],[FECHA DE PAGO]]=0,TODAY()-PROVEEDORES[[#This Row],[FECHA DE FACTURACIÓN]]-PROVEEDORES[[#This Row],[PLAZO Días]],0)</f>
        <v>0</v>
      </c>
      <c r="T2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5" spans="1:20" ht="21.9" customHeight="1" x14ac:dyDescent="0.3">
      <c r="A225" s="113" t="str">
        <f>+IF(PROVEEDORES[[#This Row],[FECHA DE PAGO]]=PROVEEDORES[[#This Row],[FECHA DE FACTURACIÓN]],"DE CONTADO","CRÉDITO")</f>
        <v>CRÉDITO</v>
      </c>
      <c r="B225" s="51" t="b">
        <f>+IF((PROVEEDORES[[#This Row],[FECHA DE PAGO]]-PROVEEDORES[[#This Row],[FECHA DE FACTURACIÓN]])&gt;PROVEEDORES[[#This Row],[PLAZO Días]],"PAGO VENCIDO")</f>
        <v>0</v>
      </c>
      <c r="C225" s="25">
        <f>+VLOOKUP(PROVEEDORES[[#This Row],[PROVEEDOR]],TERCEROS_INFO[#All],2,FALSE)</f>
        <v>30</v>
      </c>
      <c r="D225" s="30">
        <f>+SUMIFS(PROVEEDORES[Total],PROVEEDORES[PROVEEDOR],PROVEEDORES[[#This Row],[PROVEEDOR]],PROVEEDORES[FECHA DE PAGO],"")</f>
        <v>0</v>
      </c>
      <c r="E225" s="30"/>
      <c r="F225" s="73" t="str">
        <f>+VLOOKUP(PROVEEDORES[[#This Row],[PROVEEDOR]],TERCEROS_INFO[[PROVEEDOR]:[CORREO]],5,FALSE)</f>
        <v>vromero@flashinternational.us;girlesa.ruiz@servipilas.com;joriescobar64@gmail.com</v>
      </c>
      <c r="G225" s="111">
        <v>44272</v>
      </c>
      <c r="H225" s="31" t="s">
        <v>60</v>
      </c>
      <c r="I225" s="111">
        <v>44271</v>
      </c>
      <c r="J225" s="48">
        <v>9839</v>
      </c>
      <c r="K225" s="26">
        <v>1944000</v>
      </c>
      <c r="L225" s="26"/>
      <c r="M225" s="27">
        <v>0</v>
      </c>
      <c r="N225" s="28"/>
      <c r="O225" s="27">
        <v>0</v>
      </c>
      <c r="P225" s="28">
        <v>0</v>
      </c>
      <c r="Q225" s="27">
        <v>0</v>
      </c>
      <c r="R225" s="26">
        <v>1944000</v>
      </c>
      <c r="S225" s="115">
        <f ca="1">IF(PROVEEDORES[[#This Row],[FECHA DE PAGO]]=0,TODAY()-PROVEEDORES[[#This Row],[FECHA DE FACTURACIÓN]]-PROVEEDORES[[#This Row],[PLAZO Días]],0)</f>
        <v>0</v>
      </c>
      <c r="T22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6" spans="1:20" ht="21.9" customHeight="1" x14ac:dyDescent="0.3">
      <c r="A226" s="113" t="str">
        <f>+IF(PROVEEDORES[[#This Row],[FECHA DE PAGO]]=PROVEEDORES[[#This Row],[FECHA DE FACTURACIÓN]],"DE CONTADO","CRÉDITO")</f>
        <v>DE CONTADO</v>
      </c>
      <c r="B226" s="51" t="b">
        <f>+IF((PROVEEDORES[[#This Row],[FECHA DE PAGO]]-PROVEEDORES[[#This Row],[FECHA DE FACTURACIÓN]])&gt;PROVEEDORES[[#This Row],[PLAZO Días]],"PAGO VENCIDO")</f>
        <v>0</v>
      </c>
      <c r="C226" s="25">
        <f>+VLOOKUP(PROVEEDORES[[#This Row],[PROVEEDOR]],TERCEROS_INFO[#All],2,FALSE)</f>
        <v>30</v>
      </c>
      <c r="D226" s="30">
        <f>+SUMIFS(PROVEEDORES[Total],PROVEEDORES[PROVEEDOR],PROVEEDORES[[#This Row],[PROVEEDOR]],PROVEEDORES[FECHA DE PAGO],"")</f>
        <v>0</v>
      </c>
      <c r="E226" s="30"/>
      <c r="F226" s="73" t="str">
        <f>+VLOOKUP(PROVEEDORES[[#This Row],[PROVEEDOR]],TERCEROS_INFO[[PROVEEDOR]:[CORREO]],5,FALSE)</f>
        <v/>
      </c>
      <c r="G226" s="111">
        <v>44271</v>
      </c>
      <c r="H226" s="31" t="s">
        <v>1052</v>
      </c>
      <c r="I226" s="111">
        <v>44271</v>
      </c>
      <c r="J226" s="48"/>
      <c r="K226" s="26">
        <v>2000000</v>
      </c>
      <c r="L226" s="26"/>
      <c r="M226" s="27">
        <v>0</v>
      </c>
      <c r="N226" s="28"/>
      <c r="O226" s="27">
        <v>0</v>
      </c>
      <c r="P226" s="28">
        <v>0</v>
      </c>
      <c r="Q226" s="27">
        <v>0</v>
      </c>
      <c r="R226" s="26">
        <v>2000000</v>
      </c>
      <c r="S226" s="115">
        <f ca="1">IF(PROVEEDORES[[#This Row],[FECHA DE PAGO]]=0,TODAY()-PROVEEDORES[[#This Row],[FECHA DE FACTURACIÓN]]-PROVEEDORES[[#This Row],[PLAZO Días]],0)</f>
        <v>0</v>
      </c>
      <c r="T22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7" spans="1:20" ht="21.9" customHeight="1" x14ac:dyDescent="0.3">
      <c r="A227" s="113" t="str">
        <f>+IF(PROVEEDORES[[#This Row],[FECHA DE PAGO]]=PROVEEDORES[[#This Row],[FECHA DE FACTURACIÓN]],"DE CONTADO","CRÉDITO")</f>
        <v>CRÉDITO</v>
      </c>
      <c r="B227" s="51" t="b">
        <f>+IF((PROVEEDORES[[#This Row],[FECHA DE PAGO]]-PROVEEDORES[[#This Row],[FECHA DE FACTURACIÓN]])&gt;PROVEEDORES[[#This Row],[PLAZO Días]],"PAGO VENCIDO")</f>
        <v>0</v>
      </c>
      <c r="C227" s="25">
        <f>+VLOOKUP(PROVEEDORES[[#This Row],[PROVEEDOR]],TERCEROS_INFO[#All],2,FALSE)</f>
        <v>30</v>
      </c>
      <c r="D227" s="30">
        <f>+SUMIFS(PROVEEDORES[Total],PROVEEDORES[PROVEEDOR],PROVEEDORES[[#This Row],[PROVEEDOR]],PROVEEDORES[FECHA DE PAGO],"")</f>
        <v>0</v>
      </c>
      <c r="E227" s="30"/>
      <c r="F227" s="73" t="str">
        <f>+VLOOKUP(PROVEEDORES[[#This Row],[PROVEEDOR]],TERCEROS_INFO[[PROVEEDOR]:[CORREO]],5,FALSE)</f>
        <v>CARLOSARCILAMENSAJERIA@gmail.com;girlesa.ruiz@servipilas.com;joriescobar64@gmail.com</v>
      </c>
      <c r="G227" s="111">
        <v>44279</v>
      </c>
      <c r="H227" s="31" t="s">
        <v>1046</v>
      </c>
      <c r="I227" s="111">
        <v>44273</v>
      </c>
      <c r="J227" s="48">
        <v>270</v>
      </c>
      <c r="K227" s="26">
        <v>192000</v>
      </c>
      <c r="L227" s="26"/>
      <c r="M227" s="27">
        <v>0</v>
      </c>
      <c r="N227" s="28"/>
      <c r="O227" s="27">
        <v>0</v>
      </c>
      <c r="P227" s="28">
        <v>0</v>
      </c>
      <c r="Q227" s="27">
        <v>0</v>
      </c>
      <c r="R227" s="26">
        <v>192000</v>
      </c>
      <c r="S227" s="115">
        <f ca="1">IF(PROVEEDORES[[#This Row],[FECHA DE PAGO]]=0,TODAY()-PROVEEDORES[[#This Row],[FECHA DE FACTURACIÓN]]-PROVEEDORES[[#This Row],[PLAZO Días]],0)</f>
        <v>0</v>
      </c>
      <c r="T2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8" spans="1:20" ht="21.9" customHeight="1" x14ac:dyDescent="0.3">
      <c r="A228" s="113" t="str">
        <f>+IF(PROVEEDORES[[#This Row],[FECHA DE PAGO]]=PROVEEDORES[[#This Row],[FECHA DE FACTURACIÓN]],"DE CONTADO","CRÉDITO")</f>
        <v>CRÉDITO</v>
      </c>
      <c r="B228" s="51" t="b">
        <f>+IF((PROVEEDORES[[#This Row],[FECHA DE PAGO]]-PROVEEDORES[[#This Row],[FECHA DE FACTURACIÓN]])&gt;PROVEEDORES[[#This Row],[PLAZO Días]],"PAGO VENCIDO")</f>
        <v>0</v>
      </c>
      <c r="C228" s="25">
        <f>+VLOOKUP(PROVEEDORES[[#This Row],[PROVEEDOR]],TERCEROS_INFO[#All],2,FALSE)</f>
        <v>30</v>
      </c>
      <c r="D228" s="30">
        <f>+SUMIFS(PROVEEDORES[Total],PROVEEDORES[PROVEEDOR],PROVEEDORES[[#This Row],[PROVEEDOR]],PROVEEDORES[FECHA DE PAGO],"")</f>
        <v>0</v>
      </c>
      <c r="E228" s="30"/>
      <c r="F228" s="73" t="str">
        <f>+VLOOKUP(PROVEEDORES[[#This Row],[PROVEEDOR]],TERCEROS_INFO[[PROVEEDOR]:[CORREO]],5,FALSE)</f>
        <v>CARLOSARCILAMENSAJERIA@gmail.com;girlesa.ruiz@servipilas.com;joriescobar64@gmail.com</v>
      </c>
      <c r="G228" s="111">
        <v>44279</v>
      </c>
      <c r="H228" s="31" t="s">
        <v>143</v>
      </c>
      <c r="I228" s="111">
        <v>44273</v>
      </c>
      <c r="J228" s="48">
        <v>78</v>
      </c>
      <c r="K228" s="26">
        <v>396000</v>
      </c>
      <c r="L228" s="26"/>
      <c r="M228" s="27">
        <v>75240</v>
      </c>
      <c r="N228" s="28"/>
      <c r="O228" s="27">
        <v>0</v>
      </c>
      <c r="P228" s="28">
        <v>0.01</v>
      </c>
      <c r="Q228" s="27">
        <v>3960</v>
      </c>
      <c r="R228" s="26">
        <v>467280</v>
      </c>
      <c r="S228" s="115">
        <f ca="1">IF(PROVEEDORES[[#This Row],[FECHA DE PAGO]]=0,TODAY()-PROVEEDORES[[#This Row],[FECHA DE FACTURACIÓN]]-PROVEEDORES[[#This Row],[PLAZO Días]],0)</f>
        <v>0</v>
      </c>
      <c r="T22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29" spans="1:20" ht="21.9" customHeight="1" x14ac:dyDescent="0.3">
      <c r="A229" s="113" t="str">
        <f>+IF(PROVEEDORES[[#This Row],[FECHA DE PAGO]]=PROVEEDORES[[#This Row],[FECHA DE FACTURACIÓN]],"DE CONTADO","CRÉDITO")</f>
        <v>CRÉDITO</v>
      </c>
      <c r="B229" s="51" t="str">
        <f>+IF((PROVEEDORES[[#This Row],[FECHA DE PAGO]]-PROVEEDORES[[#This Row],[FECHA DE FACTURACIÓN]])&gt;PROVEEDORES[[#This Row],[PLAZO Días]],"PAGO VENCIDO")</f>
        <v>PAGO VENCIDO</v>
      </c>
      <c r="C229" s="25">
        <f>+VLOOKUP(PROVEEDORES[[#This Row],[PROVEEDOR]],TERCEROS_INFO[#All],2,FALSE)</f>
        <v>30</v>
      </c>
      <c r="D229" s="30">
        <f>+SUMIFS(PROVEEDORES[Total],PROVEEDORES[PROVEEDOR],PROVEEDORES[[#This Row],[PROVEEDOR]],PROVEEDORES[FECHA DE PAGO],"")</f>
        <v>10764600</v>
      </c>
      <c r="E229" s="30"/>
      <c r="F229" s="73" t="str">
        <f>+VLOOKUP(PROVEEDORES[[#This Row],[PROVEEDOR]],TERCEROS_INFO[[PROVEEDOR]:[CORREO]],5,FALSE)</f>
        <v>apresupuesto@widexcolombia.com;girlesa.ruiz@servipilas.com;joriescobar64@gmail.com</v>
      </c>
      <c r="G229" s="111">
        <v>44319</v>
      </c>
      <c r="H229" s="31" t="s">
        <v>11</v>
      </c>
      <c r="I229" s="111">
        <v>44273</v>
      </c>
      <c r="J229" s="48" t="s">
        <v>252</v>
      </c>
      <c r="K229" s="26">
        <v>1980000</v>
      </c>
      <c r="L229" s="26"/>
      <c r="M229" s="27">
        <v>376200</v>
      </c>
      <c r="N229" s="28"/>
      <c r="O229" s="27">
        <v>0</v>
      </c>
      <c r="P229" s="28">
        <v>2.5000000000000001E-2</v>
      </c>
      <c r="Q229" s="27">
        <v>49500</v>
      </c>
      <c r="R229" s="26">
        <v>2306700</v>
      </c>
      <c r="S229" s="115">
        <f ca="1">IF(PROVEEDORES[[#This Row],[FECHA DE PAGO]]=0,TODAY()-PROVEEDORES[[#This Row],[FECHA DE FACTURACIÓN]]-PROVEEDORES[[#This Row],[PLAZO Días]],0)</f>
        <v>0</v>
      </c>
      <c r="T22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0" spans="1:20" ht="21.9" customHeight="1" x14ac:dyDescent="0.3">
      <c r="A230" s="113" t="str">
        <f>+IF(PROVEEDORES[[#This Row],[FECHA DE PAGO]]=PROVEEDORES[[#This Row],[FECHA DE FACTURACIÓN]],"DE CONTADO","CRÉDITO")</f>
        <v>CRÉDITO</v>
      </c>
      <c r="B230" s="51" t="str">
        <f>+IF((PROVEEDORES[[#This Row],[FECHA DE PAGO]]-PROVEEDORES[[#This Row],[FECHA DE FACTURACIÓN]])&gt;PROVEEDORES[[#This Row],[PLAZO Días]],"PAGO VENCIDO")</f>
        <v>PAGO VENCIDO</v>
      </c>
      <c r="C230" s="25">
        <f>+VLOOKUP(PROVEEDORES[[#This Row],[PROVEEDOR]],TERCEROS_INFO[#All],2,FALSE)</f>
        <v>30</v>
      </c>
      <c r="D230" s="30">
        <f>+SUMIFS(PROVEEDORES[Total],PROVEEDORES[PROVEEDOR],PROVEEDORES[[#This Row],[PROVEEDOR]],PROVEEDORES[FECHA DE PAGO],"")</f>
        <v>1356000</v>
      </c>
      <c r="E230" s="30"/>
      <c r="F230" s="73">
        <f>+VLOOKUP(PROVEEDORES[[#This Row],[PROVEEDOR]],TERCEROS_INFO[[PROVEEDOR]:[CORREO]],5,FALSE)</f>
        <v>0</v>
      </c>
      <c r="G230" s="111">
        <v>44382</v>
      </c>
      <c r="H230" s="31" t="s">
        <v>1021</v>
      </c>
      <c r="I230" s="111">
        <v>44273</v>
      </c>
      <c r="J230" s="48" t="s">
        <v>685</v>
      </c>
      <c r="K230" s="26">
        <v>2668000</v>
      </c>
      <c r="L230" s="26"/>
      <c r="M230" s="27">
        <v>0</v>
      </c>
      <c r="N230" s="28"/>
      <c r="O230" s="27">
        <v>0</v>
      </c>
      <c r="P230" s="28">
        <v>0</v>
      </c>
      <c r="Q230" s="27">
        <v>0</v>
      </c>
      <c r="R230" s="26">
        <v>2668000</v>
      </c>
      <c r="S230" s="115">
        <f ca="1">IF(PROVEEDORES[[#This Row],[FECHA DE PAGO]]=0,TODAY()-PROVEEDORES[[#This Row],[FECHA DE FACTURACIÓN]]-PROVEEDORES[[#This Row],[PLAZO Días]],0)</f>
        <v>0</v>
      </c>
      <c r="T23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1" spans="1:20" ht="21.9" customHeight="1" x14ac:dyDescent="0.3">
      <c r="A231" s="113" t="str">
        <f>+IF(PROVEEDORES[[#This Row],[FECHA DE PAGO]]=PROVEEDORES[[#This Row],[FECHA DE FACTURACIÓN]],"DE CONTADO","CRÉDITO")</f>
        <v>CRÉDITO</v>
      </c>
      <c r="B231" s="51" t="str">
        <f>+IF((PROVEEDORES[[#This Row],[FECHA DE PAGO]]-PROVEEDORES[[#This Row],[FECHA DE FACTURACIÓN]])&gt;PROVEEDORES[[#This Row],[PLAZO Días]],"PAGO VENCIDO")</f>
        <v>PAGO VENCIDO</v>
      </c>
      <c r="C231" s="25">
        <f>+VLOOKUP(PROVEEDORES[[#This Row],[PROVEEDOR]],TERCEROS_INFO[#All],2,FALSE)</f>
        <v>45</v>
      </c>
      <c r="D231" s="30">
        <f>+SUMIFS(PROVEEDORES[Total],PROVEEDORES[PROVEEDOR],PROVEEDORES[[#This Row],[PROVEEDOR]],PROVEEDORES[FECHA DE PAGO],"")</f>
        <v>1070024.2</v>
      </c>
      <c r="E231" s="30"/>
      <c r="F231" s="73" t="str">
        <f>+VLOOKUP(PROVEEDORES[[#This Row],[PROVEEDOR]],TERCEROS_INFO[[PROVEEDOR]:[CORREO]],5,FALSE)</f>
        <v>libardopineda@tronex.com;girlesa.ruiz@servipilas.com;joriescobar64@gmail.com</v>
      </c>
      <c r="G231" s="111">
        <v>44351</v>
      </c>
      <c r="H231" s="31" t="s">
        <v>10</v>
      </c>
      <c r="I231" s="111">
        <v>44273</v>
      </c>
      <c r="J231" s="48" t="s">
        <v>251</v>
      </c>
      <c r="K231" s="26">
        <v>3460000</v>
      </c>
      <c r="L231" s="26"/>
      <c r="M231" s="27">
        <v>657400</v>
      </c>
      <c r="N231" s="28"/>
      <c r="O231" s="27">
        <v>0</v>
      </c>
      <c r="P231" s="28">
        <v>0</v>
      </c>
      <c r="Q231" s="27">
        <v>0</v>
      </c>
      <c r="R231" s="26">
        <v>4117400</v>
      </c>
      <c r="S231" s="115">
        <f ca="1">IF(PROVEEDORES[[#This Row],[FECHA DE PAGO]]=0,TODAY()-PROVEEDORES[[#This Row],[FECHA DE FACTURACIÓN]]-PROVEEDORES[[#This Row],[PLAZO Días]],0)</f>
        <v>0</v>
      </c>
      <c r="T2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2" spans="1:20" ht="21.9" customHeight="1" x14ac:dyDescent="0.3">
      <c r="A232" s="113" t="str">
        <f>+IF(PROVEEDORES[[#This Row],[FECHA DE PAGO]]=PROVEEDORES[[#This Row],[FECHA DE FACTURACIÓN]],"DE CONTADO","CRÉDITO")</f>
        <v>CRÉDITO</v>
      </c>
      <c r="B232" s="51" t="str">
        <f>+IF((PROVEEDORES[[#This Row],[FECHA DE PAGO]]-PROVEEDORES[[#This Row],[FECHA DE FACTURACIÓN]])&gt;PROVEEDORES[[#This Row],[PLAZO Días]],"PAGO VENCIDO")</f>
        <v>PAGO VENCIDO</v>
      </c>
      <c r="C232" s="25">
        <f>+VLOOKUP(PROVEEDORES[[#This Row],[PROVEEDOR]],TERCEROS_INFO[#All],2,FALSE)</f>
        <v>30</v>
      </c>
      <c r="D232" s="30">
        <f>+SUMIFS(PROVEEDORES[Total],PROVEEDORES[PROVEEDOR],PROVEEDORES[[#This Row],[PROVEEDOR]],PROVEEDORES[FECHA DE PAGO],"")</f>
        <v>2324514.0150000001</v>
      </c>
      <c r="E232" s="30"/>
      <c r="F232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232" s="111">
        <v>44321</v>
      </c>
      <c r="H232" s="31" t="s">
        <v>24</v>
      </c>
      <c r="I232" s="111">
        <v>44273</v>
      </c>
      <c r="J232" s="48" t="s">
        <v>255</v>
      </c>
      <c r="K232" s="26">
        <v>3650562</v>
      </c>
      <c r="L232" s="26"/>
      <c r="M232" s="27">
        <v>693606.78</v>
      </c>
      <c r="N232" s="28"/>
      <c r="O232" s="27">
        <v>0</v>
      </c>
      <c r="P232" s="28">
        <v>2.5000000000000001E-2</v>
      </c>
      <c r="Q232" s="27">
        <v>91264.05</v>
      </c>
      <c r="R232" s="26">
        <v>4252904.7300000004</v>
      </c>
      <c r="S232" s="115">
        <f ca="1">IF(PROVEEDORES[[#This Row],[FECHA DE PAGO]]=0,TODAY()-PROVEEDORES[[#This Row],[FECHA DE FACTURACIÓN]]-PROVEEDORES[[#This Row],[PLAZO Días]],0)</f>
        <v>0</v>
      </c>
      <c r="T2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3" spans="1:20" ht="21.9" customHeight="1" x14ac:dyDescent="0.3">
      <c r="A233" s="113" t="str">
        <f>+IF(PROVEEDORES[[#This Row],[FECHA DE PAGO]]=PROVEEDORES[[#This Row],[FECHA DE FACTURACIÓN]],"DE CONTADO","CRÉDITO")</f>
        <v>CRÉDITO</v>
      </c>
      <c r="B233" s="51" t="str">
        <f>+IF((PROVEEDORES[[#This Row],[FECHA DE PAGO]]-PROVEEDORES[[#This Row],[FECHA DE FACTURACIÓN]])&gt;PROVEEDORES[[#This Row],[PLAZO Días]],"PAGO VENCIDO")</f>
        <v>PAGO VENCIDO</v>
      </c>
      <c r="C233" s="25">
        <f>+VLOOKUP(PROVEEDORES[[#This Row],[PROVEEDOR]],TERCEROS_INFO[#All],2,FALSE)</f>
        <v>30</v>
      </c>
      <c r="D233" s="30">
        <f>+SUMIFS(PROVEEDORES[Total],PROVEEDORES[PROVEEDOR],PROVEEDORES[[#This Row],[PROVEEDOR]],PROVEEDORES[FECHA DE PAGO],"")</f>
        <v>0</v>
      </c>
      <c r="E233" s="30"/>
      <c r="F233" s="73" t="str">
        <f>+VLOOKUP(PROVEEDORES[[#This Row],[PROVEEDOR]],TERCEROS_INFO[[PROVEEDOR]:[CORREO]],5,FALSE)</f>
        <v>Pygimportadora@gmail.com;girlesa.ruiz@servipilas.com;joriescobar64@gmail.com</v>
      </c>
      <c r="G233" s="111">
        <v>44348</v>
      </c>
      <c r="H233" s="31" t="s">
        <v>26</v>
      </c>
      <c r="I233" s="111">
        <v>44274</v>
      </c>
      <c r="J233" s="48" t="s">
        <v>249</v>
      </c>
      <c r="K233" s="26">
        <v>1100000</v>
      </c>
      <c r="L233" s="26"/>
      <c r="M233" s="27">
        <v>209000</v>
      </c>
      <c r="N233" s="28"/>
      <c r="O233" s="27">
        <v>0</v>
      </c>
      <c r="P233" s="28">
        <v>2.5000000000000001E-2</v>
      </c>
      <c r="Q233" s="27">
        <v>27500</v>
      </c>
      <c r="R233" s="26">
        <v>1281500</v>
      </c>
      <c r="S233" s="115">
        <f ca="1">IF(PROVEEDORES[[#This Row],[FECHA DE PAGO]]=0,TODAY()-PROVEEDORES[[#This Row],[FECHA DE FACTURACIÓN]]-PROVEEDORES[[#This Row],[PLAZO Días]],0)</f>
        <v>0</v>
      </c>
      <c r="T2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4" spans="1:20" ht="21.9" customHeight="1" x14ac:dyDescent="0.3">
      <c r="A234" s="113" t="str">
        <f>+IF(PROVEEDORES[[#This Row],[FECHA DE PAGO]]=PROVEEDORES[[#This Row],[FECHA DE FACTURACIÓN]],"DE CONTADO","CRÉDITO")</f>
        <v>CRÉDITO</v>
      </c>
      <c r="B234" s="51" t="str">
        <f>+IF((PROVEEDORES[[#This Row],[FECHA DE PAGO]]-PROVEEDORES[[#This Row],[FECHA DE FACTURACIÓN]])&gt;PROVEEDORES[[#This Row],[PLAZO Días]],"PAGO VENCIDO")</f>
        <v>PAGO VENCIDO</v>
      </c>
      <c r="C234" s="25">
        <f>+VLOOKUP(PROVEEDORES[[#This Row],[PROVEEDOR]],TERCEROS_INFO[#All],2,FALSE)</f>
        <v>30</v>
      </c>
      <c r="D234" s="30">
        <f>+SUMIFS(PROVEEDORES[Total],PROVEEDORES[PROVEEDOR],PROVEEDORES[[#This Row],[PROVEEDOR]],PROVEEDORES[FECHA DE PAGO],"")</f>
        <v>3355018.0749999997</v>
      </c>
      <c r="E234" s="30"/>
      <c r="F234" s="73" t="str">
        <f>+VLOOKUP(PROVEEDORES[[#This Row],[PROVEEDOR]],TERCEROS_INFO[[PROVEEDOR]:[CORREO]],5,FALSE)</f>
        <v>yermingg@hotmail.com;girlesa.ruiz@servipilas.com;joriescobar64@gmail.com</v>
      </c>
      <c r="G234" s="111">
        <v>44348</v>
      </c>
      <c r="H234" s="31" t="s">
        <v>224</v>
      </c>
      <c r="I234" s="111">
        <v>44274</v>
      </c>
      <c r="J234" s="48">
        <v>219</v>
      </c>
      <c r="K234" s="26">
        <v>1477310</v>
      </c>
      <c r="L234" s="26"/>
      <c r="M234" s="27">
        <v>280688.90000000002</v>
      </c>
      <c r="N234" s="28"/>
      <c r="O234" s="27">
        <v>0</v>
      </c>
      <c r="P234" s="28">
        <v>2.5000000000000001E-2</v>
      </c>
      <c r="Q234" s="27">
        <v>36932.75</v>
      </c>
      <c r="R234" s="26">
        <v>1721066.15</v>
      </c>
      <c r="S234" s="115">
        <f ca="1">IF(PROVEEDORES[[#This Row],[FECHA DE PAGO]]=0,TODAY()-PROVEEDORES[[#This Row],[FECHA DE FACTURACIÓN]]-PROVEEDORES[[#This Row],[PLAZO Días]],0)</f>
        <v>0</v>
      </c>
      <c r="T2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5" spans="1:20" ht="21.9" customHeight="1" x14ac:dyDescent="0.3">
      <c r="A235" s="113" t="str">
        <f>+IF(PROVEEDORES[[#This Row],[FECHA DE PAGO]]=PROVEEDORES[[#This Row],[FECHA DE FACTURACIÓN]],"DE CONTADO","CRÉDITO")</f>
        <v>CRÉDITO</v>
      </c>
      <c r="B235" s="51" t="str">
        <f>+IF((PROVEEDORES[[#This Row],[FECHA DE PAGO]]-PROVEEDORES[[#This Row],[FECHA DE FACTURACIÓN]])&gt;PROVEEDORES[[#This Row],[PLAZO Días]],"PAGO VENCIDO")</f>
        <v>PAGO VENCIDO</v>
      </c>
      <c r="C235" s="25">
        <f>+VLOOKUP(PROVEEDORES[[#This Row],[PROVEEDOR]],TERCEROS_INFO[#All],2,FALSE)</f>
        <v>30</v>
      </c>
      <c r="D235" s="30">
        <f>+SUMIFS(PROVEEDORES[Total],PROVEEDORES[PROVEEDOR],PROVEEDORES[[#This Row],[PROVEEDOR]],PROVEEDORES[FECHA DE PAGO],"")</f>
        <v>6482443.1751999995</v>
      </c>
      <c r="E235" s="30"/>
      <c r="F235" s="73" t="str">
        <f>+VLOOKUP(PROVEEDORES[[#This Row],[PROVEEDOR]],TERCEROS_INFO[[PROVEEDOR]:[CORREO]],5,FALSE)</f>
        <v>angela.navas@hyrdistribuciones.com;girlesa.ruiz@servipilas.com;joriescobar64@gmail.com</v>
      </c>
      <c r="G235" s="111">
        <v>44335</v>
      </c>
      <c r="H235" s="31" t="s">
        <v>18</v>
      </c>
      <c r="I235" s="111">
        <v>44274</v>
      </c>
      <c r="J235" s="48">
        <v>1035834</v>
      </c>
      <c r="K235" s="26">
        <v>3865479.42</v>
      </c>
      <c r="L235" s="26"/>
      <c r="M235" s="27">
        <v>734441.08979999996</v>
      </c>
      <c r="N235" s="28"/>
      <c r="O235" s="27">
        <v>0</v>
      </c>
      <c r="P235" s="28">
        <v>2.5000000000000001E-2</v>
      </c>
      <c r="Q235" s="27">
        <v>96636.98550000001</v>
      </c>
      <c r="R235" s="26">
        <v>4503283.5242999997</v>
      </c>
      <c r="S235" s="115">
        <f ca="1">IF(PROVEEDORES[[#This Row],[FECHA DE PAGO]]=0,TODAY()-PROVEEDORES[[#This Row],[FECHA DE FACTURACIÓN]]-PROVEEDORES[[#This Row],[PLAZO Días]],0)</f>
        <v>0</v>
      </c>
      <c r="T2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6" spans="1:20" ht="21.9" customHeight="1" x14ac:dyDescent="0.3">
      <c r="A236" s="113" t="str">
        <f>+IF(PROVEEDORES[[#This Row],[FECHA DE PAGO]]=PROVEEDORES[[#This Row],[FECHA DE FACTURACIÓN]],"DE CONTADO","CRÉDITO")</f>
        <v>CRÉDITO</v>
      </c>
      <c r="B236" s="51" t="str">
        <f>+IF((PROVEEDORES[[#This Row],[FECHA DE PAGO]]-PROVEEDORES[[#This Row],[FECHA DE FACTURACIÓN]])&gt;PROVEEDORES[[#This Row],[PLAZO Días]],"PAGO VENCIDO")</f>
        <v>PAGO VENCIDO</v>
      </c>
      <c r="C236" s="25">
        <f>+VLOOKUP(PROVEEDORES[[#This Row],[PROVEEDOR]],TERCEROS_INFO[#All],2,FALSE)</f>
        <v>30</v>
      </c>
      <c r="D236" s="30">
        <f>+SUMIFS(PROVEEDORES[Total],PROVEEDORES[PROVEEDOR],PROVEEDORES[[#This Row],[PROVEEDOR]],PROVEEDORES[FECHA DE PAGO],"")</f>
        <v>1451823</v>
      </c>
      <c r="E236" s="30"/>
      <c r="F236" s="73" t="str">
        <f>+VLOOKUP(PROVEEDORES[[#This Row],[PROVEEDOR]],TERCEROS_INFO[[PROVEEDOR]:[CORREO]],5,FALSE)</f>
        <v>cartera@ienewline.com;andres.arroyave@ienewline.com;girlesa.ruiz@servipilas.com;joriescobar64@gmail.com</v>
      </c>
      <c r="G236" s="111">
        <v>44319</v>
      </c>
      <c r="H236" s="31" t="s">
        <v>1131</v>
      </c>
      <c r="I236" s="111">
        <v>44275</v>
      </c>
      <c r="J236" s="48">
        <v>15294</v>
      </c>
      <c r="K236" s="26">
        <v>1463200</v>
      </c>
      <c r="L236" s="26"/>
      <c r="M236" s="27">
        <v>278008</v>
      </c>
      <c r="N236" s="28"/>
      <c r="O236" s="27">
        <v>0</v>
      </c>
      <c r="P236" s="28">
        <v>2.5000000000000001E-2</v>
      </c>
      <c r="Q236" s="27">
        <v>36580</v>
      </c>
      <c r="R236" s="26">
        <v>1704628</v>
      </c>
      <c r="S236" s="115">
        <f ca="1">IF(PROVEEDORES[[#This Row],[FECHA DE PAGO]]=0,TODAY()-PROVEEDORES[[#This Row],[FECHA DE FACTURACIÓN]]-PROVEEDORES[[#This Row],[PLAZO Días]],0)</f>
        <v>0</v>
      </c>
      <c r="T2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7" spans="1:20" ht="21.9" customHeight="1" x14ac:dyDescent="0.3">
      <c r="A237" s="113" t="str">
        <f>+IF(PROVEEDORES[[#This Row],[FECHA DE PAGO]]=PROVEEDORES[[#This Row],[FECHA DE FACTURACIÓN]],"DE CONTADO","CRÉDITO")</f>
        <v>CRÉDITO</v>
      </c>
      <c r="B237" s="51" t="b">
        <f>+IF((PROVEEDORES[[#This Row],[FECHA DE PAGO]]-PROVEEDORES[[#This Row],[FECHA DE FACTURACIÓN]])&gt;PROVEEDORES[[#This Row],[PLAZO Días]],"PAGO VENCIDO")</f>
        <v>0</v>
      </c>
      <c r="C237" s="25">
        <f>+VLOOKUP(PROVEEDORES[[#This Row],[PROVEEDOR]],TERCEROS_INFO[#All],2,FALSE)</f>
        <v>30</v>
      </c>
      <c r="D237" s="30">
        <f>+SUMIFS(PROVEEDORES[Total],PROVEEDORES[PROVEEDOR],PROVEEDORES[[#This Row],[PROVEEDOR]],PROVEEDORES[FECHA DE PAGO],"")</f>
        <v>0</v>
      </c>
      <c r="E237" s="30"/>
      <c r="F237" s="73" t="str">
        <f>+VLOOKUP(PROVEEDORES[[#This Row],[PROVEEDOR]],TERCEROS_INFO[[PROVEEDOR]:[CORREO]],5,FALSE)</f>
        <v>vromero@flashinternational.us;girlesa.ruiz@servipilas.com;joriescobar64@gmail.com</v>
      </c>
      <c r="G237" s="111">
        <v>44279</v>
      </c>
      <c r="H237" s="31" t="s">
        <v>116</v>
      </c>
      <c r="I237" s="111">
        <v>44277</v>
      </c>
      <c r="J237" s="48" t="s">
        <v>256</v>
      </c>
      <c r="K237" s="26">
        <v>1649000</v>
      </c>
      <c r="L237" s="26"/>
      <c r="M237" s="27">
        <v>0</v>
      </c>
      <c r="N237" s="28"/>
      <c r="O237" s="27">
        <v>0</v>
      </c>
      <c r="P237" s="28">
        <v>0</v>
      </c>
      <c r="Q237" s="27">
        <v>0</v>
      </c>
      <c r="R237" s="26">
        <v>1649000</v>
      </c>
      <c r="S237" s="115">
        <f ca="1">IF(PROVEEDORES[[#This Row],[FECHA DE PAGO]]=0,TODAY()-PROVEEDORES[[#This Row],[FECHA DE FACTURACIÓN]]-PROVEEDORES[[#This Row],[PLAZO Días]],0)</f>
        <v>0</v>
      </c>
      <c r="T2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8" spans="1:20" ht="21.9" customHeight="1" x14ac:dyDescent="0.3">
      <c r="A238" s="113" t="str">
        <f>+IF(PROVEEDORES[[#This Row],[FECHA DE PAGO]]=PROVEEDORES[[#This Row],[FECHA DE FACTURACIÓN]],"DE CONTADO","CRÉDITO")</f>
        <v>CRÉDITO</v>
      </c>
      <c r="B238" s="51" t="str">
        <f>+IF((PROVEEDORES[[#This Row],[FECHA DE PAGO]]-PROVEEDORES[[#This Row],[FECHA DE FACTURACIÓN]])&gt;PROVEEDORES[[#This Row],[PLAZO Días]],"PAGO VENCIDO")</f>
        <v>PAGO VENCIDO</v>
      </c>
      <c r="C238" s="25">
        <f>+VLOOKUP(PROVEEDORES[[#This Row],[PROVEEDOR]],TERCEROS_INFO[#All],2,FALSE)</f>
        <v>30</v>
      </c>
      <c r="D238" s="30">
        <f>+SUMIFS(PROVEEDORES[Total],PROVEEDORES[PROVEEDOR],PROVEEDORES[[#This Row],[PROVEEDOR]],PROVEEDORES[FECHA DE PAGO],"")</f>
        <v>0</v>
      </c>
      <c r="E238" s="30"/>
      <c r="F238" s="73" t="str">
        <f>+VLOOKUP(PROVEEDORES[[#This Row],[PROVEEDOR]],TERCEROS_INFO[[PROVEEDOR]:[CORREO]],5,FALSE)</f>
        <v>Fernando.Carmona@energizer.com;girlesa.ruiz@servipilas.com;joriescobar64@gmail.com</v>
      </c>
      <c r="G238" s="111">
        <v>44321</v>
      </c>
      <c r="H238" s="31" t="s">
        <v>47</v>
      </c>
      <c r="I238" s="111">
        <v>44277</v>
      </c>
      <c r="J238" s="48">
        <v>160216236</v>
      </c>
      <c r="K238" s="26">
        <v>2479248</v>
      </c>
      <c r="L238" s="26"/>
      <c r="M238" s="27">
        <v>471057.12</v>
      </c>
      <c r="N238" s="28"/>
      <c r="O238" s="27">
        <v>0</v>
      </c>
      <c r="P238" s="28">
        <v>0</v>
      </c>
      <c r="Q238" s="27">
        <v>0</v>
      </c>
      <c r="R238" s="26">
        <v>2950305.12</v>
      </c>
      <c r="S238" s="115">
        <f ca="1">IF(PROVEEDORES[[#This Row],[FECHA DE PAGO]]=0,TODAY()-PROVEEDORES[[#This Row],[FECHA DE FACTURACIÓN]]-PROVEEDORES[[#This Row],[PLAZO Días]],0)</f>
        <v>0</v>
      </c>
      <c r="T23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39" spans="1:20" ht="21.9" customHeight="1" x14ac:dyDescent="0.3">
      <c r="A239" s="113" t="str">
        <f>+IF(PROVEEDORES[[#This Row],[FECHA DE PAGO]]=PROVEEDORES[[#This Row],[FECHA DE FACTURACIÓN]],"DE CONTADO","CRÉDITO")</f>
        <v>CRÉDITO</v>
      </c>
      <c r="B239" s="51" t="b">
        <f>+IF((PROVEEDORES[[#This Row],[FECHA DE PAGO]]-PROVEEDORES[[#This Row],[FECHA DE FACTURACIÓN]])&gt;PROVEEDORES[[#This Row],[PLAZO Días]],"PAGO VENCIDO")</f>
        <v>0</v>
      </c>
      <c r="C239" s="25">
        <f>+VLOOKUP(PROVEEDORES[[#This Row],[PROVEEDOR]],TERCEROS_INFO[#All],2,FALSE)</f>
        <v>30</v>
      </c>
      <c r="D239" s="30">
        <f>+SUMIFS(PROVEEDORES[Total],PROVEEDORES[PROVEEDOR],PROVEEDORES[[#This Row],[PROVEEDOR]],PROVEEDORES[FECHA DE PAGO],"")</f>
        <v>0</v>
      </c>
      <c r="E239" s="30"/>
      <c r="F239" s="73" t="str">
        <f>+VLOOKUP(PROVEEDORES[[#This Row],[PROVEEDOR]],TERCEROS_INFO[[PROVEEDOR]:[CORREO]],5,FALSE)</f>
        <v>cartera@jeway.com.co;girlesa.ruiz@servipilas.com;joriescobar64@gmail.com</v>
      </c>
      <c r="G239" s="111">
        <v>44298</v>
      </c>
      <c r="H239" s="31" t="s">
        <v>34</v>
      </c>
      <c r="I239" s="111">
        <v>44279</v>
      </c>
      <c r="J239" s="48">
        <v>1313</v>
      </c>
      <c r="K239" s="26">
        <v>880332</v>
      </c>
      <c r="L239" s="26"/>
      <c r="M239" s="27">
        <v>167263.08000000002</v>
      </c>
      <c r="N239" s="28"/>
      <c r="O239" s="27">
        <v>0</v>
      </c>
      <c r="P239" s="28">
        <v>0</v>
      </c>
      <c r="Q239" s="27">
        <v>0</v>
      </c>
      <c r="R239" s="26">
        <v>1047595.0800000001</v>
      </c>
      <c r="S239" s="115">
        <f ca="1">IF(PROVEEDORES[[#This Row],[FECHA DE PAGO]]=0,TODAY()-PROVEEDORES[[#This Row],[FECHA DE FACTURACIÓN]]-PROVEEDORES[[#This Row],[PLAZO Días]],0)</f>
        <v>0</v>
      </c>
      <c r="T2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0" spans="1:20" ht="21.9" customHeight="1" x14ac:dyDescent="0.3">
      <c r="A240" s="113" t="str">
        <f>+IF(PROVEEDORES[[#This Row],[FECHA DE PAGO]]=PROVEEDORES[[#This Row],[FECHA DE FACTURACIÓN]],"DE CONTADO","CRÉDITO")</f>
        <v>CRÉDITO</v>
      </c>
      <c r="B240" s="51" t="str">
        <f>+IF((PROVEEDORES[[#This Row],[FECHA DE PAGO]]-PROVEEDORES[[#This Row],[FECHA DE FACTURACIÓN]])&gt;PROVEEDORES[[#This Row],[PLAZO Días]],"PAGO VENCIDO")</f>
        <v>PAGO VENCIDO</v>
      </c>
      <c r="C240" s="25">
        <f>+VLOOKUP(PROVEEDORES[[#This Row],[PROVEEDOR]],TERCEROS_INFO[#All],2,FALSE)</f>
        <v>30</v>
      </c>
      <c r="D240" s="30">
        <f>+SUMIFS(PROVEEDORES[Total],PROVEEDORES[PROVEEDOR],PROVEEDORES[[#This Row],[PROVEEDOR]],PROVEEDORES[FECHA DE PAGO],"")</f>
        <v>4078650.6</v>
      </c>
      <c r="E240" s="30"/>
      <c r="F240" s="73" t="str">
        <f>+VLOOKUP(PROVEEDORES[[#This Row],[PROVEEDOR]],TERCEROS_INFO[[PROVEEDOR]:[CORREO]],5,FALSE)</f>
        <v>financiera@nalpicentral.com;girlesa.ruiz@servipilas.com;joriescobar64@gmail.com</v>
      </c>
      <c r="G240" s="111">
        <v>44348</v>
      </c>
      <c r="H240" s="31" t="s">
        <v>1095</v>
      </c>
      <c r="I240" s="111">
        <v>44279</v>
      </c>
      <c r="J240" s="48">
        <v>20403</v>
      </c>
      <c r="K240" s="26">
        <v>1417944</v>
      </c>
      <c r="L240" s="26"/>
      <c r="M240" s="27">
        <v>269409.36</v>
      </c>
      <c r="N240" s="28"/>
      <c r="O240" s="27">
        <v>0</v>
      </c>
      <c r="P240" s="28">
        <v>2.5000000000000001E-2</v>
      </c>
      <c r="Q240" s="27">
        <v>35448.6</v>
      </c>
      <c r="R240" s="26">
        <v>1651904.7599999998</v>
      </c>
      <c r="S240" s="115">
        <f ca="1">IF(PROVEEDORES[[#This Row],[FECHA DE PAGO]]=0,TODAY()-PROVEEDORES[[#This Row],[FECHA DE FACTURACIÓN]]-PROVEEDORES[[#This Row],[PLAZO Días]],0)</f>
        <v>0</v>
      </c>
      <c r="T2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1" spans="1:20" ht="21.9" customHeight="1" x14ac:dyDescent="0.3">
      <c r="A241" s="113" t="str">
        <f>+IF(PROVEEDORES[[#This Row],[FECHA DE PAGO]]=PROVEEDORES[[#This Row],[FECHA DE FACTURACIÓN]],"DE CONTADO","CRÉDITO")</f>
        <v>CRÉDITO</v>
      </c>
      <c r="B241" s="51" t="str">
        <f>+IF((PROVEEDORES[[#This Row],[FECHA DE PAGO]]-PROVEEDORES[[#This Row],[FECHA DE FACTURACIÓN]])&gt;PROVEEDORES[[#This Row],[PLAZO Días]],"PAGO VENCIDO")</f>
        <v>PAGO VENCIDO</v>
      </c>
      <c r="C241" s="25">
        <f>+VLOOKUP(PROVEEDORES[[#This Row],[PROVEEDOR]],TERCEROS_INFO[#All],2,FALSE)</f>
        <v>30</v>
      </c>
      <c r="D241" s="30">
        <f>+SUMIFS(PROVEEDORES[Total],PROVEEDORES[PROVEEDOR],PROVEEDORES[[#This Row],[PROVEEDOR]],PROVEEDORES[FECHA DE PAGO],"")</f>
        <v>0</v>
      </c>
      <c r="E241" s="30"/>
      <c r="F241" s="73" t="str">
        <f>+VLOOKUP(PROVEEDORES[[#This Row],[PROVEEDOR]],TERCEROS_INFO[[PROVEEDOR]:[CORREO]],5,FALSE)</f>
        <v>juan.suarez@cosostenible.com;girlesa.ruiz@servipilas.com;joriescobar64@gmail.com</v>
      </c>
      <c r="G241" s="111">
        <v>44335</v>
      </c>
      <c r="H241" s="31" t="s">
        <v>50</v>
      </c>
      <c r="I241" s="111">
        <v>44279</v>
      </c>
      <c r="J241" s="48">
        <v>1908</v>
      </c>
      <c r="K241" s="26">
        <v>2268906</v>
      </c>
      <c r="L241" s="26"/>
      <c r="M241" s="27">
        <v>431092.14</v>
      </c>
      <c r="N241" s="28"/>
      <c r="O241" s="27">
        <v>0</v>
      </c>
      <c r="P241" s="28">
        <v>2.5000000000000001E-2</v>
      </c>
      <c r="Q241" s="27">
        <v>56722.65</v>
      </c>
      <c r="R241" s="26">
        <v>2643275.4900000002</v>
      </c>
      <c r="S241" s="115">
        <f ca="1">IF(PROVEEDORES[[#This Row],[FECHA DE PAGO]]=0,TODAY()-PROVEEDORES[[#This Row],[FECHA DE FACTURACIÓN]]-PROVEEDORES[[#This Row],[PLAZO Días]],0)</f>
        <v>0</v>
      </c>
      <c r="T2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2" spans="1:20" ht="21.9" customHeight="1" x14ac:dyDescent="0.3">
      <c r="A242" s="113" t="str">
        <f>+IF(PROVEEDORES[[#This Row],[FECHA DE PAGO]]=PROVEEDORES[[#This Row],[FECHA DE FACTURACIÓN]],"DE CONTADO","CRÉDITO")</f>
        <v>CRÉDITO</v>
      </c>
      <c r="B242" s="51" t="b">
        <f>+IF((PROVEEDORES[[#This Row],[FECHA DE PAGO]]-PROVEEDORES[[#This Row],[FECHA DE FACTURACIÓN]])&gt;PROVEEDORES[[#This Row],[PLAZO Días]],"PAGO VENCIDO")</f>
        <v>0</v>
      </c>
      <c r="C242" s="25">
        <f>+VLOOKUP(PROVEEDORES[[#This Row],[PROVEEDOR]],TERCEROS_INFO[#All],2,FALSE)</f>
        <v>30</v>
      </c>
      <c r="D242" s="30">
        <f>+SUMIFS(PROVEEDORES[Total],PROVEEDORES[PROVEEDOR],PROVEEDORES[[#This Row],[PROVEEDOR]],PROVEEDORES[FECHA DE PAGO],"")</f>
        <v>0</v>
      </c>
      <c r="E242" s="30"/>
      <c r="F242" s="73" t="str">
        <f>+VLOOKUP(PROVEEDORES[[#This Row],[PROVEEDOR]],TERCEROS_INFO[[PROVEEDOR]:[CORREO]],5,FALSE)</f>
        <v/>
      </c>
      <c r="G242" s="111">
        <v>44280</v>
      </c>
      <c r="H242" s="31" t="s">
        <v>1007</v>
      </c>
      <c r="I242" s="111">
        <v>44279</v>
      </c>
      <c r="J242" s="48"/>
      <c r="K242" s="26">
        <v>3686000</v>
      </c>
      <c r="L242" s="26"/>
      <c r="M242" s="27">
        <v>0</v>
      </c>
      <c r="N242" s="28"/>
      <c r="O242" s="27">
        <v>0</v>
      </c>
      <c r="P242" s="28">
        <v>0</v>
      </c>
      <c r="Q242" s="27">
        <v>0</v>
      </c>
      <c r="R242" s="26">
        <v>3686000</v>
      </c>
      <c r="S242" s="115">
        <f ca="1">IF(PROVEEDORES[[#This Row],[FECHA DE PAGO]]=0,TODAY()-PROVEEDORES[[#This Row],[FECHA DE FACTURACIÓN]]-PROVEEDORES[[#This Row],[PLAZO Días]],0)</f>
        <v>0</v>
      </c>
      <c r="T2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3" spans="1:20" ht="21.9" customHeight="1" x14ac:dyDescent="0.3">
      <c r="A243" s="113" t="str">
        <f>+IF(PROVEEDORES[[#This Row],[FECHA DE PAGO]]=PROVEEDORES[[#This Row],[FECHA DE FACTURACIÓN]],"DE CONTADO","CRÉDITO")</f>
        <v>CRÉDITO</v>
      </c>
      <c r="B243" s="51" t="str">
        <f>+IF((PROVEEDORES[[#This Row],[FECHA DE PAGO]]-PROVEEDORES[[#This Row],[FECHA DE FACTURACIÓN]])&gt;PROVEEDORES[[#This Row],[PLAZO Días]],"PAGO VENCIDO")</f>
        <v>PAGO VENCIDO</v>
      </c>
      <c r="C243" s="25">
        <f>+VLOOKUP(PROVEEDORES[[#This Row],[PROVEEDOR]],TERCEROS_INFO[#All],2,FALSE)</f>
        <v>30</v>
      </c>
      <c r="D243" s="30">
        <f>+SUMIFS(PROVEEDORES[Total],PROVEEDORES[PROVEEDOR],PROVEEDORES[[#This Row],[PROVEEDOR]],PROVEEDORES[FECHA DE PAGO],"")</f>
        <v>4078650.6</v>
      </c>
      <c r="E243" s="30"/>
      <c r="F243" s="73" t="str">
        <f>+VLOOKUP(PROVEEDORES[[#This Row],[PROVEEDOR]],TERCEROS_INFO[[PROVEEDOR]:[CORREO]],5,FALSE)</f>
        <v>financiera@nalpicentral.com;girlesa.ruiz@servipilas.com;joriescobar64@gmail.com</v>
      </c>
      <c r="G243" s="111">
        <v>44348</v>
      </c>
      <c r="H243" s="31" t="s">
        <v>1095</v>
      </c>
      <c r="I243" s="111">
        <v>44280</v>
      </c>
      <c r="J243" s="48" t="s">
        <v>359</v>
      </c>
      <c r="K243" s="26">
        <v>-384000</v>
      </c>
      <c r="L243" s="26"/>
      <c r="M243" s="27">
        <v>-72960</v>
      </c>
      <c r="N243" s="28"/>
      <c r="O243" s="27">
        <v>0</v>
      </c>
      <c r="P243" s="28">
        <v>2.5000000000000001E-2</v>
      </c>
      <c r="Q243" s="27">
        <v>-9600</v>
      </c>
      <c r="R243" s="26">
        <v>-447360</v>
      </c>
      <c r="S243" s="115">
        <f ca="1">IF(PROVEEDORES[[#This Row],[FECHA DE PAGO]]=0,TODAY()-PROVEEDORES[[#This Row],[FECHA DE FACTURACIÓN]]-PROVEEDORES[[#This Row],[PLAZO Días]],0)</f>
        <v>0</v>
      </c>
      <c r="T2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4" spans="1:20" ht="21.9" customHeight="1" x14ac:dyDescent="0.3">
      <c r="A244" s="113" t="str">
        <f>+IF(PROVEEDORES[[#This Row],[FECHA DE PAGO]]=PROVEEDORES[[#This Row],[FECHA DE FACTURACIÓN]],"DE CONTADO","CRÉDITO")</f>
        <v>DE CONTADO</v>
      </c>
      <c r="B244" s="51" t="b">
        <f>+IF((PROVEEDORES[[#This Row],[FECHA DE PAGO]]-PROVEEDORES[[#This Row],[FECHA DE FACTURACIÓN]])&gt;PROVEEDORES[[#This Row],[PLAZO Días]],"PAGO VENCIDO")</f>
        <v>0</v>
      </c>
      <c r="C244" s="25">
        <f>+VLOOKUP(PROVEEDORES[[#This Row],[PROVEEDOR]],TERCEROS_INFO[#All],2,FALSE)</f>
        <v>30</v>
      </c>
      <c r="D244" s="30">
        <f>+SUMIFS(PROVEEDORES[Total],PROVEEDORES[PROVEEDOR],PROVEEDORES[[#This Row],[PROVEEDOR]],PROVEEDORES[FECHA DE PAGO],"")</f>
        <v>0</v>
      </c>
      <c r="E244" s="30"/>
      <c r="F244" s="73">
        <f>+VLOOKUP(PROVEEDORES[[#This Row],[PROVEEDOR]],TERCEROS_INFO[[PROVEEDOR]:[CORREO]],5,FALSE)</f>
        <v>0</v>
      </c>
      <c r="G244" s="111">
        <v>44280</v>
      </c>
      <c r="H244" s="31" t="s">
        <v>1059</v>
      </c>
      <c r="I244" s="111">
        <v>44280</v>
      </c>
      <c r="J244" s="48" t="s">
        <v>686</v>
      </c>
      <c r="K244" s="26">
        <v>75000</v>
      </c>
      <c r="L244" s="26"/>
      <c r="M244" s="27">
        <v>0</v>
      </c>
      <c r="N244" s="28"/>
      <c r="O244" s="27">
        <v>0</v>
      </c>
      <c r="P244" s="28">
        <v>0</v>
      </c>
      <c r="Q244" s="27">
        <v>0</v>
      </c>
      <c r="R244" s="26">
        <v>75000</v>
      </c>
      <c r="S244" s="115">
        <f ca="1">IF(PROVEEDORES[[#This Row],[FECHA DE PAGO]]=0,TODAY()-PROVEEDORES[[#This Row],[FECHA DE FACTURACIÓN]]-PROVEEDORES[[#This Row],[PLAZO Días]],0)</f>
        <v>0</v>
      </c>
      <c r="T24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5" spans="1:20" ht="21.9" customHeight="1" x14ac:dyDescent="0.3">
      <c r="A245" s="113" t="str">
        <f>+IF(PROVEEDORES[[#This Row],[FECHA DE PAGO]]=PROVEEDORES[[#This Row],[FECHA DE FACTURACIÓN]],"DE CONTADO","CRÉDITO")</f>
        <v>CRÉDITO</v>
      </c>
      <c r="B245" s="51" t="str">
        <f>+IF((PROVEEDORES[[#This Row],[FECHA DE PAGO]]-PROVEEDORES[[#This Row],[FECHA DE FACTURACIÓN]])&gt;PROVEEDORES[[#This Row],[PLAZO Días]],"PAGO VENCIDO")</f>
        <v>PAGO VENCIDO</v>
      </c>
      <c r="C245" s="25">
        <f>+VLOOKUP(PROVEEDORES[[#This Row],[PROVEEDOR]],TERCEROS_INFO[#All],2,FALSE)</f>
        <v>30</v>
      </c>
      <c r="D245" s="30">
        <f>+SUMIFS(PROVEEDORES[Total],PROVEEDORES[PROVEEDOR],PROVEEDORES[[#This Row],[PROVEEDOR]],PROVEEDORES[FECHA DE PAGO],"")</f>
        <v>0</v>
      </c>
      <c r="E245" s="30"/>
      <c r="F245" s="73" t="str">
        <f>+VLOOKUP(PROVEEDORES[[#This Row],[PROVEEDOR]],TERCEROS_INFO[[PROVEEDOR]:[CORREO]],5,FALSE)</f>
        <v>Fernando.Carmona@energizer.com;girlesa.ruiz@servipilas.com;joriescobar64@gmail.com</v>
      </c>
      <c r="G245" s="111">
        <v>44321</v>
      </c>
      <c r="H245" s="31" t="s">
        <v>47</v>
      </c>
      <c r="I245" s="111">
        <v>44280</v>
      </c>
      <c r="J245" s="48">
        <v>160216698</v>
      </c>
      <c r="K245" s="26">
        <v>1213400</v>
      </c>
      <c r="L245" s="26"/>
      <c r="M245" s="27">
        <v>230546</v>
      </c>
      <c r="N245" s="28"/>
      <c r="O245" s="27">
        <v>0</v>
      </c>
      <c r="P245" s="28">
        <v>0</v>
      </c>
      <c r="Q245" s="27">
        <v>0</v>
      </c>
      <c r="R245" s="26">
        <v>1443946</v>
      </c>
      <c r="S245" s="115">
        <f ca="1">IF(PROVEEDORES[[#This Row],[FECHA DE PAGO]]=0,TODAY()-PROVEEDORES[[#This Row],[FECHA DE FACTURACIÓN]]-PROVEEDORES[[#This Row],[PLAZO Días]],0)</f>
        <v>0</v>
      </c>
      <c r="T2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6" spans="1:20" ht="21.9" customHeight="1" x14ac:dyDescent="0.3">
      <c r="A246" s="113" t="str">
        <f>+IF(PROVEEDORES[[#This Row],[FECHA DE PAGO]]=PROVEEDORES[[#This Row],[FECHA DE FACTURACIÓN]],"DE CONTADO","CRÉDITO")</f>
        <v>CRÉDITO</v>
      </c>
      <c r="B246" s="51" t="str">
        <f>+IF((PROVEEDORES[[#This Row],[FECHA DE PAGO]]-PROVEEDORES[[#This Row],[FECHA DE FACTURACIÓN]])&gt;PROVEEDORES[[#This Row],[PLAZO Días]],"PAGO VENCIDO")</f>
        <v>PAGO VENCIDO</v>
      </c>
      <c r="C246" s="25">
        <f>+VLOOKUP(PROVEEDORES[[#This Row],[PROVEEDOR]],TERCEROS_INFO[#All],2,FALSE)</f>
        <v>20</v>
      </c>
      <c r="D246" s="30">
        <f>+SUMIFS(PROVEEDORES[Total],PROVEEDORES[PROVEEDOR],PROVEEDORES[[#This Row],[PROVEEDOR]],PROVEEDORES[FECHA DE PAGO],"")</f>
        <v>0</v>
      </c>
      <c r="E246" s="30"/>
      <c r="F246" s="73">
        <f>+VLOOKUP(PROVEEDORES[[#This Row],[PROVEEDOR]],TERCEROS_INFO[[PROVEEDOR]:[CORREO]],5,FALSE)</f>
        <v>0</v>
      </c>
      <c r="G246" s="111">
        <v>44334</v>
      </c>
      <c r="H246" s="31" t="s">
        <v>1078</v>
      </c>
      <c r="I246" s="111">
        <v>44281</v>
      </c>
      <c r="J246" s="48"/>
      <c r="K246" s="26">
        <v>216000</v>
      </c>
      <c r="L246" s="26"/>
      <c r="M246" s="27">
        <v>0</v>
      </c>
      <c r="N246" s="28"/>
      <c r="O246" s="27">
        <v>0</v>
      </c>
      <c r="P246" s="28">
        <v>0</v>
      </c>
      <c r="Q246" s="27">
        <v>0</v>
      </c>
      <c r="R246" s="26">
        <v>216000</v>
      </c>
      <c r="S246" s="115">
        <f ca="1">IF(PROVEEDORES[[#This Row],[FECHA DE PAGO]]=0,TODAY()-PROVEEDORES[[#This Row],[FECHA DE FACTURACIÓN]]-PROVEEDORES[[#This Row],[PLAZO Días]],0)</f>
        <v>0</v>
      </c>
      <c r="T24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7" spans="1:20" ht="21.9" customHeight="1" x14ac:dyDescent="0.3">
      <c r="A247" s="113" t="str">
        <f>+IF(PROVEEDORES[[#This Row],[FECHA DE PAGO]]=PROVEEDORES[[#This Row],[FECHA DE FACTURACIÓN]],"DE CONTADO","CRÉDITO")</f>
        <v>CRÉDITO</v>
      </c>
      <c r="B247" s="51" t="str">
        <f>+IF((PROVEEDORES[[#This Row],[FECHA DE PAGO]]-PROVEEDORES[[#This Row],[FECHA DE FACTURACIÓN]])&gt;PROVEEDORES[[#This Row],[PLAZO Días]],"PAGO VENCIDO")</f>
        <v>PAGO VENCIDO</v>
      </c>
      <c r="C247" s="25">
        <f>+VLOOKUP(PROVEEDORES[[#This Row],[PROVEEDOR]],TERCEROS_INFO[#All],2,FALSE)</f>
        <v>30</v>
      </c>
      <c r="D247" s="30">
        <f>+SUMIFS(PROVEEDORES[Total],PROVEEDORES[PROVEEDOR],PROVEEDORES[[#This Row],[PROVEEDOR]],PROVEEDORES[FECHA DE PAGO],"")</f>
        <v>0</v>
      </c>
      <c r="E247" s="30"/>
      <c r="F247" s="73" t="str">
        <f>+VLOOKUP(PROVEEDORES[[#This Row],[PROVEEDOR]],TERCEROS_INFO[[PROVEEDOR]:[CORREO]],5,FALSE)</f>
        <v>Fernando.Carmona@energizer.com;girlesa.ruiz@servipilas.com;joriescobar64@gmail.com</v>
      </c>
      <c r="G247" s="111">
        <v>44321</v>
      </c>
      <c r="H247" s="31" t="s">
        <v>47</v>
      </c>
      <c r="I247" s="111">
        <v>44281</v>
      </c>
      <c r="J247" s="48">
        <v>160216733</v>
      </c>
      <c r="K247" s="26">
        <v>606700</v>
      </c>
      <c r="L247" s="26"/>
      <c r="M247" s="27">
        <v>115273</v>
      </c>
      <c r="N247" s="28"/>
      <c r="O247" s="27">
        <v>0</v>
      </c>
      <c r="P247" s="28">
        <v>0</v>
      </c>
      <c r="Q247" s="27">
        <v>0</v>
      </c>
      <c r="R247" s="26">
        <v>721973</v>
      </c>
      <c r="S247" s="115">
        <f ca="1">IF(PROVEEDORES[[#This Row],[FECHA DE PAGO]]=0,TODAY()-PROVEEDORES[[#This Row],[FECHA DE FACTURACIÓN]]-PROVEEDORES[[#This Row],[PLAZO Días]],0)</f>
        <v>0</v>
      </c>
      <c r="T24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8" spans="1:20" ht="21.9" customHeight="1" x14ac:dyDescent="0.3">
      <c r="A248" s="113" t="str">
        <f>+IF(PROVEEDORES[[#This Row],[FECHA DE PAGO]]=PROVEEDORES[[#This Row],[FECHA DE FACTURACIÓN]],"DE CONTADO","CRÉDITO")</f>
        <v>CRÉDITO</v>
      </c>
      <c r="B248" s="51" t="str">
        <f>+IF((PROVEEDORES[[#This Row],[FECHA DE PAGO]]-PROVEEDORES[[#This Row],[FECHA DE FACTURACIÓN]])&gt;PROVEEDORES[[#This Row],[PLAZO Días]],"PAGO VENCIDO")</f>
        <v>PAGO VENCIDO</v>
      </c>
      <c r="C248" s="25">
        <f>+VLOOKUP(PROVEEDORES[[#This Row],[PROVEEDOR]],TERCEROS_INFO[#All],2,FALSE)</f>
        <v>30</v>
      </c>
      <c r="D248" s="30">
        <f>+SUMIFS(PROVEEDORES[Total],PROVEEDORES[PROVEEDOR],PROVEEDORES[[#This Row],[PROVEEDOR]],PROVEEDORES[FECHA DE PAGO],"")</f>
        <v>0</v>
      </c>
      <c r="E248" s="30"/>
      <c r="F248" s="73">
        <f>+VLOOKUP(PROVEEDORES[[#This Row],[PROVEEDOR]],TERCEROS_INFO[[PROVEEDOR]:[CORREO]],5,FALSE)</f>
        <v>0</v>
      </c>
      <c r="G248" s="111">
        <v>44335</v>
      </c>
      <c r="H248" s="31" t="s">
        <v>293</v>
      </c>
      <c r="I248" s="111">
        <v>44281</v>
      </c>
      <c r="J248" s="48">
        <v>61</v>
      </c>
      <c r="K248" s="26">
        <v>746206</v>
      </c>
      <c r="L248" s="26"/>
      <c r="M248" s="27">
        <v>141779.14000000001</v>
      </c>
      <c r="N248" s="28"/>
      <c r="O248" s="27">
        <v>0</v>
      </c>
      <c r="P248" s="28">
        <v>0</v>
      </c>
      <c r="Q248" s="27">
        <v>0</v>
      </c>
      <c r="R248" s="26">
        <v>887985.14</v>
      </c>
      <c r="S248" s="115">
        <f ca="1">IF(PROVEEDORES[[#This Row],[FECHA DE PAGO]]=0,TODAY()-PROVEEDORES[[#This Row],[FECHA DE FACTURACIÓN]]-PROVEEDORES[[#This Row],[PLAZO Días]],0)</f>
        <v>0</v>
      </c>
      <c r="T2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49" spans="1:20" ht="21.9" customHeight="1" x14ac:dyDescent="0.3">
      <c r="A249" s="113" t="str">
        <f>+IF(PROVEEDORES[[#This Row],[FECHA DE PAGO]]=PROVEEDORES[[#This Row],[FECHA DE FACTURACIÓN]],"DE CONTADO","CRÉDITO")</f>
        <v>DE CONTADO</v>
      </c>
      <c r="B249" s="51" t="b">
        <f>+IF((PROVEEDORES[[#This Row],[FECHA DE PAGO]]-PROVEEDORES[[#This Row],[FECHA DE FACTURACIÓN]])&gt;PROVEEDORES[[#This Row],[PLAZO Días]],"PAGO VENCIDO")</f>
        <v>0</v>
      </c>
      <c r="C249" s="25">
        <f>+VLOOKUP(PROVEEDORES[[#This Row],[PROVEEDOR]],TERCEROS_INFO[#All],2,FALSE)</f>
        <v>30</v>
      </c>
      <c r="D249" s="30">
        <f>+SUMIFS(PROVEEDORES[Total],PROVEEDORES[PROVEEDOR],PROVEEDORES[[#This Row],[PROVEEDOR]],PROVEEDORES[FECHA DE PAGO],"")</f>
        <v>3215400</v>
      </c>
      <c r="E249" s="30"/>
      <c r="F249" s="73">
        <f>+VLOOKUP(PROVEEDORES[[#This Row],[PROVEEDOR]],TERCEROS_INFO[[PROVEEDOR]:[CORREO]],5,FALSE)</f>
        <v>0</v>
      </c>
      <c r="G249" s="111">
        <v>44281</v>
      </c>
      <c r="H249" s="31" t="s">
        <v>626</v>
      </c>
      <c r="I249" s="111">
        <v>44281</v>
      </c>
      <c r="J249" s="48">
        <v>2229</v>
      </c>
      <c r="K249" s="26">
        <v>922404</v>
      </c>
      <c r="L249" s="26"/>
      <c r="M249" s="27">
        <v>175256.76</v>
      </c>
      <c r="N249" s="28"/>
      <c r="O249" s="27">
        <v>0</v>
      </c>
      <c r="P249" s="28">
        <v>0</v>
      </c>
      <c r="Q249" s="27">
        <v>0</v>
      </c>
      <c r="R249" s="26">
        <v>1097660.76</v>
      </c>
      <c r="S249" s="115">
        <f ca="1">IF(PROVEEDORES[[#This Row],[FECHA DE PAGO]]=0,TODAY()-PROVEEDORES[[#This Row],[FECHA DE FACTURACIÓN]]-PROVEEDORES[[#This Row],[PLAZO Días]],0)</f>
        <v>0</v>
      </c>
      <c r="T24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0" spans="1:20" ht="21.9" customHeight="1" x14ac:dyDescent="0.3">
      <c r="A250" s="113" t="str">
        <f>+IF(PROVEEDORES[[#This Row],[FECHA DE PAGO]]=PROVEEDORES[[#This Row],[FECHA DE FACTURACIÓN]],"DE CONTADO","CRÉDITO")</f>
        <v>CRÉDITO</v>
      </c>
      <c r="B250" s="51" t="str">
        <f>+IF((PROVEEDORES[[#This Row],[FECHA DE PAGO]]-PROVEEDORES[[#This Row],[FECHA DE FACTURACIÓN]])&gt;PROVEEDORES[[#This Row],[PLAZO Días]],"PAGO VENCIDO")</f>
        <v>PAGO VENCIDO</v>
      </c>
      <c r="C250" s="25">
        <f>+VLOOKUP(PROVEEDORES[[#This Row],[PROVEEDOR]],TERCEROS_INFO[#All],2,FALSE)</f>
        <v>30</v>
      </c>
      <c r="D250" s="30">
        <f>+SUMIFS(PROVEEDORES[Total],PROVEEDORES[PROVEEDOR],PROVEEDORES[[#This Row],[PROVEEDOR]],PROVEEDORES[FECHA DE PAGO],"")</f>
        <v>1119790</v>
      </c>
      <c r="E250" s="30"/>
      <c r="F250" s="73" t="str">
        <f>+VLOOKUP(PROVEEDORES[[#This Row],[PROVEEDOR]],TERCEROS_INFO[[PROVEEDOR]:[CORREO]],5,FALSE)</f>
        <v>MVALENCIA@mps.com.co;girlesa.ruiz@servipilas.com;joriescobar64@gmail.com</v>
      </c>
      <c r="G250" s="111">
        <v>44335</v>
      </c>
      <c r="H250" s="31" t="s">
        <v>17</v>
      </c>
      <c r="I250" s="111">
        <v>44281</v>
      </c>
      <c r="J250" s="48">
        <v>1744568</v>
      </c>
      <c r="K250" s="26">
        <v>1740230</v>
      </c>
      <c r="L250" s="26"/>
      <c r="M250" s="27">
        <v>330643.7</v>
      </c>
      <c r="N250" s="28"/>
      <c r="O250" s="27">
        <v>0</v>
      </c>
      <c r="P250" s="28">
        <v>0</v>
      </c>
      <c r="Q250" s="27">
        <v>0</v>
      </c>
      <c r="R250" s="26">
        <v>2070873.7</v>
      </c>
      <c r="S250" s="115">
        <f ca="1">IF(PROVEEDORES[[#This Row],[FECHA DE PAGO]]=0,TODAY()-PROVEEDORES[[#This Row],[FECHA DE FACTURACIÓN]]-PROVEEDORES[[#This Row],[PLAZO Días]],0)</f>
        <v>0</v>
      </c>
      <c r="T25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1" spans="1:20" ht="21.9" customHeight="1" x14ac:dyDescent="0.3">
      <c r="A251" s="113" t="str">
        <f>+IF(PROVEEDORES[[#This Row],[FECHA DE PAGO]]=PROVEEDORES[[#This Row],[FECHA DE FACTURACIÓN]],"DE CONTADO","CRÉDITO")</f>
        <v>CRÉDITO</v>
      </c>
      <c r="B251" s="51" t="b">
        <f>+IF((PROVEEDORES[[#This Row],[FECHA DE PAGO]]-PROVEEDORES[[#This Row],[FECHA DE FACTURACIÓN]])&gt;PROVEEDORES[[#This Row],[PLAZO Días]],"PAGO VENCIDO")</f>
        <v>0</v>
      </c>
      <c r="C251" s="25">
        <f>+VLOOKUP(PROVEEDORES[[#This Row],[PROVEEDOR]],TERCEROS_INFO[#All],2,FALSE)</f>
        <v>30</v>
      </c>
      <c r="D251" s="30">
        <f>+SUMIFS(PROVEEDORES[Total],PROVEEDORES[PROVEEDOR],PROVEEDORES[[#This Row],[PROVEEDOR]],PROVEEDORES[FECHA DE PAGO],"")</f>
        <v>0</v>
      </c>
      <c r="E251" s="30"/>
      <c r="F251" s="73" t="str">
        <f>+VLOOKUP(PROVEEDORES[[#This Row],[PROVEEDOR]],TERCEROS_INFO[[PROVEEDOR]:[CORREO]],5,FALSE)</f>
        <v/>
      </c>
      <c r="G251" s="111">
        <v>44284</v>
      </c>
      <c r="H251" s="31" t="s">
        <v>139</v>
      </c>
      <c r="I251" s="111">
        <v>44281</v>
      </c>
      <c r="J251" s="48" t="s">
        <v>295</v>
      </c>
      <c r="K251" s="26">
        <v>2244410.4649999999</v>
      </c>
      <c r="L251" s="26"/>
      <c r="M251" s="27">
        <v>426437.98835</v>
      </c>
      <c r="N251" s="28"/>
      <c r="O251" s="27">
        <v>0</v>
      </c>
      <c r="P251" s="28">
        <v>3.5000000000000003E-2</v>
      </c>
      <c r="Q251" s="27">
        <v>78554.366275000008</v>
      </c>
      <c r="R251" s="26">
        <v>2592294.0870750002</v>
      </c>
      <c r="S251" s="115">
        <f ca="1">IF(PROVEEDORES[[#This Row],[FECHA DE PAGO]]=0,TODAY()-PROVEEDORES[[#This Row],[FECHA DE FACTURACIÓN]]-PROVEEDORES[[#This Row],[PLAZO Días]],0)</f>
        <v>0</v>
      </c>
      <c r="T25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2" spans="1:20" ht="21.9" customHeight="1" x14ac:dyDescent="0.3">
      <c r="A252" s="113" t="str">
        <f>+IF(PROVEEDORES[[#This Row],[FECHA DE PAGO]]=PROVEEDORES[[#This Row],[FECHA DE FACTURACIÓN]],"DE CONTADO","CRÉDITO")</f>
        <v>CRÉDITO</v>
      </c>
      <c r="B252" s="51" t="str">
        <f>+IF((PROVEEDORES[[#This Row],[FECHA DE PAGO]]-PROVEEDORES[[#This Row],[FECHA DE FACTURACIÓN]])&gt;PROVEEDORES[[#This Row],[PLAZO Días]],"PAGO VENCIDO")</f>
        <v>PAGO VENCIDO</v>
      </c>
      <c r="C252" s="25">
        <f>+VLOOKUP(PROVEEDORES[[#This Row],[PROVEEDOR]],TERCEROS_INFO[#All],2,FALSE)</f>
        <v>30</v>
      </c>
      <c r="D252" s="30">
        <f>+SUMIFS(PROVEEDORES[Total],PROVEEDORES[PROVEEDOR],PROVEEDORES[[#This Row],[PROVEEDOR]],PROVEEDORES[FECHA DE PAGO],"")</f>
        <v>4862586.33</v>
      </c>
      <c r="E252" s="30"/>
      <c r="F252" s="73" t="str">
        <f>+VLOOKUP(PROVEEDORES[[#This Row],[PROVEEDOR]],TERCEROS_INFO[[PROVEEDOR]:[CORREO]],5,FALSE)</f>
        <v>cartera@conbienes.com;girlesa.ruiz@servipilas.com;joriescobar64@gmail.com</v>
      </c>
      <c r="G252" s="111">
        <v>44341</v>
      </c>
      <c r="H252" s="31" t="s">
        <v>348</v>
      </c>
      <c r="I252" s="111">
        <v>44284</v>
      </c>
      <c r="J252" s="48" t="s">
        <v>232</v>
      </c>
      <c r="K252" s="26">
        <v>-136143.00000000003</v>
      </c>
      <c r="L252" s="26"/>
      <c r="M252" s="27">
        <v>-25867.170000000006</v>
      </c>
      <c r="N252" s="28"/>
      <c r="O252" s="27">
        <v>0</v>
      </c>
      <c r="P252" s="28">
        <v>0</v>
      </c>
      <c r="Q252" s="27">
        <v>0</v>
      </c>
      <c r="R252" s="26">
        <v>-162010.17000000004</v>
      </c>
      <c r="S252" s="115">
        <f ca="1">IF(PROVEEDORES[[#This Row],[FECHA DE PAGO]]=0,TODAY()-PROVEEDORES[[#This Row],[FECHA DE FACTURACIÓN]]-PROVEEDORES[[#This Row],[PLAZO Días]],0)</f>
        <v>0</v>
      </c>
      <c r="T2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3" spans="1:20" ht="21.9" customHeight="1" x14ac:dyDescent="0.3">
      <c r="A253" s="113" t="str">
        <f>+IF(PROVEEDORES[[#This Row],[FECHA DE PAGO]]=PROVEEDORES[[#This Row],[FECHA DE FACTURACIÓN]],"DE CONTADO","CRÉDITO")</f>
        <v>CRÉDITO</v>
      </c>
      <c r="B253" s="51" t="str">
        <f>+IF((PROVEEDORES[[#This Row],[FECHA DE PAGO]]-PROVEEDORES[[#This Row],[FECHA DE FACTURACIÓN]])&gt;PROVEEDORES[[#This Row],[PLAZO Días]],"PAGO VENCIDO")</f>
        <v>PAGO VENCIDO</v>
      </c>
      <c r="C253" s="25">
        <f>+VLOOKUP(PROVEEDORES[[#This Row],[PROVEEDOR]],TERCEROS_INFO[#All],2,FALSE)</f>
        <v>30</v>
      </c>
      <c r="D253" s="30">
        <f>+SUMIFS(PROVEEDORES[Total],PROVEEDORES[PROVEEDOR],PROVEEDORES[[#This Row],[PROVEEDOR]],PROVEEDORES[FECHA DE PAGO],"")</f>
        <v>248736.18000000002</v>
      </c>
      <c r="E253" s="30"/>
      <c r="F253" s="73" t="str">
        <f>+VLOOKUP(PROVEEDORES[[#This Row],[PROVEEDOR]],TERCEROS_INFO[[PROVEEDOR]:[CORREO]],5,FALSE)</f>
        <v>administracion@sapian.com.co;girlesa.ruiz@servipilas.com;joriescobar64@gmail.com</v>
      </c>
      <c r="G253" s="111">
        <v>44341</v>
      </c>
      <c r="H253" s="31" t="s">
        <v>346</v>
      </c>
      <c r="I253" s="111">
        <v>44284</v>
      </c>
      <c r="J253" s="48" t="s">
        <v>151</v>
      </c>
      <c r="K253" s="26">
        <v>-5996.9747899159665</v>
      </c>
      <c r="L253" s="26"/>
      <c r="M253" s="27">
        <v>-1139.4252100840336</v>
      </c>
      <c r="N253" s="28"/>
      <c r="O253" s="27">
        <v>0</v>
      </c>
      <c r="P253" s="28">
        <v>0</v>
      </c>
      <c r="Q253" s="27">
        <v>0</v>
      </c>
      <c r="R253" s="26">
        <v>-7136.4</v>
      </c>
      <c r="S253" s="115">
        <f ca="1">IF(PROVEEDORES[[#This Row],[FECHA DE PAGO]]=0,TODAY()-PROVEEDORES[[#This Row],[FECHA DE FACTURACIÓN]]-PROVEEDORES[[#This Row],[PLAZO Días]],0)</f>
        <v>0</v>
      </c>
      <c r="T25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4" spans="1:20" ht="21.9" customHeight="1" x14ac:dyDescent="0.3">
      <c r="A254" s="113" t="str">
        <f>+IF(PROVEEDORES[[#This Row],[FECHA DE PAGO]]=PROVEEDORES[[#This Row],[FECHA DE FACTURACIÓN]],"DE CONTADO","CRÉDITO")</f>
        <v>CRÉDITO</v>
      </c>
      <c r="B254" s="51" t="str">
        <f>+IF((PROVEEDORES[[#This Row],[FECHA DE PAGO]]-PROVEEDORES[[#This Row],[FECHA DE FACTURACIÓN]])&gt;PROVEEDORES[[#This Row],[PLAZO Días]],"PAGO VENCIDO")</f>
        <v>PAGO VENCIDO</v>
      </c>
      <c r="C254" s="25">
        <f>+VLOOKUP(PROVEEDORES[[#This Row],[PROVEEDOR]],TERCEROS_INFO[#All],2,FALSE)</f>
        <v>30</v>
      </c>
      <c r="D254" s="30">
        <f>+SUMIFS(PROVEEDORES[Total],PROVEEDORES[PROVEEDOR],PROVEEDORES[[#This Row],[PROVEEDOR]],PROVEEDORES[FECHA DE PAGO],"")</f>
        <v>0</v>
      </c>
      <c r="E254" s="30"/>
      <c r="F254" s="73" t="str">
        <f>+VLOOKUP(PROVEEDORES[[#This Row],[PROVEEDOR]],TERCEROS_INFO[[PROVEEDOR]:[CORREO]],5,FALSE)</f>
        <v>Info.patex@gmail.com;girlesa.ruiz@servipilas.com;joriescobar64@gmail.com</v>
      </c>
      <c r="G254" s="111">
        <v>44316</v>
      </c>
      <c r="H254" s="31" t="s">
        <v>338</v>
      </c>
      <c r="I254" s="111">
        <v>44284</v>
      </c>
      <c r="J254" s="48">
        <v>68</v>
      </c>
      <c r="K254" s="26">
        <v>972802</v>
      </c>
      <c r="L254" s="26"/>
      <c r="M254" s="27">
        <v>184832.38</v>
      </c>
      <c r="N254" s="28"/>
      <c r="O254" s="27">
        <v>0</v>
      </c>
      <c r="P254" s="28">
        <v>0</v>
      </c>
      <c r="Q254" s="27">
        <v>0</v>
      </c>
      <c r="R254" s="26">
        <v>1157634.3799999999</v>
      </c>
      <c r="S254" s="115">
        <f ca="1">IF(PROVEEDORES[[#This Row],[FECHA DE PAGO]]=0,TODAY()-PROVEEDORES[[#This Row],[FECHA DE FACTURACIÓN]]-PROVEEDORES[[#This Row],[PLAZO Días]],0)</f>
        <v>0</v>
      </c>
      <c r="T2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5" spans="1:20" ht="21.9" customHeight="1" x14ac:dyDescent="0.3">
      <c r="A255" s="113" t="str">
        <f>+IF(PROVEEDORES[[#This Row],[FECHA DE PAGO]]=PROVEEDORES[[#This Row],[FECHA DE FACTURACIÓN]],"DE CONTADO","CRÉDITO")</f>
        <v>CRÉDITO</v>
      </c>
      <c r="B255" s="51" t="b">
        <f>+IF((PROVEEDORES[[#This Row],[FECHA DE PAGO]]-PROVEEDORES[[#This Row],[FECHA DE FACTURACIÓN]])&gt;PROVEEDORES[[#This Row],[PLAZO Días]],"PAGO VENCIDO")</f>
        <v>0</v>
      </c>
      <c r="C255" s="25">
        <f>+VLOOKUP(PROVEEDORES[[#This Row],[PROVEEDOR]],TERCEROS_INFO[#All],2,FALSE)</f>
        <v>30</v>
      </c>
      <c r="D255" s="30">
        <f>+SUMIFS(PROVEEDORES[Total],PROVEEDORES[PROVEEDOR],PROVEEDORES[[#This Row],[PROVEEDOR]],PROVEEDORES[FECHA DE PAGO],"")</f>
        <v>0</v>
      </c>
      <c r="E255" s="30"/>
      <c r="F255" s="73" t="str">
        <f>+VLOOKUP(PROVEEDORES[[#This Row],[PROVEEDOR]],TERCEROS_INFO[[PROVEEDOR]:[CORREO]],5,FALSE)</f>
        <v/>
      </c>
      <c r="G255" s="111">
        <v>44286</v>
      </c>
      <c r="H255" s="31" t="s">
        <v>117</v>
      </c>
      <c r="I255" s="111">
        <v>44284</v>
      </c>
      <c r="J255" s="48" t="s">
        <v>296</v>
      </c>
      <c r="K255" s="26">
        <v>1374000</v>
      </c>
      <c r="L255" s="26"/>
      <c r="M255" s="27">
        <v>0</v>
      </c>
      <c r="N255" s="28"/>
      <c r="O255" s="27">
        <v>0</v>
      </c>
      <c r="P255" s="28">
        <v>0.04</v>
      </c>
      <c r="Q255" s="27">
        <v>54960</v>
      </c>
      <c r="R255" s="26">
        <v>1319040</v>
      </c>
      <c r="S255" s="115">
        <f ca="1">IF(PROVEEDORES[[#This Row],[FECHA DE PAGO]]=0,TODAY()-PROVEEDORES[[#This Row],[FECHA DE FACTURACIÓN]]-PROVEEDORES[[#This Row],[PLAZO Días]],0)</f>
        <v>0</v>
      </c>
      <c r="T2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6" spans="1:20" ht="21.9" customHeight="1" x14ac:dyDescent="0.3">
      <c r="A256" s="113" t="str">
        <f>+IF(PROVEEDORES[[#This Row],[FECHA DE PAGO]]=PROVEEDORES[[#This Row],[FECHA DE FACTURACIÓN]],"DE CONTADO","CRÉDITO")</f>
        <v>CRÉDITO</v>
      </c>
      <c r="B256" s="51" t="b">
        <f>+IF((PROVEEDORES[[#This Row],[FECHA DE PAGO]]-PROVEEDORES[[#This Row],[FECHA DE FACTURACIÓN]])&gt;PROVEEDORES[[#This Row],[PLAZO Días]],"PAGO VENCIDO")</f>
        <v>0</v>
      </c>
      <c r="C256" s="25">
        <f>+VLOOKUP(PROVEEDORES[[#This Row],[PROVEEDOR]],TERCEROS_INFO[#All],2,FALSE)</f>
        <v>30</v>
      </c>
      <c r="D256" s="30">
        <f>+SUMIFS(PROVEEDORES[Total],PROVEEDORES[PROVEEDOR],PROVEEDORES[[#This Row],[PROVEEDOR]],PROVEEDORES[FECHA DE PAGO],"")</f>
        <v>0</v>
      </c>
      <c r="E256" s="30"/>
      <c r="F256" s="73" t="str">
        <f>+VLOOKUP(PROVEEDORES[[#This Row],[PROVEEDOR]],TERCEROS_INFO[[PROVEEDOR]:[CORREO]],5,FALSE)</f>
        <v/>
      </c>
      <c r="G256" s="111">
        <v>44286</v>
      </c>
      <c r="H256" s="31" t="s">
        <v>139</v>
      </c>
      <c r="I256" s="111">
        <v>44284</v>
      </c>
      <c r="J256" s="48" t="s">
        <v>687</v>
      </c>
      <c r="K256" s="26">
        <v>1789527</v>
      </c>
      <c r="L256" s="26"/>
      <c r="M256" s="27">
        <v>340010.13</v>
      </c>
      <c r="N256" s="28"/>
      <c r="O256" s="27">
        <v>0</v>
      </c>
      <c r="P256" s="28">
        <v>3.5000000000000003E-2</v>
      </c>
      <c r="Q256" s="27">
        <v>62633.445000000007</v>
      </c>
      <c r="R256" s="26">
        <v>2066903.6849999998</v>
      </c>
      <c r="S256" s="115">
        <f ca="1">IF(PROVEEDORES[[#This Row],[FECHA DE PAGO]]=0,TODAY()-PROVEEDORES[[#This Row],[FECHA DE FACTURACIÓN]]-PROVEEDORES[[#This Row],[PLAZO Días]],0)</f>
        <v>0</v>
      </c>
      <c r="T25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7" spans="1:20" ht="21.9" customHeight="1" x14ac:dyDescent="0.3">
      <c r="A257" s="113" t="str">
        <f>+IF(PROVEEDORES[[#This Row],[FECHA DE PAGO]]=PROVEEDORES[[#This Row],[FECHA DE FACTURACIÓN]],"DE CONTADO","CRÉDITO")</f>
        <v>CRÉDITO</v>
      </c>
      <c r="B257" s="51" t="str">
        <f>+IF((PROVEEDORES[[#This Row],[FECHA DE PAGO]]-PROVEEDORES[[#This Row],[FECHA DE FACTURACIÓN]])&gt;PROVEEDORES[[#This Row],[PLAZO Días]],"PAGO VENCIDO")</f>
        <v>PAGO VENCIDO</v>
      </c>
      <c r="C257" s="25">
        <f>+VLOOKUP(PROVEEDORES[[#This Row],[PROVEEDOR]],TERCEROS_INFO[#All],2,FALSE)</f>
        <v>30</v>
      </c>
      <c r="D257" s="30">
        <f>+SUMIFS(PROVEEDORES[Total],PROVEEDORES[PROVEEDOR],PROVEEDORES[[#This Row],[PROVEEDOR]],PROVEEDORES[FECHA DE PAGO],"")</f>
        <v>1451823</v>
      </c>
      <c r="E257" s="30"/>
      <c r="F257" s="73" t="str">
        <f>+VLOOKUP(PROVEEDORES[[#This Row],[PROVEEDOR]],TERCEROS_INFO[[PROVEEDOR]:[CORREO]],5,FALSE)</f>
        <v>cartera@ienewline.com;andres.arroyave@ienewline.com;girlesa.ruiz@servipilas.com;joriescobar64@gmail.com</v>
      </c>
      <c r="G257" s="111">
        <v>44343</v>
      </c>
      <c r="H257" s="31" t="s">
        <v>1131</v>
      </c>
      <c r="I257" s="111">
        <v>44284</v>
      </c>
      <c r="J257" s="48">
        <v>15631</v>
      </c>
      <c r="K257" s="26">
        <v>11868000</v>
      </c>
      <c r="L257" s="26"/>
      <c r="M257" s="27">
        <v>2254920</v>
      </c>
      <c r="N257" s="28"/>
      <c r="O257" s="27">
        <v>0</v>
      </c>
      <c r="P257" s="28">
        <v>2.5000000000000001E-2</v>
      </c>
      <c r="Q257" s="27">
        <v>296700</v>
      </c>
      <c r="R257" s="26">
        <v>13826220</v>
      </c>
      <c r="S257" s="115">
        <f ca="1">IF(PROVEEDORES[[#This Row],[FECHA DE PAGO]]=0,TODAY()-PROVEEDORES[[#This Row],[FECHA DE FACTURACIÓN]]-PROVEEDORES[[#This Row],[PLAZO Días]],0)</f>
        <v>0</v>
      </c>
      <c r="T25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8" spans="1:20" ht="21.9" customHeight="1" x14ac:dyDescent="0.3">
      <c r="A258" s="113" t="str">
        <f>+IF(PROVEEDORES[[#This Row],[FECHA DE PAGO]]=PROVEEDORES[[#This Row],[FECHA DE FACTURACIÓN]],"DE CONTADO","CRÉDITO")</f>
        <v>DE CONTADO</v>
      </c>
      <c r="B258" s="51" t="b">
        <f>+IF((PROVEEDORES[[#This Row],[FECHA DE PAGO]]-PROVEEDORES[[#This Row],[FECHA DE FACTURACIÓN]])&gt;PROVEEDORES[[#This Row],[PLAZO Días]],"PAGO VENCIDO")</f>
        <v>0</v>
      </c>
      <c r="C258" s="25">
        <f>+VLOOKUP(PROVEEDORES[[#This Row],[PROVEEDOR]],TERCEROS_INFO[#All],2,FALSE)</f>
        <v>30</v>
      </c>
      <c r="D258" s="30">
        <f>+SUMIFS(PROVEEDORES[Total],PROVEEDORES[PROVEEDOR],PROVEEDORES[[#This Row],[PROVEEDOR]],PROVEEDORES[FECHA DE PAGO],"")</f>
        <v>0</v>
      </c>
      <c r="E258" s="30"/>
      <c r="F258" s="73" t="str">
        <f>+VLOOKUP(PROVEEDORES[[#This Row],[PROVEEDOR]],TERCEROS_INFO[[PROVEEDOR]:[CORREO]],5,FALSE)</f>
        <v/>
      </c>
      <c r="G258" s="111">
        <v>44285</v>
      </c>
      <c r="H258" s="31" t="s">
        <v>1052</v>
      </c>
      <c r="I258" s="111">
        <v>44285</v>
      </c>
      <c r="J258" s="48"/>
      <c r="K258" s="26">
        <v>1000000</v>
      </c>
      <c r="L258" s="26"/>
      <c r="M258" s="27">
        <v>0</v>
      </c>
      <c r="N258" s="28"/>
      <c r="O258" s="27">
        <v>0</v>
      </c>
      <c r="P258" s="28">
        <v>0</v>
      </c>
      <c r="Q258" s="27">
        <v>0</v>
      </c>
      <c r="R258" s="26">
        <v>1000000</v>
      </c>
      <c r="S258" s="115">
        <f ca="1">IF(PROVEEDORES[[#This Row],[FECHA DE PAGO]]=0,TODAY()-PROVEEDORES[[#This Row],[FECHA DE FACTURACIÓN]]-PROVEEDORES[[#This Row],[PLAZO Días]],0)</f>
        <v>0</v>
      </c>
      <c r="T25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59" spans="1:20" ht="21.9" customHeight="1" x14ac:dyDescent="0.3">
      <c r="A259" s="113" t="str">
        <f>+IF(PROVEEDORES[[#This Row],[FECHA DE PAGO]]=PROVEEDORES[[#This Row],[FECHA DE FACTURACIÓN]],"DE CONTADO","CRÉDITO")</f>
        <v>DE CONTADO</v>
      </c>
      <c r="B259" s="51" t="b">
        <f>+IF((PROVEEDORES[[#This Row],[FECHA DE PAGO]]-PROVEEDORES[[#This Row],[FECHA DE FACTURACIÓN]])&gt;PROVEEDORES[[#This Row],[PLAZO Días]],"PAGO VENCIDO")</f>
        <v>0</v>
      </c>
      <c r="C259" s="25">
        <f>+VLOOKUP(PROVEEDORES[[#This Row],[PROVEEDOR]],TERCEROS_INFO[#All],2,FALSE)</f>
        <v>30</v>
      </c>
      <c r="D259" s="30">
        <f>+SUMIFS(PROVEEDORES[Total],PROVEEDORES[PROVEEDOR],PROVEEDORES[[#This Row],[PROVEEDOR]],PROVEEDORES[FECHA DE PAGO],"")</f>
        <v>0</v>
      </c>
      <c r="E259" s="30"/>
      <c r="F259" s="73" t="str">
        <f>+VLOOKUP(PROVEEDORES[[#This Row],[PROVEEDOR]],TERCEROS_INFO[[PROVEEDOR]:[CORREO]],5,FALSE)</f>
        <v/>
      </c>
      <c r="G259" s="111">
        <v>44286</v>
      </c>
      <c r="H259" s="31" t="s">
        <v>1016</v>
      </c>
      <c r="I259" s="111">
        <v>44286</v>
      </c>
      <c r="J259" s="48" t="s">
        <v>944</v>
      </c>
      <c r="K259" s="26">
        <v>132400</v>
      </c>
      <c r="L259" s="26"/>
      <c r="M259" s="27">
        <v>0</v>
      </c>
      <c r="N259" s="28"/>
      <c r="O259" s="27">
        <v>0</v>
      </c>
      <c r="P259" s="28">
        <v>0</v>
      </c>
      <c r="Q259" s="27">
        <v>0</v>
      </c>
      <c r="R259" s="26">
        <v>132400</v>
      </c>
      <c r="S259" s="115">
        <f ca="1">IF(PROVEEDORES[[#This Row],[FECHA DE PAGO]]=0,TODAY()-PROVEEDORES[[#This Row],[FECHA DE FACTURACIÓN]]-PROVEEDORES[[#This Row],[PLAZO Días]],0)</f>
        <v>0</v>
      </c>
      <c r="T2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0" spans="1:20" ht="21.9" customHeight="1" x14ac:dyDescent="0.3">
      <c r="A260" s="113" t="str">
        <f>+IF(PROVEEDORES[[#This Row],[FECHA DE PAGO]]=PROVEEDORES[[#This Row],[FECHA DE FACTURACIÓN]],"DE CONTADO","CRÉDITO")</f>
        <v>DE CONTADO</v>
      </c>
      <c r="B260" s="51" t="b">
        <f>+IF((PROVEEDORES[[#This Row],[FECHA DE PAGO]]-PROVEEDORES[[#This Row],[FECHA DE FACTURACIÓN]])&gt;PROVEEDORES[[#This Row],[PLAZO Días]],"PAGO VENCIDO")</f>
        <v>0</v>
      </c>
      <c r="C260" s="25">
        <f>+VLOOKUP(PROVEEDORES[[#This Row],[PROVEEDOR]],TERCEROS_INFO[#All],2,FALSE)</f>
        <v>30</v>
      </c>
      <c r="D260" s="30">
        <f>+SUMIFS(PROVEEDORES[Total],PROVEEDORES[PROVEEDOR],PROVEEDORES[[#This Row],[PROVEEDOR]],PROVEEDORES[FECHA DE PAGO],"")</f>
        <v>0</v>
      </c>
      <c r="E260" s="30"/>
      <c r="F260" s="73" t="str">
        <f>+VLOOKUP(PROVEEDORES[[#This Row],[PROVEEDOR]],TERCEROS_INFO[[PROVEEDOR]:[CORREO]],5,FALSE)</f>
        <v/>
      </c>
      <c r="G260" s="111">
        <v>44286</v>
      </c>
      <c r="H260" s="31" t="s">
        <v>1016</v>
      </c>
      <c r="I260" s="111">
        <v>44286</v>
      </c>
      <c r="J260" s="48" t="s">
        <v>946</v>
      </c>
      <c r="K260" s="26">
        <v>323500</v>
      </c>
      <c r="L260" s="26"/>
      <c r="M260" s="27">
        <v>0</v>
      </c>
      <c r="N260" s="28"/>
      <c r="O260" s="27">
        <v>0</v>
      </c>
      <c r="P260" s="28">
        <v>0</v>
      </c>
      <c r="Q260" s="27">
        <v>0</v>
      </c>
      <c r="R260" s="26">
        <v>323500</v>
      </c>
      <c r="S260" s="115">
        <f ca="1">IF(PROVEEDORES[[#This Row],[FECHA DE PAGO]]=0,TODAY()-PROVEEDORES[[#This Row],[FECHA DE FACTURACIÓN]]-PROVEEDORES[[#This Row],[PLAZO Días]],0)</f>
        <v>0</v>
      </c>
      <c r="T26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1" spans="1:20" ht="21.9" customHeight="1" x14ac:dyDescent="0.3">
      <c r="A261" s="113" t="str">
        <f>+IF(PROVEEDORES[[#This Row],[FECHA DE PAGO]]=PROVEEDORES[[#This Row],[FECHA DE FACTURACIÓN]],"DE CONTADO","CRÉDITO")</f>
        <v>DE CONTADO</v>
      </c>
      <c r="B261" s="51" t="b">
        <f>+IF((PROVEEDORES[[#This Row],[FECHA DE PAGO]]-PROVEEDORES[[#This Row],[FECHA DE FACTURACIÓN]])&gt;PROVEEDORES[[#This Row],[PLAZO Días]],"PAGO VENCIDO")</f>
        <v>0</v>
      </c>
      <c r="C261" s="25">
        <f>+VLOOKUP(PROVEEDORES[[#This Row],[PROVEEDOR]],TERCEROS_INFO[#All],2,FALSE)</f>
        <v>30</v>
      </c>
      <c r="D261" s="30">
        <f>+SUMIFS(PROVEEDORES[Total],PROVEEDORES[PROVEEDOR],PROVEEDORES[[#This Row],[PROVEEDOR]],PROVEEDORES[FECHA DE PAGO],"")</f>
        <v>0</v>
      </c>
      <c r="E261" s="30"/>
      <c r="F261" s="73" t="str">
        <f>+VLOOKUP(PROVEEDORES[[#This Row],[PROVEEDOR]],TERCEROS_INFO[[PROVEEDOR]:[CORREO]],5,FALSE)</f>
        <v/>
      </c>
      <c r="G261" s="111">
        <v>44286</v>
      </c>
      <c r="H261" s="31" t="s">
        <v>1016</v>
      </c>
      <c r="I261" s="111">
        <v>44286</v>
      </c>
      <c r="J261" s="48" t="s">
        <v>182</v>
      </c>
      <c r="K261" s="26">
        <v>456000</v>
      </c>
      <c r="L261" s="26"/>
      <c r="M261" s="27">
        <v>0</v>
      </c>
      <c r="N261" s="28"/>
      <c r="O261" s="27">
        <v>0</v>
      </c>
      <c r="P261" s="28">
        <v>0</v>
      </c>
      <c r="Q261" s="27">
        <v>0</v>
      </c>
      <c r="R261" s="26">
        <v>456000</v>
      </c>
      <c r="S261" s="115">
        <f ca="1">IF(PROVEEDORES[[#This Row],[FECHA DE PAGO]]=0,TODAY()-PROVEEDORES[[#This Row],[FECHA DE FACTURACIÓN]]-PROVEEDORES[[#This Row],[PLAZO Días]],0)</f>
        <v>0</v>
      </c>
      <c r="T26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2" spans="1:20" ht="21.9" customHeight="1" x14ac:dyDescent="0.3">
      <c r="A262" s="113" t="str">
        <f>+IF(PROVEEDORES[[#This Row],[FECHA DE PAGO]]=PROVEEDORES[[#This Row],[FECHA DE FACTURACIÓN]],"DE CONTADO","CRÉDITO")</f>
        <v>DE CONTADO</v>
      </c>
      <c r="B262" s="51" t="b">
        <f>+IF((PROVEEDORES[[#This Row],[FECHA DE PAGO]]-PROVEEDORES[[#This Row],[FECHA DE FACTURACIÓN]])&gt;PROVEEDORES[[#This Row],[PLAZO Días]],"PAGO VENCIDO")</f>
        <v>0</v>
      </c>
      <c r="C262" s="25">
        <f>+VLOOKUP(PROVEEDORES[[#This Row],[PROVEEDOR]],TERCEROS_INFO[#All],2,FALSE)</f>
        <v>30</v>
      </c>
      <c r="D262" s="30">
        <f>+SUMIFS(PROVEEDORES[Total],PROVEEDORES[PROVEEDOR],PROVEEDORES[[#This Row],[PROVEEDOR]],PROVEEDORES[FECHA DE PAGO],"")</f>
        <v>0</v>
      </c>
      <c r="E262" s="30"/>
      <c r="F262" s="73" t="str">
        <f>+VLOOKUP(PROVEEDORES[[#This Row],[PROVEEDOR]],TERCEROS_INFO[[PROVEEDOR]:[CORREO]],5,FALSE)</f>
        <v/>
      </c>
      <c r="G262" s="111">
        <v>44286</v>
      </c>
      <c r="H262" s="31" t="s">
        <v>1016</v>
      </c>
      <c r="I262" s="111">
        <v>44286</v>
      </c>
      <c r="J262" s="48" t="s">
        <v>945</v>
      </c>
      <c r="K262" s="26">
        <v>1054000</v>
      </c>
      <c r="L262" s="26"/>
      <c r="M262" s="27">
        <v>0</v>
      </c>
      <c r="N262" s="28"/>
      <c r="O262" s="27">
        <v>0</v>
      </c>
      <c r="P262" s="28">
        <v>0</v>
      </c>
      <c r="Q262" s="27">
        <v>0</v>
      </c>
      <c r="R262" s="26">
        <v>1054000</v>
      </c>
      <c r="S262" s="115">
        <f ca="1">IF(PROVEEDORES[[#This Row],[FECHA DE PAGO]]=0,TODAY()-PROVEEDORES[[#This Row],[FECHA DE FACTURACIÓN]]-PROVEEDORES[[#This Row],[PLAZO Días]],0)</f>
        <v>0</v>
      </c>
      <c r="T2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3" spans="1:20" ht="21.9" customHeight="1" x14ac:dyDescent="0.3">
      <c r="A263" s="113" t="str">
        <f>+IF(PROVEEDORES[[#This Row],[FECHA DE PAGO]]=PROVEEDORES[[#This Row],[FECHA DE FACTURACIÓN]],"DE CONTADO","CRÉDITO")</f>
        <v>DE CONTADO</v>
      </c>
      <c r="B263" s="51" t="b">
        <f>+IF((PROVEEDORES[[#This Row],[FECHA DE PAGO]]-PROVEEDORES[[#This Row],[FECHA DE FACTURACIÓN]])&gt;PROVEEDORES[[#This Row],[PLAZO Días]],"PAGO VENCIDO")</f>
        <v>0</v>
      </c>
      <c r="C263" s="25">
        <f>+VLOOKUP(PROVEEDORES[[#This Row],[PROVEEDOR]],TERCEROS_INFO[#All],2,FALSE)</f>
        <v>30</v>
      </c>
      <c r="D263" s="30">
        <f>+SUMIFS(PROVEEDORES[Total],PROVEEDORES[PROVEEDOR],PROVEEDORES[[#This Row],[PROVEEDOR]],PROVEEDORES[FECHA DE PAGO],"")</f>
        <v>0</v>
      </c>
      <c r="E263" s="30"/>
      <c r="F263" s="73" t="str">
        <f>+VLOOKUP(PROVEEDORES[[#This Row],[PROVEEDOR]],TERCEROS_INFO[[PROVEEDOR]:[CORREO]],5,FALSE)</f>
        <v/>
      </c>
      <c r="G263" s="111">
        <v>44286</v>
      </c>
      <c r="H263" s="31" t="s">
        <v>1016</v>
      </c>
      <c r="I263" s="111">
        <v>44286</v>
      </c>
      <c r="J263" s="48" t="s">
        <v>943</v>
      </c>
      <c r="K263" s="26">
        <v>2073000</v>
      </c>
      <c r="L263" s="26"/>
      <c r="M263" s="27">
        <v>0</v>
      </c>
      <c r="N263" s="28"/>
      <c r="O263" s="27">
        <v>0</v>
      </c>
      <c r="P263" s="28">
        <v>0</v>
      </c>
      <c r="Q263" s="27">
        <v>0</v>
      </c>
      <c r="R263" s="26">
        <v>2073000</v>
      </c>
      <c r="S263" s="115">
        <f ca="1">IF(PROVEEDORES[[#This Row],[FECHA DE PAGO]]=0,TODAY()-PROVEEDORES[[#This Row],[FECHA DE FACTURACIÓN]]-PROVEEDORES[[#This Row],[PLAZO Días]],0)</f>
        <v>0</v>
      </c>
      <c r="T2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4" spans="1:20" ht="21.9" customHeight="1" x14ac:dyDescent="0.3">
      <c r="A264" s="113" t="str">
        <f>+IF(PROVEEDORES[[#This Row],[FECHA DE PAGO]]=PROVEEDORES[[#This Row],[FECHA DE FACTURACIÓN]],"DE CONTADO","CRÉDITO")</f>
        <v>CRÉDITO</v>
      </c>
      <c r="B264" s="51" t="str">
        <f>+IF((PROVEEDORES[[#This Row],[FECHA DE PAGO]]-PROVEEDORES[[#This Row],[FECHA DE FACTURACIÓN]])&gt;PROVEEDORES[[#This Row],[PLAZO Días]],"PAGO VENCIDO")</f>
        <v>PAGO VENCIDO</v>
      </c>
      <c r="C264" s="25">
        <f>+VLOOKUP(PROVEEDORES[[#This Row],[PROVEEDOR]],TERCEROS_INFO[#All],2,FALSE)</f>
        <v>30</v>
      </c>
      <c r="D264" s="30">
        <f>+SUMIFS(PROVEEDORES[Total],PROVEEDORES[PROVEEDOR],PROVEEDORES[[#This Row],[PROVEEDOR]],PROVEEDORES[FECHA DE PAGO],"")</f>
        <v>4862586.33</v>
      </c>
      <c r="E264" s="30"/>
      <c r="F264" s="73" t="str">
        <f>+VLOOKUP(PROVEEDORES[[#This Row],[PROVEEDOR]],TERCEROS_INFO[[PROVEEDOR]:[CORREO]],5,FALSE)</f>
        <v>cartera@conbienes.com;girlesa.ruiz@servipilas.com;joriescobar64@gmail.com</v>
      </c>
      <c r="G264" s="111">
        <v>44341</v>
      </c>
      <c r="H264" s="31" t="s">
        <v>348</v>
      </c>
      <c r="I264" s="111">
        <v>44287</v>
      </c>
      <c r="J264" s="48" t="s">
        <v>326</v>
      </c>
      <c r="K264" s="26">
        <v>-918350</v>
      </c>
      <c r="L264" s="26"/>
      <c r="M264" s="27">
        <v>-174486.5</v>
      </c>
      <c r="N264" s="28"/>
      <c r="O264" s="27">
        <v>0</v>
      </c>
      <c r="P264" s="28">
        <v>0</v>
      </c>
      <c r="Q264" s="27">
        <v>0</v>
      </c>
      <c r="R264" s="26">
        <v>-1092836.5</v>
      </c>
      <c r="S264" s="115">
        <f ca="1">IF(PROVEEDORES[[#This Row],[FECHA DE PAGO]]=0,TODAY()-PROVEEDORES[[#This Row],[FECHA DE FACTURACIÓN]]-PROVEEDORES[[#This Row],[PLAZO Días]],0)</f>
        <v>0</v>
      </c>
      <c r="T2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5" spans="1:20" ht="21.9" customHeight="1" x14ac:dyDescent="0.3">
      <c r="A265" s="113" t="str">
        <f>+IF(PROVEEDORES[[#This Row],[FECHA DE PAGO]]=PROVEEDORES[[#This Row],[FECHA DE FACTURACIÓN]],"DE CONTADO","CRÉDITO")</f>
        <v>CRÉDITO</v>
      </c>
      <c r="B265" s="51" t="b">
        <f>+IF((PROVEEDORES[[#This Row],[FECHA DE PAGO]]-PROVEEDORES[[#This Row],[FECHA DE FACTURACIÓN]])&gt;PROVEEDORES[[#This Row],[PLAZO Días]],"PAGO VENCIDO")</f>
        <v>0</v>
      </c>
      <c r="C265" s="25">
        <f>+VLOOKUP(PROVEEDORES[[#This Row],[PROVEEDOR]],TERCEROS_INFO[#All],2,FALSE)</f>
        <v>30</v>
      </c>
      <c r="D265" s="30">
        <f>+SUMIFS(PROVEEDORES[Total],PROVEEDORES[PROVEEDOR],PROVEEDORES[[#This Row],[PROVEEDOR]],PROVEEDORES[FECHA DE PAGO],"")</f>
        <v>248736.18000000002</v>
      </c>
      <c r="E265" s="30"/>
      <c r="F265" s="73" t="str">
        <f>+VLOOKUP(PROVEEDORES[[#This Row],[PROVEEDOR]],TERCEROS_INFO[[PROVEEDOR]:[CORREO]],5,FALSE)</f>
        <v>administracion@sapian.com.co;girlesa.ruiz@servipilas.com;joriescobar64@gmail.com</v>
      </c>
      <c r="G265" s="111">
        <v>44314</v>
      </c>
      <c r="H265" s="31" t="s">
        <v>346</v>
      </c>
      <c r="I265" s="111">
        <v>44287</v>
      </c>
      <c r="J265" s="48">
        <v>1764</v>
      </c>
      <c r="K265" s="26">
        <v>203897</v>
      </c>
      <c r="L265" s="26"/>
      <c r="M265" s="27">
        <v>38740.43</v>
      </c>
      <c r="N265" s="28"/>
      <c r="O265" s="27">
        <v>0</v>
      </c>
      <c r="P265" s="28">
        <v>3.5000000000000003E-2</v>
      </c>
      <c r="Q265" s="27">
        <v>7136.3950000000004</v>
      </c>
      <c r="R265" s="26">
        <v>235501.035</v>
      </c>
      <c r="S265" s="115">
        <f ca="1">IF(PROVEEDORES[[#This Row],[FECHA DE PAGO]]=0,TODAY()-PROVEEDORES[[#This Row],[FECHA DE FACTURACIÓN]]-PROVEEDORES[[#This Row],[PLAZO Días]],0)</f>
        <v>0</v>
      </c>
      <c r="T2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6" spans="1:20" ht="21.9" customHeight="1" x14ac:dyDescent="0.3">
      <c r="A266" s="113" t="str">
        <f>+IF(PROVEEDORES[[#This Row],[FECHA DE PAGO]]=PROVEEDORES[[#This Row],[FECHA DE FACTURACIÓN]],"DE CONTADO","CRÉDITO")</f>
        <v>CRÉDITO</v>
      </c>
      <c r="B266" s="51" t="b">
        <f>+IF((PROVEEDORES[[#This Row],[FECHA DE PAGO]]-PROVEEDORES[[#This Row],[FECHA DE FACTURACIÓN]])&gt;PROVEEDORES[[#This Row],[PLAZO Días]],"PAGO VENCIDO")</f>
        <v>0</v>
      </c>
      <c r="C266" s="25">
        <f>+VLOOKUP(PROVEEDORES[[#This Row],[PROVEEDOR]],TERCEROS_INFO[#All],2,FALSE)</f>
        <v>30</v>
      </c>
      <c r="D266" s="30">
        <f>+SUMIFS(PROVEEDORES[Total],PROVEEDORES[PROVEEDOR],PROVEEDORES[[#This Row],[PROVEEDOR]],PROVEEDORES[FECHA DE PAGO],"")</f>
        <v>248736.18000000002</v>
      </c>
      <c r="E266" s="30"/>
      <c r="F266" s="73" t="str">
        <f>+VLOOKUP(PROVEEDORES[[#This Row],[PROVEEDOR]],TERCEROS_INFO[[PROVEEDOR]:[CORREO]],5,FALSE)</f>
        <v>administracion@sapian.com.co;girlesa.ruiz@servipilas.com;joriescobar64@gmail.com</v>
      </c>
      <c r="G266" s="111">
        <v>44314</v>
      </c>
      <c r="H266" s="31" t="s">
        <v>346</v>
      </c>
      <c r="I266" s="111">
        <v>44287</v>
      </c>
      <c r="J266" s="48" t="s">
        <v>304</v>
      </c>
      <c r="K266" s="26">
        <v>203897</v>
      </c>
      <c r="L266" s="26"/>
      <c r="M266" s="27">
        <v>38740.43</v>
      </c>
      <c r="N266" s="28"/>
      <c r="O266" s="27">
        <v>0</v>
      </c>
      <c r="P266" s="28">
        <v>3.5000000000000003E-2</v>
      </c>
      <c r="Q266" s="27">
        <v>7136.3950000000004</v>
      </c>
      <c r="R266" s="26">
        <v>235501.035</v>
      </c>
      <c r="S266" s="115">
        <f ca="1">IF(PROVEEDORES[[#This Row],[FECHA DE PAGO]]=0,TODAY()-PROVEEDORES[[#This Row],[FECHA DE FACTURACIÓN]]-PROVEEDORES[[#This Row],[PLAZO Días]],0)</f>
        <v>0</v>
      </c>
      <c r="T26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7" spans="1:20" ht="21.9" customHeight="1" x14ac:dyDescent="0.3">
      <c r="A267" s="113" t="str">
        <f>+IF(PROVEEDORES[[#This Row],[FECHA DE PAGO]]=PROVEEDORES[[#This Row],[FECHA DE FACTURACIÓN]],"DE CONTADO","CRÉDITO")</f>
        <v>CRÉDITO</v>
      </c>
      <c r="B267" s="51" t="b">
        <f>+IF((PROVEEDORES[[#This Row],[FECHA DE PAGO]]-PROVEEDORES[[#This Row],[FECHA DE FACTURACIÓN]])&gt;PROVEEDORES[[#This Row],[PLAZO Días]],"PAGO VENCIDO")</f>
        <v>0</v>
      </c>
      <c r="C267" s="25">
        <f>+VLOOKUP(PROVEEDORES[[#This Row],[PROVEEDOR]],TERCEROS_INFO[#All],2,FALSE)</f>
        <v>30</v>
      </c>
      <c r="D267" s="30">
        <f>+SUMIFS(PROVEEDORES[Total],PROVEEDORES[PROVEEDOR],PROVEEDORES[[#This Row],[PROVEEDOR]],PROVEEDORES[FECHA DE PAGO],"")</f>
        <v>0</v>
      </c>
      <c r="E267" s="30"/>
      <c r="F267" s="73" t="str">
        <f>+VLOOKUP(PROVEEDORES[[#This Row],[PROVEEDOR]],TERCEROS_INFO[[PROVEEDOR]:[CORREO]],5,FALSE)</f>
        <v>facturacion@losmolinos.com.co</v>
      </c>
      <c r="G267" s="111">
        <v>44302</v>
      </c>
      <c r="H267" s="31" t="s">
        <v>345</v>
      </c>
      <c r="I267" s="111">
        <v>44287</v>
      </c>
      <c r="J267" s="48">
        <v>62349</v>
      </c>
      <c r="K267" s="26">
        <v>302625</v>
      </c>
      <c r="L267" s="26"/>
      <c r="M267" s="27">
        <v>0</v>
      </c>
      <c r="N267" s="28"/>
      <c r="O267" s="27">
        <v>47919.55</v>
      </c>
      <c r="P267" s="28">
        <v>0</v>
      </c>
      <c r="Q267" s="27">
        <v>0</v>
      </c>
      <c r="R267" s="26">
        <v>254705.45</v>
      </c>
      <c r="S267" s="115">
        <f ca="1">IF(PROVEEDORES[[#This Row],[FECHA DE PAGO]]=0,TODAY()-PROVEEDORES[[#This Row],[FECHA DE FACTURACIÓN]]-PROVEEDORES[[#This Row],[PLAZO Días]],0)</f>
        <v>0</v>
      </c>
      <c r="T2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8" spans="1:20" ht="21.9" customHeight="1" x14ac:dyDescent="0.3">
      <c r="A268" s="113" t="str">
        <f>+IF(PROVEEDORES[[#This Row],[FECHA DE PAGO]]=PROVEEDORES[[#This Row],[FECHA DE FACTURACIÓN]],"DE CONTADO","CRÉDITO")</f>
        <v>CRÉDITO</v>
      </c>
      <c r="B268" s="51" t="b">
        <f>+IF((PROVEEDORES[[#This Row],[FECHA DE PAGO]]-PROVEEDORES[[#This Row],[FECHA DE FACTURACIÓN]])&gt;PROVEEDORES[[#This Row],[PLAZO Días]],"PAGO VENCIDO")</f>
        <v>0</v>
      </c>
      <c r="C268" s="25">
        <f>+VLOOKUP(PROVEEDORES[[#This Row],[PROVEEDOR]],TERCEROS_INFO[#All],2,FALSE)</f>
        <v>30</v>
      </c>
      <c r="D268" s="30">
        <f>+SUMIFS(PROVEEDORES[Total],PROVEEDORES[PROVEEDOR],PROVEEDORES[[#This Row],[PROVEEDOR]],PROVEEDORES[FECHA DE PAGO],"")</f>
        <v>4862586.33</v>
      </c>
      <c r="E268" s="30"/>
      <c r="F268" s="73" t="str">
        <f>+VLOOKUP(PROVEEDORES[[#This Row],[PROVEEDOR]],TERCEROS_INFO[[PROVEEDOR]:[CORREO]],5,FALSE)</f>
        <v>cartera@conbienes.com;girlesa.ruiz@servipilas.com;joriescobar64@gmail.com</v>
      </c>
      <c r="G268" s="111">
        <v>44314</v>
      </c>
      <c r="H268" s="31" t="s">
        <v>348</v>
      </c>
      <c r="I268" s="111">
        <v>44287</v>
      </c>
      <c r="J268" s="48" t="s">
        <v>328</v>
      </c>
      <c r="K268" s="26">
        <v>716544</v>
      </c>
      <c r="L268" s="26"/>
      <c r="M268" s="27">
        <v>136143.36000000002</v>
      </c>
      <c r="N268" s="28"/>
      <c r="O268" s="27">
        <v>0</v>
      </c>
      <c r="P268" s="28">
        <v>0</v>
      </c>
      <c r="Q268" s="27">
        <v>0</v>
      </c>
      <c r="R268" s="26">
        <v>852687.35999999999</v>
      </c>
      <c r="S268" s="115">
        <f ca="1">IF(PROVEEDORES[[#This Row],[FECHA DE PAGO]]=0,TODAY()-PROVEEDORES[[#This Row],[FECHA DE FACTURACIÓN]]-PROVEEDORES[[#This Row],[PLAZO Días]],0)</f>
        <v>0</v>
      </c>
      <c r="T2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69" spans="1:20" ht="21.9" customHeight="1" x14ac:dyDescent="0.3">
      <c r="A269" s="113" t="str">
        <f>+IF(PROVEEDORES[[#This Row],[FECHA DE PAGO]]=PROVEEDORES[[#This Row],[FECHA DE FACTURACIÓN]],"DE CONTADO","CRÉDITO")</f>
        <v>CRÉDITO</v>
      </c>
      <c r="B269" s="51" t="str">
        <f>+IF((PROVEEDORES[[#This Row],[FECHA DE PAGO]]-PROVEEDORES[[#This Row],[FECHA DE FACTURACIÓN]])&gt;PROVEEDORES[[#This Row],[PLAZO Días]],"PAGO VENCIDO")</f>
        <v>PAGO VENCIDO</v>
      </c>
      <c r="C269" s="25">
        <f>+VLOOKUP(PROVEEDORES[[#This Row],[PROVEEDOR]],TERCEROS_INFO[#All],2,FALSE)</f>
        <v>30</v>
      </c>
      <c r="D269" s="30">
        <f>+SUMIFS(PROVEEDORES[Total],PROVEEDORES[PROVEEDOR],PROVEEDORES[[#This Row],[PROVEEDOR]],PROVEEDORES[FECHA DE PAGO],"")</f>
        <v>1856492</v>
      </c>
      <c r="E269" s="30"/>
      <c r="F269" s="73" t="str">
        <f>+VLOOKUP(PROVEEDORES[[#This Row],[PROVEEDOR]],TERCEROS_INFO[[PROVEEDOR]:[CORREO]],5,FALSE)</f>
        <v>PSE</v>
      </c>
      <c r="G269" s="111">
        <v>44340</v>
      </c>
      <c r="H269" s="31" t="s">
        <v>337</v>
      </c>
      <c r="I269" s="111">
        <v>44287</v>
      </c>
      <c r="J269" s="48" t="s">
        <v>320</v>
      </c>
      <c r="K269" s="26">
        <v>1230953</v>
      </c>
      <c r="L269" s="26"/>
      <c r="M269" s="27">
        <v>0</v>
      </c>
      <c r="N269" s="28"/>
      <c r="O269" s="27">
        <v>0</v>
      </c>
      <c r="P269" s="28">
        <v>0</v>
      </c>
      <c r="Q269" s="27">
        <v>0</v>
      </c>
      <c r="R269" s="26">
        <v>1230953</v>
      </c>
      <c r="S269" s="115">
        <f ca="1">IF(PROVEEDORES[[#This Row],[FECHA DE PAGO]]=0,TODAY()-PROVEEDORES[[#This Row],[FECHA DE FACTURACIÓN]]-PROVEEDORES[[#This Row],[PLAZO Días]],0)</f>
        <v>0</v>
      </c>
      <c r="T26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0" spans="1:20" ht="21.9" customHeight="1" x14ac:dyDescent="0.3">
      <c r="A270" s="113" t="str">
        <f>+IF(PROVEEDORES[[#This Row],[FECHA DE PAGO]]=PROVEEDORES[[#This Row],[FECHA DE FACTURACIÓN]],"DE CONTADO","CRÉDITO")</f>
        <v>CRÉDITO</v>
      </c>
      <c r="B270" s="51" t="b">
        <f>+IF((PROVEEDORES[[#This Row],[FECHA DE PAGO]]-PROVEEDORES[[#This Row],[FECHA DE FACTURACIÓN]])&gt;PROVEEDORES[[#This Row],[PLAZO Días]],"PAGO VENCIDO")</f>
        <v>0</v>
      </c>
      <c r="C270" s="25">
        <f>+VLOOKUP(PROVEEDORES[[#This Row],[PROVEEDOR]],TERCEROS_INFO[#All],2,FALSE)</f>
        <v>30</v>
      </c>
      <c r="D270" s="30">
        <f>+SUMIFS(PROVEEDORES[Total],PROVEEDORES[PROVEEDOR],PROVEEDORES[[#This Row],[PROVEEDOR]],PROVEEDORES[FECHA DE PAGO],"")</f>
        <v>1296896</v>
      </c>
      <c r="E270" s="30"/>
      <c r="F270" s="73" t="str">
        <f>+VLOOKUP(PROVEEDORES[[#This Row],[PROVEEDOR]],TERCEROS_INFO[[PROVEEDOR]:[CORREO]],5,FALSE)</f>
        <v>tesoreria@lacentral.com.co;girlesa.ruiz@servipilas.com;joriescobar64@gmail.com</v>
      </c>
      <c r="G270" s="111">
        <v>44314</v>
      </c>
      <c r="H270" s="31" t="s">
        <v>335</v>
      </c>
      <c r="I270" s="111">
        <v>44287</v>
      </c>
      <c r="J270" s="48">
        <v>7921</v>
      </c>
      <c r="K270" s="26">
        <v>1517363</v>
      </c>
      <c r="L270" s="26"/>
      <c r="M270" s="27">
        <v>0</v>
      </c>
      <c r="N270" s="28"/>
      <c r="O270" s="27">
        <v>360724</v>
      </c>
      <c r="P270" s="28">
        <v>0</v>
      </c>
      <c r="Q270" s="27">
        <v>0</v>
      </c>
      <c r="R270" s="26">
        <v>1156639</v>
      </c>
      <c r="S270" s="115">
        <f ca="1">IF(PROVEEDORES[[#This Row],[FECHA DE PAGO]]=0,TODAY()-PROVEEDORES[[#This Row],[FECHA DE FACTURACIÓN]]-PROVEEDORES[[#This Row],[PLAZO Días]],0)</f>
        <v>0</v>
      </c>
      <c r="T27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1" spans="1:20" ht="21.9" customHeight="1" x14ac:dyDescent="0.3">
      <c r="A271" s="113" t="str">
        <f>+IF(PROVEEDORES[[#This Row],[FECHA DE PAGO]]=PROVEEDORES[[#This Row],[FECHA DE FACTURACIÓN]],"DE CONTADO","CRÉDITO")</f>
        <v>CRÉDITO</v>
      </c>
      <c r="B271" s="51" t="str">
        <f>+IF((PROVEEDORES[[#This Row],[FECHA DE PAGO]]-PROVEEDORES[[#This Row],[FECHA DE FACTURACIÓN]])&gt;PROVEEDORES[[#This Row],[PLAZO Días]],"PAGO VENCIDO")</f>
        <v>PAGO VENCIDO</v>
      </c>
      <c r="C271" s="25">
        <f>+VLOOKUP(PROVEEDORES[[#This Row],[PROVEEDOR]],TERCEROS_INFO[#All],2,FALSE)</f>
        <v>30</v>
      </c>
      <c r="D271" s="30">
        <f>+SUMIFS(PROVEEDORES[Total],PROVEEDORES[PROVEEDOR],PROVEEDORES[[#This Row],[PROVEEDOR]],PROVEEDORES[FECHA DE PAGO],"")</f>
        <v>0</v>
      </c>
      <c r="E271" s="30"/>
      <c r="F271" s="73" t="str">
        <f>+VLOOKUP(PROVEEDORES[[#This Row],[PROVEEDOR]],TERCEROS_INFO[[PROVEEDOR]:[CORREO]],5,FALSE)</f>
        <v>girlesa.ruiz@servipilas.com;joriescobar64@gmail.com</v>
      </c>
      <c r="G271" s="111">
        <v>44341</v>
      </c>
      <c r="H271" s="31" t="s">
        <v>339</v>
      </c>
      <c r="I271" s="111">
        <v>44287</v>
      </c>
      <c r="J271" s="48" t="s">
        <v>307</v>
      </c>
      <c r="K271" s="26">
        <v>2492240</v>
      </c>
      <c r="L271" s="26"/>
      <c r="M271" s="27">
        <v>0</v>
      </c>
      <c r="N271" s="28"/>
      <c r="O271" s="27">
        <v>0</v>
      </c>
      <c r="P271" s="28">
        <v>3.5000000000000003E-2</v>
      </c>
      <c r="Q271" s="27">
        <v>87228.400000000009</v>
      </c>
      <c r="R271" s="26">
        <v>2405011.6</v>
      </c>
      <c r="S271" s="115">
        <f ca="1">IF(PROVEEDORES[[#This Row],[FECHA DE PAGO]]=0,TODAY()-PROVEEDORES[[#This Row],[FECHA DE FACTURACIÓN]]-PROVEEDORES[[#This Row],[PLAZO Días]],0)</f>
        <v>0</v>
      </c>
      <c r="T2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2" spans="1:20" ht="21.9" customHeight="1" x14ac:dyDescent="0.3">
      <c r="A272" s="113" t="str">
        <f>+IF(PROVEEDORES[[#This Row],[FECHA DE PAGO]]=PROVEEDORES[[#This Row],[FECHA DE FACTURACIÓN]],"DE CONTADO","CRÉDITO")</f>
        <v>CRÉDITO</v>
      </c>
      <c r="B272" s="51" t="str">
        <f>+IF((PROVEEDORES[[#This Row],[FECHA DE PAGO]]-PROVEEDORES[[#This Row],[FECHA DE FACTURACIÓN]])&gt;PROVEEDORES[[#This Row],[PLAZO Días]],"PAGO VENCIDO")</f>
        <v>PAGO VENCIDO</v>
      </c>
      <c r="C272" s="25">
        <f>+VLOOKUP(PROVEEDORES[[#This Row],[PROVEEDOR]],TERCEROS_INFO[#All],2,FALSE)</f>
        <v>30</v>
      </c>
      <c r="D272" s="30">
        <f>+SUMIFS(PROVEEDORES[Total],PROVEEDORES[PROVEEDOR],PROVEEDORES[[#This Row],[PROVEEDOR]],PROVEEDORES[FECHA DE PAGO],"")</f>
        <v>0</v>
      </c>
      <c r="E272" s="30"/>
      <c r="F272" s="73" t="str">
        <f>+VLOOKUP(PROVEEDORES[[#This Row],[PROVEEDOR]],TERCEROS_INFO[[PROVEEDOR]:[CORREO]],5,FALSE)</f>
        <v>propertymarketingsas@hotmail.com;girlesa.ruiz@servipilas.com;joriescobar64@gmail.com</v>
      </c>
      <c r="G272" s="111">
        <v>44432</v>
      </c>
      <c r="H272" s="31" t="s">
        <v>486</v>
      </c>
      <c r="I272" s="111">
        <v>44287</v>
      </c>
      <c r="J272" s="48" t="s">
        <v>327</v>
      </c>
      <c r="K272" s="26">
        <v>2789636</v>
      </c>
      <c r="L272" s="26"/>
      <c r="M272" s="27">
        <v>0</v>
      </c>
      <c r="N272" s="28"/>
      <c r="O272" s="27">
        <v>0</v>
      </c>
      <c r="P272" s="28">
        <v>3.5000000000000003E-2</v>
      </c>
      <c r="Q272" s="27">
        <v>97637.260000000009</v>
      </c>
      <c r="R272" s="26">
        <v>2691998.74</v>
      </c>
      <c r="S272" s="115">
        <f ca="1">IF(PROVEEDORES[[#This Row],[FECHA DE PAGO]]=0,TODAY()-PROVEEDORES[[#This Row],[FECHA DE FACTURACIÓN]]-PROVEEDORES[[#This Row],[PLAZO Días]],0)</f>
        <v>0</v>
      </c>
      <c r="T27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3" spans="1:20" ht="21.9" customHeight="1" x14ac:dyDescent="0.3">
      <c r="A273" s="113" t="str">
        <f>+IF(PROVEEDORES[[#This Row],[FECHA DE PAGO]]=PROVEEDORES[[#This Row],[FECHA DE FACTURACIÓN]],"DE CONTADO","CRÉDITO")</f>
        <v>CRÉDITO</v>
      </c>
      <c r="B273" s="51" t="str">
        <f>+IF((PROVEEDORES[[#This Row],[FECHA DE PAGO]]-PROVEEDORES[[#This Row],[FECHA DE FACTURACIÓN]])&gt;PROVEEDORES[[#This Row],[PLAZO Días]],"PAGO VENCIDO")</f>
        <v>PAGO VENCIDO</v>
      </c>
      <c r="C273" s="25">
        <f>+VLOOKUP(PROVEEDORES[[#This Row],[PROVEEDOR]],TERCEROS_INFO[#All],2,FALSE)</f>
        <v>30</v>
      </c>
      <c r="D273" s="30">
        <f>+SUMIFS(PROVEEDORES[Total],PROVEEDORES[PROVEEDOR],PROVEEDORES[[#This Row],[PROVEEDOR]],PROVEEDORES[FECHA DE PAGO],"")</f>
        <v>4862586.33</v>
      </c>
      <c r="E273" s="30"/>
      <c r="F273" s="73" t="str">
        <f>+VLOOKUP(PROVEEDORES[[#This Row],[PROVEEDOR]],TERCEROS_INFO[[PROVEEDOR]:[CORREO]],5,FALSE)</f>
        <v>cartera@conbienes.com;girlesa.ruiz@servipilas.com;joriescobar64@gmail.com</v>
      </c>
      <c r="G273" s="111">
        <v>44341</v>
      </c>
      <c r="H273" s="31" t="s">
        <v>348</v>
      </c>
      <c r="I273" s="111">
        <v>44287</v>
      </c>
      <c r="J273" s="48" t="s">
        <v>325</v>
      </c>
      <c r="K273" s="26">
        <v>3061166</v>
      </c>
      <c r="L273" s="26"/>
      <c r="M273" s="27">
        <v>581621.54</v>
      </c>
      <c r="N273" s="28"/>
      <c r="O273" s="27">
        <v>0</v>
      </c>
      <c r="P273" s="28">
        <v>0</v>
      </c>
      <c r="Q273" s="27">
        <v>0</v>
      </c>
      <c r="R273" s="26">
        <v>3642787.54</v>
      </c>
      <c r="S273" s="115">
        <f ca="1">IF(PROVEEDORES[[#This Row],[FECHA DE PAGO]]=0,TODAY()-PROVEEDORES[[#This Row],[FECHA DE FACTURACIÓN]]-PROVEEDORES[[#This Row],[PLAZO Días]],0)</f>
        <v>0</v>
      </c>
      <c r="T27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4" spans="1:20" ht="21.9" customHeight="1" x14ac:dyDescent="0.3">
      <c r="A274" s="113" t="str">
        <f>+IF(PROVEEDORES[[#This Row],[FECHA DE PAGO]]=PROVEEDORES[[#This Row],[FECHA DE FACTURACIÓN]],"DE CONTADO","CRÉDITO")</f>
        <v>CRÉDITO</v>
      </c>
      <c r="B274" s="51" t="str">
        <f>+IF((PROVEEDORES[[#This Row],[FECHA DE PAGO]]-PROVEEDORES[[#This Row],[FECHA DE FACTURACIÓN]])&gt;PROVEEDORES[[#This Row],[PLAZO Días]],"PAGO VENCIDO")</f>
        <v>PAGO VENCIDO</v>
      </c>
      <c r="C274" s="25">
        <f>+VLOOKUP(PROVEEDORES[[#This Row],[PROVEEDOR]],TERCEROS_INFO[#All],2,FALSE)</f>
        <v>30</v>
      </c>
      <c r="D274" s="30">
        <f>+SUMIFS(PROVEEDORES[Total],PROVEEDORES[PROVEEDOR],PROVEEDORES[[#This Row],[PROVEEDOR]],PROVEEDORES[FECHA DE PAGO],"")</f>
        <v>5060410.5999999996</v>
      </c>
      <c r="E274" s="30"/>
      <c r="F274" s="73" t="str">
        <f>+VLOOKUP(PROVEEDORES[[#This Row],[PROVEEDOR]],TERCEROS_INFO[[PROVEEDOR]:[CORREO]],5,FALSE)</f>
        <v>CBastidas@vyp.com.co;girlesa.ruiz@servipilas.com;joriescobar64@gmail.com</v>
      </c>
      <c r="G274" s="111">
        <v>44496</v>
      </c>
      <c r="H274" s="31" t="s">
        <v>347</v>
      </c>
      <c r="I274" s="111">
        <v>44287</v>
      </c>
      <c r="J274" s="48">
        <v>38743</v>
      </c>
      <c r="K274" s="26">
        <v>4142000</v>
      </c>
      <c r="L274" s="26"/>
      <c r="M274" s="27">
        <v>786980</v>
      </c>
      <c r="N274" s="28"/>
      <c r="O274" s="27">
        <v>0</v>
      </c>
      <c r="P274" s="28">
        <v>3.5000000000000003E-2</v>
      </c>
      <c r="Q274" s="27">
        <v>144970</v>
      </c>
      <c r="R274" s="26">
        <v>4784010</v>
      </c>
      <c r="S274" s="115">
        <f ca="1">IF(PROVEEDORES[[#This Row],[FECHA DE PAGO]]=0,TODAY()-PROVEEDORES[[#This Row],[FECHA DE FACTURACIÓN]]-PROVEEDORES[[#This Row],[PLAZO Días]],0)</f>
        <v>0</v>
      </c>
      <c r="T27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5" spans="1:20" ht="21.9" customHeight="1" x14ac:dyDescent="0.3">
      <c r="A275" s="113" t="str">
        <f>+IF(PROVEEDORES[[#This Row],[FECHA DE PAGO]]=PROVEEDORES[[#This Row],[FECHA DE FACTURACIÓN]],"DE CONTADO","CRÉDITO")</f>
        <v>CRÉDITO</v>
      </c>
      <c r="B275" s="51" t="b">
        <f>+IF((PROVEEDORES[[#This Row],[FECHA DE PAGO]]-PROVEEDORES[[#This Row],[FECHA DE FACTURACIÓN]])&gt;PROVEEDORES[[#This Row],[PLAZO Días]],"PAGO VENCIDO")</f>
        <v>0</v>
      </c>
      <c r="C275" s="25">
        <f>+VLOOKUP(PROVEEDORES[[#This Row],[PROVEEDOR]],TERCEROS_INFO[#All],2,FALSE)</f>
        <v>30</v>
      </c>
      <c r="D275" s="30">
        <f>+SUMIFS(PROVEEDORES[Total],PROVEEDORES[PROVEEDOR],PROVEEDORES[[#This Row],[PROVEEDOR]],PROVEEDORES[FECHA DE PAGO],"")</f>
        <v>0</v>
      </c>
      <c r="E275" s="30"/>
      <c r="F275" s="73" t="str">
        <f>+VLOOKUP(PROVEEDORES[[#This Row],[PROVEEDOR]],TERCEROS_INFO[[PROVEEDOR]:[CORREO]],5,FALSE)</f>
        <v>CARLOSARCILAMENSAJERIA@gmail.com;girlesa.ruiz@servipilas.com;joriescobar64@gmail.com</v>
      </c>
      <c r="G275" s="111">
        <v>44292</v>
      </c>
      <c r="H275" s="31" t="s">
        <v>1046</v>
      </c>
      <c r="I275" s="111">
        <v>44290</v>
      </c>
      <c r="J275" s="48">
        <v>271</v>
      </c>
      <c r="K275" s="26">
        <v>264000</v>
      </c>
      <c r="L275" s="26"/>
      <c r="M275" s="27">
        <v>0</v>
      </c>
      <c r="N275" s="28"/>
      <c r="O275" s="27">
        <v>0</v>
      </c>
      <c r="P275" s="28">
        <v>0</v>
      </c>
      <c r="Q275" s="27">
        <v>0</v>
      </c>
      <c r="R275" s="26">
        <v>264000</v>
      </c>
      <c r="S275" s="115">
        <f ca="1">IF(PROVEEDORES[[#This Row],[FECHA DE PAGO]]=0,TODAY()-PROVEEDORES[[#This Row],[FECHA DE FACTURACIÓN]]-PROVEEDORES[[#This Row],[PLAZO Días]],0)</f>
        <v>0</v>
      </c>
      <c r="T27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6" spans="1:20" ht="21.9" customHeight="1" x14ac:dyDescent="0.3">
      <c r="A276" s="113" t="str">
        <f>+IF(PROVEEDORES[[#This Row],[FECHA DE PAGO]]=PROVEEDORES[[#This Row],[FECHA DE FACTURACIÓN]],"DE CONTADO","CRÉDITO")</f>
        <v>CRÉDITO</v>
      </c>
      <c r="B276" s="51" t="b">
        <f>+IF((PROVEEDORES[[#This Row],[FECHA DE PAGO]]-PROVEEDORES[[#This Row],[FECHA DE FACTURACIÓN]])&gt;PROVEEDORES[[#This Row],[PLAZO Días]],"PAGO VENCIDO")</f>
        <v>0</v>
      </c>
      <c r="C276" s="25">
        <f>+VLOOKUP(PROVEEDORES[[#This Row],[PROVEEDOR]],TERCEROS_INFO[#All],2,FALSE)</f>
        <v>30</v>
      </c>
      <c r="D276" s="30">
        <f>+SUMIFS(PROVEEDORES[Total],PROVEEDORES[PROVEEDOR],PROVEEDORES[[#This Row],[PROVEEDOR]],PROVEEDORES[FECHA DE PAGO],"")</f>
        <v>0</v>
      </c>
      <c r="E276" s="30"/>
      <c r="F276" s="73" t="str">
        <f>+VLOOKUP(PROVEEDORES[[#This Row],[PROVEEDOR]],TERCEROS_INFO[[PROVEEDOR]:[CORREO]],5,FALSE)</f>
        <v>CARLOSARCILAMENSAJERIA@gmail.com;girlesa.ruiz@servipilas.com;joriescobar64@gmail.com</v>
      </c>
      <c r="G276" s="111">
        <v>44292</v>
      </c>
      <c r="H276" s="31" t="s">
        <v>143</v>
      </c>
      <c r="I276" s="111">
        <v>44290</v>
      </c>
      <c r="J276" s="48">
        <v>82</v>
      </c>
      <c r="K276" s="26">
        <v>320000</v>
      </c>
      <c r="L276" s="26"/>
      <c r="M276" s="27">
        <v>60800</v>
      </c>
      <c r="N276" s="28"/>
      <c r="O276" s="27">
        <v>0</v>
      </c>
      <c r="P276" s="28">
        <v>0.01</v>
      </c>
      <c r="Q276" s="27">
        <v>3200</v>
      </c>
      <c r="R276" s="26">
        <v>377600</v>
      </c>
      <c r="S276" s="115">
        <f ca="1">IF(PROVEEDORES[[#This Row],[FECHA DE PAGO]]=0,TODAY()-PROVEEDORES[[#This Row],[FECHA DE FACTURACIÓN]]-PROVEEDORES[[#This Row],[PLAZO Días]],0)</f>
        <v>0</v>
      </c>
      <c r="T2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7" spans="1:20" ht="21.9" customHeight="1" x14ac:dyDescent="0.3">
      <c r="A277" s="113" t="str">
        <f>+IF(PROVEEDORES[[#This Row],[FECHA DE PAGO]]=PROVEEDORES[[#This Row],[FECHA DE FACTURACIÓN]],"DE CONTADO","CRÉDITO")</f>
        <v>DE CONTADO</v>
      </c>
      <c r="B277" s="51" t="b">
        <f>+IF((PROVEEDORES[[#This Row],[FECHA DE PAGO]]-PROVEEDORES[[#This Row],[FECHA DE FACTURACIÓN]])&gt;PROVEEDORES[[#This Row],[PLAZO Días]],"PAGO VENCIDO")</f>
        <v>0</v>
      </c>
      <c r="C277" s="25">
        <f>+VLOOKUP(PROVEEDORES[[#This Row],[PROVEEDOR]],TERCEROS_INFO[#All],2,FALSE)</f>
        <v>30</v>
      </c>
      <c r="D277" s="30">
        <f>+SUMIFS(PROVEEDORES[Total],PROVEEDORES[PROVEEDOR],PROVEEDORES[[#This Row],[PROVEEDOR]],PROVEEDORES[FECHA DE PAGO],"")</f>
        <v>0</v>
      </c>
      <c r="E277" s="30"/>
      <c r="F277" s="73" t="str">
        <f>+VLOOKUP(PROVEEDORES[[#This Row],[PROVEEDOR]],TERCEROS_INFO[[PROVEEDOR]:[CORREO]],5,FALSE)</f>
        <v/>
      </c>
      <c r="G277" s="111">
        <v>44290</v>
      </c>
      <c r="H277" s="31" t="s">
        <v>1052</v>
      </c>
      <c r="I277" s="111">
        <v>44290</v>
      </c>
      <c r="J277" s="48"/>
      <c r="K277" s="26">
        <v>1000000</v>
      </c>
      <c r="L277" s="26"/>
      <c r="M277" s="27">
        <v>0</v>
      </c>
      <c r="N277" s="28"/>
      <c r="O277" s="27">
        <v>0</v>
      </c>
      <c r="P277" s="28">
        <v>0</v>
      </c>
      <c r="Q277" s="27">
        <v>0</v>
      </c>
      <c r="R277" s="26">
        <v>1000000</v>
      </c>
      <c r="S277" s="115">
        <f ca="1">IF(PROVEEDORES[[#This Row],[FECHA DE PAGO]]=0,TODAY()-PROVEEDORES[[#This Row],[FECHA DE FACTURACIÓN]]-PROVEEDORES[[#This Row],[PLAZO Días]],0)</f>
        <v>0</v>
      </c>
      <c r="T2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8" spans="1:20" ht="21.9" customHeight="1" x14ac:dyDescent="0.3">
      <c r="A278" s="113" t="str">
        <f>+IF(PROVEEDORES[[#This Row],[FECHA DE PAGO]]=PROVEEDORES[[#This Row],[FECHA DE FACTURACIÓN]],"DE CONTADO","CRÉDITO")</f>
        <v>CRÉDITO</v>
      </c>
      <c r="B278" s="51" t="b">
        <f>+IF((PROVEEDORES[[#This Row],[FECHA DE PAGO]]-PROVEEDORES[[#This Row],[FECHA DE FACTURACIÓN]])&gt;PROVEEDORES[[#This Row],[PLAZO Días]],"PAGO VENCIDO")</f>
        <v>0</v>
      </c>
      <c r="C278" s="25">
        <f>+VLOOKUP(PROVEEDORES[[#This Row],[PROVEEDOR]],TERCEROS_INFO[#All],2,FALSE)</f>
        <v>20</v>
      </c>
      <c r="D278" s="30">
        <f>+SUMIFS(PROVEEDORES[Total],PROVEEDORES[PROVEEDOR],PROVEEDORES[[#This Row],[PROVEEDOR]],PROVEEDORES[FECHA DE PAGO],"")</f>
        <v>0</v>
      </c>
      <c r="E278" s="30"/>
      <c r="F278" s="73" t="str">
        <f>+VLOOKUP(PROVEEDORES[[#This Row],[PROVEEDOR]],TERCEROS_INFO[[PROVEEDOR]:[CORREO]],5,FALSE)</f>
        <v>facturasimh@simh.com.co;girlesa.ruiz@servipilas.com;joriescobar64@gmail.com</v>
      </c>
      <c r="G278" s="111">
        <v>44298</v>
      </c>
      <c r="H278" s="31" t="s">
        <v>301</v>
      </c>
      <c r="I278" s="111">
        <v>44291</v>
      </c>
      <c r="J278" s="48"/>
      <c r="K278" s="26">
        <v>810000</v>
      </c>
      <c r="L278" s="26"/>
      <c r="M278" s="27">
        <v>0</v>
      </c>
      <c r="N278" s="28"/>
      <c r="O278" s="27">
        <v>0</v>
      </c>
      <c r="P278" s="28">
        <v>0</v>
      </c>
      <c r="Q278" s="27">
        <v>0</v>
      </c>
      <c r="R278" s="26">
        <v>810000</v>
      </c>
      <c r="S278" s="115">
        <f ca="1">IF(PROVEEDORES[[#This Row],[FECHA DE PAGO]]=0,TODAY()-PROVEEDORES[[#This Row],[FECHA DE FACTURACIÓN]]-PROVEEDORES[[#This Row],[PLAZO Días]],0)</f>
        <v>0</v>
      </c>
      <c r="T27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79" spans="1:20" ht="21.9" customHeight="1" x14ac:dyDescent="0.3">
      <c r="A279" s="113" t="str">
        <f>+IF(PROVEEDORES[[#This Row],[FECHA DE PAGO]]=PROVEEDORES[[#This Row],[FECHA DE FACTURACIÓN]],"DE CONTADO","CRÉDITO")</f>
        <v>CRÉDITO</v>
      </c>
      <c r="B279" s="51" t="str">
        <f>+IF((PROVEEDORES[[#This Row],[FECHA DE PAGO]]-PROVEEDORES[[#This Row],[FECHA DE FACTURACIÓN]])&gt;PROVEEDORES[[#This Row],[PLAZO Días]],"PAGO VENCIDO")</f>
        <v>PAGO VENCIDO</v>
      </c>
      <c r="C279" s="25">
        <f>+VLOOKUP(PROVEEDORES[[#This Row],[PROVEEDOR]],TERCEROS_INFO[#All],2,FALSE)</f>
        <v>30</v>
      </c>
      <c r="D279" s="30">
        <f>+SUMIFS(PROVEEDORES[Total],PROVEEDORES[PROVEEDOR],PROVEEDORES[[#This Row],[PROVEEDOR]],PROVEEDORES[FECHA DE PAGO],"")</f>
        <v>3750700</v>
      </c>
      <c r="E279" s="30"/>
      <c r="F279" s="73" t="str">
        <f>+VLOOKUP(PROVEEDORES[[#This Row],[PROVEEDOR]],TERCEROS_INFO[[PROVEEDOR]:[CORREO]],5,FALSE)</f>
        <v/>
      </c>
      <c r="G279" s="111">
        <v>44342</v>
      </c>
      <c r="H279" s="31" t="s">
        <v>996</v>
      </c>
      <c r="I279" s="111">
        <v>44291</v>
      </c>
      <c r="J279" s="48" t="s">
        <v>688</v>
      </c>
      <c r="K279" s="26">
        <v>3216000</v>
      </c>
      <c r="L279" s="26"/>
      <c r="M279" s="27">
        <v>0</v>
      </c>
      <c r="N279" s="28"/>
      <c r="O279" s="27">
        <v>0</v>
      </c>
      <c r="P279" s="28">
        <v>0</v>
      </c>
      <c r="Q279" s="27">
        <v>0</v>
      </c>
      <c r="R279" s="26">
        <v>3216000</v>
      </c>
      <c r="S279" s="115">
        <f ca="1">IF(PROVEEDORES[[#This Row],[FECHA DE PAGO]]=0,TODAY()-PROVEEDORES[[#This Row],[FECHA DE FACTURACIÓN]]-PROVEEDORES[[#This Row],[PLAZO Días]],0)</f>
        <v>0</v>
      </c>
      <c r="T2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0" spans="1:20" ht="21.9" customHeight="1" x14ac:dyDescent="0.3">
      <c r="A280" s="113" t="str">
        <f>+IF(PROVEEDORES[[#This Row],[FECHA DE PAGO]]=PROVEEDORES[[#This Row],[FECHA DE FACTURACIÓN]],"DE CONTADO","CRÉDITO")</f>
        <v>CRÉDITO</v>
      </c>
      <c r="B280" s="51" t="str">
        <f>+IF((PROVEEDORES[[#This Row],[FECHA DE PAGO]]-PROVEEDORES[[#This Row],[FECHA DE FACTURACIÓN]])&gt;PROVEEDORES[[#This Row],[PLAZO Días]],"PAGO VENCIDO")</f>
        <v>PAGO VENCIDO</v>
      </c>
      <c r="C280" s="25">
        <f>+VLOOKUP(PROVEEDORES[[#This Row],[PROVEEDOR]],TERCEROS_INFO[#All],2,FALSE)</f>
        <v>30</v>
      </c>
      <c r="D280" s="30">
        <f>+SUMIFS(PROVEEDORES[Total],PROVEEDORES[PROVEEDOR],PROVEEDORES[[#This Row],[PROVEEDOR]],PROVEEDORES[FECHA DE PAGO],"")</f>
        <v>10764600</v>
      </c>
      <c r="E280" s="30"/>
      <c r="F280" s="73" t="str">
        <f>+VLOOKUP(PROVEEDORES[[#This Row],[PROVEEDOR]],TERCEROS_INFO[[PROVEEDOR]:[CORREO]],5,FALSE)</f>
        <v>apresupuesto@widexcolombia.com;girlesa.ruiz@servipilas.com;joriescobar64@gmail.com</v>
      </c>
      <c r="G280" s="111">
        <v>44348</v>
      </c>
      <c r="H280" s="31" t="s">
        <v>11</v>
      </c>
      <c r="I280" s="111">
        <v>44292</v>
      </c>
      <c r="J280" s="48" t="s">
        <v>308</v>
      </c>
      <c r="K280" s="26">
        <v>912101</v>
      </c>
      <c r="L280" s="26"/>
      <c r="M280" s="27">
        <v>173299.19</v>
      </c>
      <c r="N280" s="28"/>
      <c r="O280" s="27">
        <v>0</v>
      </c>
      <c r="P280" s="28">
        <v>0</v>
      </c>
      <c r="Q280" s="27">
        <v>0</v>
      </c>
      <c r="R280" s="26">
        <v>1085400.19</v>
      </c>
      <c r="S280" s="115">
        <f ca="1">IF(PROVEEDORES[[#This Row],[FECHA DE PAGO]]=0,TODAY()-PROVEEDORES[[#This Row],[FECHA DE FACTURACIÓN]]-PROVEEDORES[[#This Row],[PLAZO Días]],0)</f>
        <v>0</v>
      </c>
      <c r="T2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1" spans="1:20" ht="21.9" customHeight="1" x14ac:dyDescent="0.3">
      <c r="A281" s="113" t="str">
        <f>+IF(PROVEEDORES[[#This Row],[FECHA DE PAGO]]=PROVEEDORES[[#This Row],[FECHA DE FACTURACIÓN]],"DE CONTADO","CRÉDITO")</f>
        <v>CRÉDITO</v>
      </c>
      <c r="B281" s="51" t="str">
        <f>+IF((PROVEEDORES[[#This Row],[FECHA DE PAGO]]-PROVEEDORES[[#This Row],[FECHA DE FACTURACIÓN]])&gt;PROVEEDORES[[#This Row],[PLAZO Días]],"PAGO VENCIDO")</f>
        <v>PAGO VENCIDO</v>
      </c>
      <c r="C281" s="25">
        <f>+VLOOKUP(PROVEEDORES[[#This Row],[PROVEEDOR]],TERCEROS_INFO[#All],2,FALSE)</f>
        <v>30</v>
      </c>
      <c r="D281" s="30">
        <f>+SUMIFS(PROVEEDORES[Total],PROVEEDORES[PROVEEDOR],PROVEEDORES[[#This Row],[PROVEEDOR]],PROVEEDORES[FECHA DE PAGO],"")</f>
        <v>1856492</v>
      </c>
      <c r="E281" s="30"/>
      <c r="F281" s="73" t="str">
        <f>+VLOOKUP(PROVEEDORES[[#This Row],[PROVEEDOR]],TERCEROS_INFO[[PROVEEDOR]:[CORREO]],5,FALSE)</f>
        <v>PSE</v>
      </c>
      <c r="G281" s="111">
        <v>44340</v>
      </c>
      <c r="H281" s="31" t="s">
        <v>337</v>
      </c>
      <c r="I281" s="111">
        <v>44293</v>
      </c>
      <c r="J281" s="48" t="s">
        <v>322</v>
      </c>
      <c r="K281" s="26">
        <v>256261</v>
      </c>
      <c r="L281" s="26"/>
      <c r="M281" s="27">
        <v>0</v>
      </c>
      <c r="N281" s="28"/>
      <c r="O281" s="27">
        <v>0</v>
      </c>
      <c r="P281" s="28">
        <v>0</v>
      </c>
      <c r="Q281" s="27">
        <v>0</v>
      </c>
      <c r="R281" s="26">
        <v>256261</v>
      </c>
      <c r="S281" s="115">
        <f ca="1">IF(PROVEEDORES[[#This Row],[FECHA DE PAGO]]=0,TODAY()-PROVEEDORES[[#This Row],[FECHA DE FACTURACIÓN]]-PROVEEDORES[[#This Row],[PLAZO Días]],0)</f>
        <v>0</v>
      </c>
      <c r="T2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2" spans="1:20" ht="21.9" customHeight="1" x14ac:dyDescent="0.3">
      <c r="A282" s="113" t="str">
        <f>+IF(PROVEEDORES[[#This Row],[FECHA DE PAGO]]=PROVEEDORES[[#This Row],[FECHA DE FACTURACIÓN]],"DE CONTADO","CRÉDITO")</f>
        <v>CRÉDITO</v>
      </c>
      <c r="B282" s="51" t="str">
        <f>+IF((PROVEEDORES[[#This Row],[FECHA DE PAGO]]-PROVEEDORES[[#This Row],[FECHA DE FACTURACIÓN]])&gt;PROVEEDORES[[#This Row],[PLAZO Días]],"PAGO VENCIDO")</f>
        <v>PAGO VENCIDO</v>
      </c>
      <c r="C282" s="25">
        <f>+VLOOKUP(PROVEEDORES[[#This Row],[PROVEEDOR]],TERCEROS_INFO[#All],2,FALSE)</f>
        <v>30</v>
      </c>
      <c r="D282" s="30">
        <f>+SUMIFS(PROVEEDORES[Total],PROVEEDORES[PROVEEDOR],PROVEEDORES[[#This Row],[PROVEEDOR]],PROVEEDORES[FECHA DE PAGO],"")</f>
        <v>1856492</v>
      </c>
      <c r="E282" s="30"/>
      <c r="F282" s="73" t="str">
        <f>+VLOOKUP(PROVEEDORES[[#This Row],[PROVEEDOR]],TERCEROS_INFO[[PROVEEDOR]:[CORREO]],5,FALSE)</f>
        <v>PSE</v>
      </c>
      <c r="G282" s="111">
        <v>44340</v>
      </c>
      <c r="H282" s="31" t="s">
        <v>337</v>
      </c>
      <c r="I282" s="111">
        <v>44293</v>
      </c>
      <c r="J282" s="48" t="s">
        <v>321</v>
      </c>
      <c r="K282" s="26">
        <v>1545030</v>
      </c>
      <c r="L282" s="26"/>
      <c r="M282" s="27">
        <v>0</v>
      </c>
      <c r="N282" s="28"/>
      <c r="O282" s="27">
        <v>0</v>
      </c>
      <c r="P282" s="28">
        <v>0</v>
      </c>
      <c r="Q282" s="27">
        <v>0</v>
      </c>
      <c r="R282" s="26">
        <v>1545030</v>
      </c>
      <c r="S282" s="115">
        <f ca="1">IF(PROVEEDORES[[#This Row],[FECHA DE PAGO]]=0,TODAY()-PROVEEDORES[[#This Row],[FECHA DE FACTURACIÓN]]-PROVEEDORES[[#This Row],[PLAZO Días]],0)</f>
        <v>0</v>
      </c>
      <c r="T28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3" spans="1:20" ht="21.9" customHeight="1" x14ac:dyDescent="0.3">
      <c r="A283" s="113" t="str">
        <f>+IF(PROVEEDORES[[#This Row],[FECHA DE PAGO]]=PROVEEDORES[[#This Row],[FECHA DE FACTURACIÓN]],"DE CONTADO","CRÉDITO")</f>
        <v>CRÉDITO</v>
      </c>
      <c r="B283" s="51" t="b">
        <f>+IF((PROVEEDORES[[#This Row],[FECHA DE PAGO]]-PROVEEDORES[[#This Row],[FECHA DE FACTURACIÓN]])&gt;PROVEEDORES[[#This Row],[PLAZO Días]],"PAGO VENCIDO")</f>
        <v>0</v>
      </c>
      <c r="C283" s="25">
        <f>+VLOOKUP(PROVEEDORES[[#This Row],[PROVEEDOR]],TERCEROS_INFO[#All],2,FALSE)</f>
        <v>90</v>
      </c>
      <c r="D283" s="30">
        <f>+SUMIFS(PROVEEDORES[Total],PROVEEDORES[PROVEEDOR],PROVEEDORES[[#This Row],[PROVEEDOR]],PROVEEDORES[FECHA DE PAGO],"")</f>
        <v>39058718</v>
      </c>
      <c r="E283" s="30"/>
      <c r="F283" s="73" t="str">
        <f>+VLOOKUP(PROVEEDORES[[#This Row],[PROVEEDOR]],TERCEROS_INFO[[PROVEEDOR]:[CORREO]],5,FALSE)</f>
        <v>mcastillo@kenextrading.com;agarcia@kenextrading.com;girlesa.ruiz@servipilas.com;joriescobar64@gmail.com</v>
      </c>
      <c r="G283" s="111">
        <v>44377</v>
      </c>
      <c r="H283" s="31" t="s">
        <v>31</v>
      </c>
      <c r="I283" s="111">
        <v>44293</v>
      </c>
      <c r="J283" s="48">
        <v>53922</v>
      </c>
      <c r="K283" s="26">
        <v>21930011</v>
      </c>
      <c r="L283" s="26"/>
      <c r="M283" s="27">
        <v>0</v>
      </c>
      <c r="N283" s="28"/>
      <c r="O283" s="27">
        <v>0</v>
      </c>
      <c r="P283" s="28">
        <v>0</v>
      </c>
      <c r="Q283" s="27">
        <v>0</v>
      </c>
      <c r="R283" s="26">
        <v>21930011</v>
      </c>
      <c r="S283" s="115">
        <f ca="1">IF(PROVEEDORES[[#This Row],[FECHA DE PAGO]]=0,TODAY()-PROVEEDORES[[#This Row],[FECHA DE FACTURACIÓN]]-PROVEEDORES[[#This Row],[PLAZO Días]],0)</f>
        <v>0</v>
      </c>
      <c r="T28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4" spans="1:20" ht="21.9" customHeight="1" x14ac:dyDescent="0.3">
      <c r="A284" s="113" t="str">
        <f>+IF(PROVEEDORES[[#This Row],[FECHA DE PAGO]]=PROVEEDORES[[#This Row],[FECHA DE FACTURACIÓN]],"DE CONTADO","CRÉDITO")</f>
        <v>CRÉDITO</v>
      </c>
      <c r="B284" s="51" t="str">
        <f>+IF((PROVEEDORES[[#This Row],[FECHA DE PAGO]]-PROVEEDORES[[#This Row],[FECHA DE FACTURACIÓN]])&gt;PROVEEDORES[[#This Row],[PLAZO Días]],"PAGO VENCIDO")</f>
        <v>PAGO VENCIDO</v>
      </c>
      <c r="C284" s="25">
        <f>+VLOOKUP(PROVEEDORES[[#This Row],[PROVEEDOR]],TERCEROS_INFO[#All],2,FALSE)</f>
        <v>20</v>
      </c>
      <c r="D284" s="30">
        <f>+SUMIFS(PROVEEDORES[Total],PROVEEDORES[PROVEEDOR],PROVEEDORES[[#This Row],[PROVEEDOR]],PROVEEDORES[FECHA DE PAGO],"")</f>
        <v>0</v>
      </c>
      <c r="E284" s="30"/>
      <c r="F284" s="73" t="str">
        <f>+VLOOKUP(PROVEEDORES[[#This Row],[PROVEEDOR]],TERCEROS_INFO[[PROVEEDOR]:[CORREO]],5,FALSE)</f>
        <v>bog.fa1@pressex.co;bog.fm1@pressex.co;kbaumgartner@pressex.co;girlesa.ruiz@servipilas.com;joriescobar64@gmail.com</v>
      </c>
      <c r="G284" s="111">
        <v>44321</v>
      </c>
      <c r="H284" s="31" t="s">
        <v>448</v>
      </c>
      <c r="I284" s="111">
        <v>44294</v>
      </c>
      <c r="J284" s="48" t="s">
        <v>689</v>
      </c>
      <c r="K284" s="26">
        <v>443400</v>
      </c>
      <c r="L284" s="26"/>
      <c r="M284" s="27">
        <v>0</v>
      </c>
      <c r="N284" s="28"/>
      <c r="O284" s="27">
        <v>0</v>
      </c>
      <c r="P284" s="28">
        <v>0.01</v>
      </c>
      <c r="Q284" s="27">
        <v>1664</v>
      </c>
      <c r="R284" s="26">
        <v>441736</v>
      </c>
      <c r="S284" s="115">
        <f ca="1">IF(PROVEEDORES[[#This Row],[FECHA DE PAGO]]=0,TODAY()-PROVEEDORES[[#This Row],[FECHA DE FACTURACIÓN]]-PROVEEDORES[[#This Row],[PLAZO Días]],0)</f>
        <v>0</v>
      </c>
      <c r="T2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5" spans="1:20" ht="21.9" customHeight="1" x14ac:dyDescent="0.3">
      <c r="A285" s="113" t="str">
        <f>+IF(PROVEEDORES[[#This Row],[FECHA DE PAGO]]=PROVEEDORES[[#This Row],[FECHA DE FACTURACIÓN]],"DE CONTADO","CRÉDITO")</f>
        <v>CRÉDITO</v>
      </c>
      <c r="B285" s="51" t="b">
        <f>+IF((PROVEEDORES[[#This Row],[FECHA DE PAGO]]-PROVEEDORES[[#This Row],[FECHA DE FACTURACIÓN]])&gt;PROVEEDORES[[#This Row],[PLAZO Días]],"PAGO VENCIDO")</f>
        <v>0</v>
      </c>
      <c r="C285" s="25">
        <f>+VLOOKUP(PROVEEDORES[[#This Row],[PROVEEDOR]],TERCEROS_INFO[#All],2,FALSE)</f>
        <v>10</v>
      </c>
      <c r="D285" s="30">
        <f>+SUMIFS(PROVEEDORES[Total],PROVEEDORES[PROVEEDOR],PROVEEDORES[[#This Row],[PROVEEDOR]],PROVEEDORES[FECHA DE PAGO],"")</f>
        <v>0</v>
      </c>
      <c r="E285" s="30"/>
      <c r="F285" s="73" t="str">
        <f>+VLOOKUP(PROVEEDORES[[#This Row],[PROVEEDOR]],TERCEROS_INFO[[PROVEEDOR]:[CORREO]],5,FALSE)</f>
        <v/>
      </c>
      <c r="G285" s="111">
        <v>44299</v>
      </c>
      <c r="H285" s="31" t="s">
        <v>23</v>
      </c>
      <c r="I285" s="111">
        <v>44296</v>
      </c>
      <c r="J285" s="48">
        <v>281564</v>
      </c>
      <c r="K285" s="26">
        <v>13266350</v>
      </c>
      <c r="L285" s="26"/>
      <c r="M285" s="27">
        <v>0</v>
      </c>
      <c r="N285" s="28"/>
      <c r="O285" s="27">
        <v>0</v>
      </c>
      <c r="P285" s="28">
        <v>0</v>
      </c>
      <c r="Q285" s="27">
        <v>0</v>
      </c>
      <c r="R285" s="26">
        <v>13266350</v>
      </c>
      <c r="S285" s="115">
        <f ca="1">IF(PROVEEDORES[[#This Row],[FECHA DE PAGO]]=0,TODAY()-PROVEEDORES[[#This Row],[FECHA DE FACTURACIÓN]]-PROVEEDORES[[#This Row],[PLAZO Días]],0)</f>
        <v>0</v>
      </c>
      <c r="T28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6" spans="1:20" ht="21.9" customHeight="1" x14ac:dyDescent="0.3">
      <c r="A286" s="113" t="str">
        <f>+IF(PROVEEDORES[[#This Row],[FECHA DE PAGO]]=PROVEEDORES[[#This Row],[FECHA DE FACTURACIÓN]],"DE CONTADO","CRÉDITO")</f>
        <v>CRÉDITO</v>
      </c>
      <c r="B286" s="51" t="str">
        <f>+IF((PROVEEDORES[[#This Row],[FECHA DE PAGO]]-PROVEEDORES[[#This Row],[FECHA DE FACTURACIÓN]])&gt;PROVEEDORES[[#This Row],[PLAZO Días]],"PAGO VENCIDO")</f>
        <v>PAGO VENCIDO</v>
      </c>
      <c r="C286" s="25">
        <f>+VLOOKUP(PROVEEDORES[[#This Row],[PROVEEDOR]],TERCEROS_INFO[#All],2,FALSE)</f>
        <v>30</v>
      </c>
      <c r="D286" s="30">
        <f>+SUMIFS(PROVEEDORES[Total],PROVEEDORES[PROVEEDOR],PROVEEDORES[[#This Row],[PROVEEDOR]],PROVEEDORES[FECHA DE PAGO],"")</f>
        <v>0</v>
      </c>
      <c r="E286" s="30"/>
      <c r="F286" s="73" t="str">
        <f>+VLOOKUP(PROVEEDORES[[#This Row],[PROVEEDOR]],TERCEROS_INFO[[PROVEEDOR]:[CORREO]],5,FALSE)</f>
        <v>variedades.sfg@gmail.com;girlesa.ruiz@servipilas.com;joriescobar64@gmail.com</v>
      </c>
      <c r="G286" s="111">
        <v>44382</v>
      </c>
      <c r="H286" s="31" t="s">
        <v>988</v>
      </c>
      <c r="I286" s="111">
        <v>44299</v>
      </c>
      <c r="J286" s="48" t="s">
        <v>690</v>
      </c>
      <c r="K286" s="26">
        <v>1584000</v>
      </c>
      <c r="L286" s="26"/>
      <c r="M286" s="27">
        <v>0</v>
      </c>
      <c r="N286" s="28"/>
      <c r="O286" s="27">
        <v>0</v>
      </c>
      <c r="P286" s="28">
        <v>0</v>
      </c>
      <c r="Q286" s="27">
        <v>0</v>
      </c>
      <c r="R286" s="26">
        <v>1584000</v>
      </c>
      <c r="S286" s="115">
        <f ca="1">IF(PROVEEDORES[[#This Row],[FECHA DE PAGO]]=0,TODAY()-PROVEEDORES[[#This Row],[FECHA DE FACTURACIÓN]]-PROVEEDORES[[#This Row],[PLAZO Días]],0)</f>
        <v>0</v>
      </c>
      <c r="T28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7" spans="1:20" ht="21.9" customHeight="1" x14ac:dyDescent="0.3">
      <c r="A287" s="113" t="str">
        <f>+IF(PROVEEDORES[[#This Row],[FECHA DE PAGO]]=PROVEEDORES[[#This Row],[FECHA DE FACTURACIÓN]],"DE CONTADO","CRÉDITO")</f>
        <v>CRÉDITO</v>
      </c>
      <c r="B287" s="51" t="str">
        <f>+IF((PROVEEDORES[[#This Row],[FECHA DE PAGO]]-PROVEEDORES[[#This Row],[FECHA DE FACTURACIÓN]])&gt;PROVEEDORES[[#This Row],[PLAZO Días]],"PAGO VENCIDO")</f>
        <v>PAGO VENCIDO</v>
      </c>
      <c r="C287" s="25">
        <f>+VLOOKUP(PROVEEDORES[[#This Row],[PROVEEDOR]],TERCEROS_INFO[#All],2,FALSE)</f>
        <v>30</v>
      </c>
      <c r="D287" s="30">
        <f>+SUMIFS(PROVEEDORES[Total],PROVEEDORES[PROVEEDOR],PROVEEDORES[[#This Row],[PROVEEDOR]],PROVEEDORES[FECHA DE PAGO],"")</f>
        <v>0</v>
      </c>
      <c r="E287" s="30"/>
      <c r="F287" s="73" t="str">
        <f>+VLOOKUP(PROVEEDORES[[#This Row],[PROVEEDOR]],TERCEROS_INFO[[PROVEEDOR]:[CORREO]],5,FALSE)</f>
        <v>variedades.sfg@gmail.com;girlesa.ruiz@servipilas.com;joriescobar64@gmail.com</v>
      </c>
      <c r="G287" s="111">
        <v>44348</v>
      </c>
      <c r="H287" s="31" t="s">
        <v>988</v>
      </c>
      <c r="I287" s="111">
        <v>44299</v>
      </c>
      <c r="J287" s="48" t="s">
        <v>691</v>
      </c>
      <c r="K287" s="26">
        <v>2550000</v>
      </c>
      <c r="L287" s="26"/>
      <c r="M287" s="27">
        <v>0</v>
      </c>
      <c r="N287" s="28"/>
      <c r="O287" s="27">
        <v>0</v>
      </c>
      <c r="P287" s="28">
        <v>0</v>
      </c>
      <c r="Q287" s="27">
        <v>0</v>
      </c>
      <c r="R287" s="26">
        <v>2550000</v>
      </c>
      <c r="S287" s="115">
        <f ca="1">IF(PROVEEDORES[[#This Row],[FECHA DE PAGO]]=0,TODAY()-PROVEEDORES[[#This Row],[FECHA DE FACTURACIÓN]]-PROVEEDORES[[#This Row],[PLAZO Días]],0)</f>
        <v>0</v>
      </c>
      <c r="T2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8" spans="1:20" ht="21.9" customHeight="1" x14ac:dyDescent="0.3">
      <c r="A288" s="113" t="str">
        <f>+IF(PROVEEDORES[[#This Row],[FECHA DE PAGO]]=PROVEEDORES[[#This Row],[FECHA DE FACTURACIÓN]],"DE CONTADO","CRÉDITO")</f>
        <v>CRÉDITO</v>
      </c>
      <c r="B288" s="51" t="str">
        <f>+IF((PROVEEDORES[[#This Row],[FECHA DE PAGO]]-PROVEEDORES[[#This Row],[FECHA DE FACTURACIÓN]])&gt;PROVEEDORES[[#This Row],[PLAZO Días]],"PAGO VENCIDO")</f>
        <v>PAGO VENCIDO</v>
      </c>
      <c r="C288" s="25">
        <f>+VLOOKUP(PROVEEDORES[[#This Row],[PROVEEDOR]],TERCEROS_INFO[#All],2,FALSE)</f>
        <v>30</v>
      </c>
      <c r="D288" s="30">
        <f>+SUMIFS(PROVEEDORES[Total],PROVEEDORES[PROVEEDOR],PROVEEDORES[[#This Row],[PROVEEDOR]],PROVEEDORES[FECHA DE PAGO],"")</f>
        <v>0</v>
      </c>
      <c r="E288" s="30"/>
      <c r="F288" s="73" t="str">
        <f>+VLOOKUP(PROVEEDORES[[#This Row],[PROVEEDOR]],TERCEROS_INFO[[PROVEEDOR]:[CORREO]],5,FALSE)</f>
        <v>juan.suarez@cosostenible.com;girlesa.ruiz@servipilas.com;joriescobar64@gmail.com</v>
      </c>
      <c r="G288" s="111">
        <v>44344</v>
      </c>
      <c r="H288" s="31" t="s">
        <v>50</v>
      </c>
      <c r="I288" s="111">
        <v>44299</v>
      </c>
      <c r="J288" s="48">
        <v>2131</v>
      </c>
      <c r="K288" s="26">
        <v>2891700</v>
      </c>
      <c r="L288" s="26"/>
      <c r="M288" s="27">
        <v>549423</v>
      </c>
      <c r="N288" s="28"/>
      <c r="O288" s="27">
        <v>0</v>
      </c>
      <c r="P288" s="28">
        <v>2.5000000000000001E-2</v>
      </c>
      <c r="Q288" s="27">
        <v>72292.5</v>
      </c>
      <c r="R288" s="26">
        <v>3368830.5</v>
      </c>
      <c r="S288" s="115">
        <f ca="1">IF(PROVEEDORES[[#This Row],[FECHA DE PAGO]]=0,TODAY()-PROVEEDORES[[#This Row],[FECHA DE FACTURACIÓN]]-PROVEEDORES[[#This Row],[PLAZO Días]],0)</f>
        <v>0</v>
      </c>
      <c r="T2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89" spans="1:20" ht="21.9" customHeight="1" x14ac:dyDescent="0.3">
      <c r="A289" s="113" t="str">
        <f>+IF(PROVEEDORES[[#This Row],[FECHA DE PAGO]]=PROVEEDORES[[#This Row],[FECHA DE FACTURACIÓN]],"DE CONTADO","CRÉDITO")</f>
        <v>DE CONTADO</v>
      </c>
      <c r="B289" s="51" t="b">
        <f>+IF((PROVEEDORES[[#This Row],[FECHA DE PAGO]]-PROVEEDORES[[#This Row],[FECHA DE FACTURACIÓN]])&gt;PROVEEDORES[[#This Row],[PLAZO Días]],"PAGO VENCIDO")</f>
        <v>0</v>
      </c>
      <c r="C289" s="25">
        <f>+VLOOKUP(PROVEEDORES[[#This Row],[PROVEEDOR]],TERCEROS_INFO[#All],2,FALSE)</f>
        <v>30</v>
      </c>
      <c r="D289" s="30">
        <f>+SUMIFS(PROVEEDORES[Total],PROVEEDORES[PROVEEDOR],PROVEEDORES[[#This Row],[PROVEEDOR]],PROVEEDORES[FECHA DE PAGO],"")</f>
        <v>0</v>
      </c>
      <c r="E289" s="30"/>
      <c r="F289" s="73" t="str">
        <f>+VLOOKUP(PROVEEDORES[[#This Row],[PROVEEDOR]],TERCEROS_INFO[[PROVEEDOR]:[CORREO]],5,FALSE)</f>
        <v>cartera@aerosan.com;girlesa.ruiz@servipilas.com;joriescobar64@gmail.com</v>
      </c>
      <c r="G289" s="111">
        <v>44300</v>
      </c>
      <c r="H289" s="31" t="s">
        <v>57</v>
      </c>
      <c r="I289" s="111">
        <v>44300</v>
      </c>
      <c r="J289" s="48" t="s">
        <v>310</v>
      </c>
      <c r="K289" s="26">
        <v>243496</v>
      </c>
      <c r="L289" s="26"/>
      <c r="M289" s="27">
        <v>46264.24</v>
      </c>
      <c r="N289" s="28"/>
      <c r="O289" s="27">
        <v>0</v>
      </c>
      <c r="P289" s="28">
        <v>0</v>
      </c>
      <c r="Q289" s="27">
        <v>0</v>
      </c>
      <c r="R289" s="26">
        <v>289760.24</v>
      </c>
      <c r="S289" s="115">
        <f ca="1">IF(PROVEEDORES[[#This Row],[FECHA DE PAGO]]=0,TODAY()-PROVEEDORES[[#This Row],[FECHA DE FACTURACIÓN]]-PROVEEDORES[[#This Row],[PLAZO Días]],0)</f>
        <v>0</v>
      </c>
      <c r="T2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0" spans="1:20" ht="21.9" customHeight="1" x14ac:dyDescent="0.3">
      <c r="A290" s="113" t="str">
        <f>+IF(PROVEEDORES[[#This Row],[FECHA DE PAGO]]=PROVEEDORES[[#This Row],[FECHA DE FACTURACIÓN]],"DE CONTADO","CRÉDITO")</f>
        <v>CRÉDITO</v>
      </c>
      <c r="B290" s="51" t="str">
        <f>+IF((PROVEEDORES[[#This Row],[FECHA DE PAGO]]-PROVEEDORES[[#This Row],[FECHA DE FACTURACIÓN]])&gt;PROVEEDORES[[#This Row],[PLAZO Días]],"PAGO VENCIDO")</f>
        <v>PAGO VENCIDO</v>
      </c>
      <c r="C290" s="25">
        <f>+VLOOKUP(PROVEEDORES[[#This Row],[PROVEEDOR]],TERCEROS_INFO[#All],2,FALSE)</f>
        <v>45</v>
      </c>
      <c r="D290" s="30">
        <f>+SUMIFS(PROVEEDORES[Total],PROVEEDORES[PROVEEDOR],PROVEEDORES[[#This Row],[PROVEEDOR]],PROVEEDORES[FECHA DE PAGO],"")</f>
        <v>1070024.2</v>
      </c>
      <c r="E290" s="30"/>
      <c r="F290" s="73" t="str">
        <f>+VLOOKUP(PROVEEDORES[[#This Row],[PROVEEDOR]],TERCEROS_INFO[[PROVEEDOR]:[CORREO]],5,FALSE)</f>
        <v>libardopineda@tronex.com;girlesa.ruiz@servipilas.com;joriescobar64@gmail.com</v>
      </c>
      <c r="G290" s="111">
        <v>44351</v>
      </c>
      <c r="H290" s="31" t="s">
        <v>10</v>
      </c>
      <c r="I290" s="111">
        <v>44300</v>
      </c>
      <c r="J290" s="48" t="s">
        <v>312</v>
      </c>
      <c r="K290" s="26">
        <v>990000</v>
      </c>
      <c r="L290" s="26"/>
      <c r="M290" s="27">
        <v>188100</v>
      </c>
      <c r="N290" s="28"/>
      <c r="O290" s="27">
        <v>0</v>
      </c>
      <c r="P290" s="28">
        <v>0</v>
      </c>
      <c r="Q290" s="27">
        <v>0</v>
      </c>
      <c r="R290" s="26">
        <v>1178100</v>
      </c>
      <c r="S290" s="115">
        <f ca="1">IF(PROVEEDORES[[#This Row],[FECHA DE PAGO]]=0,TODAY()-PROVEEDORES[[#This Row],[FECHA DE FACTURACIÓN]]-PROVEEDORES[[#This Row],[PLAZO Días]],0)</f>
        <v>0</v>
      </c>
      <c r="T2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1" spans="1:20" ht="21.9" customHeight="1" x14ac:dyDescent="0.3">
      <c r="A291" s="113" t="str">
        <f>+IF(PROVEEDORES[[#This Row],[FECHA DE PAGO]]=PROVEEDORES[[#This Row],[FECHA DE FACTURACIÓN]],"DE CONTADO","CRÉDITO")</f>
        <v>CRÉDITO</v>
      </c>
      <c r="B291" s="51" t="b">
        <f>+IF((PROVEEDORES[[#This Row],[FECHA DE PAGO]]-PROVEEDORES[[#This Row],[FECHA DE FACTURACIÓN]])&gt;PROVEEDORES[[#This Row],[PLAZO Días]],"PAGO VENCIDO")</f>
        <v>0</v>
      </c>
      <c r="C291" s="25">
        <f>+VLOOKUP(PROVEEDORES[[#This Row],[PROVEEDOR]],TERCEROS_INFO[#All],2,FALSE)</f>
        <v>30</v>
      </c>
      <c r="D291" s="30">
        <f>+SUMIFS(PROVEEDORES[Total],PROVEEDORES[PROVEEDOR],PROVEEDORES[[#This Row],[PROVEEDOR]],PROVEEDORES[FECHA DE PAGO],"")</f>
        <v>0</v>
      </c>
      <c r="E291" s="30"/>
      <c r="F291" s="73" t="str">
        <f>+VLOOKUP(PROVEEDORES[[#This Row],[PROVEEDOR]],TERCEROS_INFO[[PROVEEDOR]:[CORREO]],5,FALSE)</f>
        <v/>
      </c>
      <c r="G291" s="111">
        <v>44302</v>
      </c>
      <c r="H291" s="31" t="s">
        <v>56</v>
      </c>
      <c r="I291" s="111">
        <v>44301</v>
      </c>
      <c r="J291" s="48">
        <v>53922</v>
      </c>
      <c r="K291" s="26">
        <v>5377000</v>
      </c>
      <c r="L291" s="26"/>
      <c r="M291" s="27">
        <v>0</v>
      </c>
      <c r="N291" s="28"/>
      <c r="O291" s="27">
        <v>0</v>
      </c>
      <c r="P291" s="28">
        <v>0</v>
      </c>
      <c r="Q291" s="27">
        <v>0</v>
      </c>
      <c r="R291" s="26">
        <v>5377000</v>
      </c>
      <c r="S291" s="115">
        <f ca="1">IF(PROVEEDORES[[#This Row],[FECHA DE PAGO]]=0,TODAY()-PROVEEDORES[[#This Row],[FECHA DE FACTURACIÓN]]-PROVEEDORES[[#This Row],[PLAZO Días]],0)</f>
        <v>0</v>
      </c>
      <c r="T2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2" spans="1:20" ht="21.9" customHeight="1" x14ac:dyDescent="0.3">
      <c r="A292" s="113" t="str">
        <f>+IF(PROVEEDORES[[#This Row],[FECHA DE PAGO]]=PROVEEDORES[[#This Row],[FECHA DE FACTURACIÓN]],"DE CONTADO","CRÉDITO")</f>
        <v>CRÉDITO</v>
      </c>
      <c r="B292" s="51" t="b">
        <f>+IF((PROVEEDORES[[#This Row],[FECHA DE PAGO]]-PROVEEDORES[[#This Row],[FECHA DE FACTURACIÓN]])&gt;PROVEEDORES[[#This Row],[PLAZO Días]],"PAGO VENCIDO")</f>
        <v>0</v>
      </c>
      <c r="C292" s="25">
        <f>+VLOOKUP(PROVEEDORES[[#This Row],[PROVEEDOR]],TERCEROS_INFO[#All],2,FALSE)</f>
        <v>30</v>
      </c>
      <c r="D292" s="30">
        <f>+SUMIFS(PROVEEDORES[Total],PROVEEDORES[PROVEEDOR],PROVEEDORES[[#This Row],[PROVEEDOR]],PROVEEDORES[FECHA DE PAGO],"")</f>
        <v>0</v>
      </c>
      <c r="E292" s="30"/>
      <c r="F292" s="73" t="str">
        <f>+VLOOKUP(PROVEEDORES[[#This Row],[PROVEEDOR]],TERCEROS_INFO[[PROVEEDOR]:[CORREO]],5,FALSE)</f>
        <v/>
      </c>
      <c r="G292" s="111">
        <v>44306</v>
      </c>
      <c r="H292" s="31" t="s">
        <v>1007</v>
      </c>
      <c r="I292" s="111">
        <v>44305</v>
      </c>
      <c r="J292" s="48" t="s">
        <v>692</v>
      </c>
      <c r="K292" s="26">
        <v>3351000</v>
      </c>
      <c r="L292" s="26"/>
      <c r="M292" s="27">
        <v>0</v>
      </c>
      <c r="N292" s="28"/>
      <c r="O292" s="27">
        <v>0</v>
      </c>
      <c r="P292" s="28">
        <v>0</v>
      </c>
      <c r="Q292" s="27">
        <v>0</v>
      </c>
      <c r="R292" s="26">
        <v>3351000</v>
      </c>
      <c r="S292" s="115">
        <f ca="1">IF(PROVEEDORES[[#This Row],[FECHA DE PAGO]]=0,TODAY()-PROVEEDORES[[#This Row],[FECHA DE FACTURACIÓN]]-PROVEEDORES[[#This Row],[PLAZO Días]],0)</f>
        <v>0</v>
      </c>
      <c r="T2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3" spans="1:20" ht="21.9" customHeight="1" x14ac:dyDescent="0.3">
      <c r="A293" s="113" t="str">
        <f>+IF(PROVEEDORES[[#This Row],[FECHA DE PAGO]]=PROVEEDORES[[#This Row],[FECHA DE FACTURACIÓN]],"DE CONTADO","CRÉDITO")</f>
        <v>CRÉDITO</v>
      </c>
      <c r="B293" s="51" t="str">
        <f>+IF((PROVEEDORES[[#This Row],[FECHA DE PAGO]]-PROVEEDORES[[#This Row],[FECHA DE FACTURACIÓN]])&gt;PROVEEDORES[[#This Row],[PLAZO Días]],"PAGO VENCIDO")</f>
        <v>PAGO VENCIDO</v>
      </c>
      <c r="C293" s="25">
        <f>+VLOOKUP(PROVEEDORES[[#This Row],[PROVEEDOR]],TERCEROS_INFO[#All],2,FALSE)</f>
        <v>30</v>
      </c>
      <c r="D293" s="30">
        <f>+SUMIFS(PROVEEDORES[Total],PROVEEDORES[PROVEEDOR],PROVEEDORES[[#This Row],[PROVEEDOR]],PROVEEDORES[FECHA DE PAGO],"")</f>
        <v>3400186.8245000001</v>
      </c>
      <c r="E293" s="30"/>
      <c r="F293" s="73" t="str">
        <f>+VLOOKUP(PROVEEDORES[[#This Row],[PROVEEDOR]],TERCEROS_INFO[[PROVEEDOR]:[CORREO]],5,FALSE)</f>
        <v>contabilidad@amgimportadora.com;mcastellanos@amgimportadora.com;girlesa.ruiz@servipilas.com;joriescobar64@gmail.com</v>
      </c>
      <c r="G293" s="111">
        <v>44348</v>
      </c>
      <c r="H293" s="31" t="s">
        <v>20</v>
      </c>
      <c r="I293" s="111">
        <v>44306</v>
      </c>
      <c r="J293" s="48">
        <v>3909</v>
      </c>
      <c r="K293" s="26">
        <v>898920</v>
      </c>
      <c r="L293" s="26"/>
      <c r="M293" s="27">
        <v>170794.8</v>
      </c>
      <c r="N293" s="28"/>
      <c r="O293" s="27">
        <v>0</v>
      </c>
      <c r="P293" s="28">
        <v>0</v>
      </c>
      <c r="Q293" s="27">
        <v>0</v>
      </c>
      <c r="R293" s="26">
        <v>1069714.8</v>
      </c>
      <c r="S293" s="115">
        <f ca="1">IF(PROVEEDORES[[#This Row],[FECHA DE PAGO]]=0,TODAY()-PROVEEDORES[[#This Row],[FECHA DE FACTURACIÓN]]-PROVEEDORES[[#This Row],[PLAZO Días]],0)</f>
        <v>0</v>
      </c>
      <c r="T2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4" spans="1:20" ht="21.9" customHeight="1" x14ac:dyDescent="0.3">
      <c r="A294" s="113" t="str">
        <f>+IF(PROVEEDORES[[#This Row],[FECHA DE PAGO]]=PROVEEDORES[[#This Row],[FECHA DE FACTURACIÓN]],"DE CONTADO","CRÉDITO")</f>
        <v>CRÉDITO</v>
      </c>
      <c r="B294" s="51" t="str">
        <f>+IF((PROVEEDORES[[#This Row],[FECHA DE PAGO]]-PROVEEDORES[[#This Row],[FECHA DE FACTURACIÓN]])&gt;PROVEEDORES[[#This Row],[PLAZO Días]],"PAGO VENCIDO")</f>
        <v>PAGO VENCIDO</v>
      </c>
      <c r="C294" s="25">
        <f>+VLOOKUP(PROVEEDORES[[#This Row],[PROVEEDOR]],TERCEROS_INFO[#All],2,FALSE)</f>
        <v>90</v>
      </c>
      <c r="D294" s="30">
        <f>+SUMIFS(PROVEEDORES[Total],PROVEEDORES[PROVEEDOR],PROVEEDORES[[#This Row],[PROVEEDOR]],PROVEEDORES[FECHA DE PAGO],"")</f>
        <v>24974028.109999996</v>
      </c>
      <c r="E294" s="30"/>
      <c r="F294" s="73" t="str">
        <f>+VLOOKUP(PROVEEDORES[[#This Row],[PROVEEDOR]],TERCEROS_INFO[[PROVEEDOR]:[CORREO]],5,FALSE)</f>
        <v>criszapata1234@gmail.com;girlesa.ruiz@servipilas.com;joriescobar64@gmail.com</v>
      </c>
      <c r="G294" s="111">
        <v>44427</v>
      </c>
      <c r="H294" s="31" t="s">
        <v>78</v>
      </c>
      <c r="I294" s="111">
        <v>44306</v>
      </c>
      <c r="J294" s="48" t="s">
        <v>313</v>
      </c>
      <c r="K294" s="26">
        <v>11575598</v>
      </c>
      <c r="L294" s="26"/>
      <c r="M294" s="27">
        <v>2199363.62</v>
      </c>
      <c r="N294" s="28"/>
      <c r="O294" s="27">
        <v>0</v>
      </c>
      <c r="P294" s="28">
        <v>2.5000000000000001E-2</v>
      </c>
      <c r="Q294" s="27">
        <v>289389.95</v>
      </c>
      <c r="R294" s="26">
        <v>13485571.670000002</v>
      </c>
      <c r="S294" s="115">
        <f ca="1">IF(PROVEEDORES[[#This Row],[FECHA DE PAGO]]=0,TODAY()-PROVEEDORES[[#This Row],[FECHA DE FACTURACIÓN]]-PROVEEDORES[[#This Row],[PLAZO Días]],0)</f>
        <v>0</v>
      </c>
      <c r="T2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5" spans="1:20" ht="21.9" customHeight="1" x14ac:dyDescent="0.3">
      <c r="A295" s="113" t="str">
        <f>+IF(PROVEEDORES[[#This Row],[FECHA DE PAGO]]=PROVEEDORES[[#This Row],[FECHA DE FACTURACIÓN]],"DE CONTADO","CRÉDITO")</f>
        <v>CRÉDITO</v>
      </c>
      <c r="B295" s="51" t="str">
        <f>+IF((PROVEEDORES[[#This Row],[FECHA DE PAGO]]-PROVEEDORES[[#This Row],[FECHA DE FACTURACIÓN]])&gt;PROVEEDORES[[#This Row],[PLAZO Días]],"PAGO VENCIDO")</f>
        <v>PAGO VENCIDO</v>
      </c>
      <c r="C295" s="25">
        <f>+VLOOKUP(PROVEEDORES[[#This Row],[PROVEEDOR]],TERCEROS_INFO[#All],2,FALSE)</f>
        <v>30</v>
      </c>
      <c r="D295" s="30">
        <f>+SUMIFS(PROVEEDORES[Total],PROVEEDORES[PROVEEDOR],PROVEEDORES[[#This Row],[PROVEEDOR]],PROVEEDORES[FECHA DE PAGO],"")</f>
        <v>1119790</v>
      </c>
      <c r="E295" s="30"/>
      <c r="F295" s="73" t="str">
        <f>+VLOOKUP(PROVEEDORES[[#This Row],[PROVEEDOR]],TERCEROS_INFO[[PROVEEDOR]:[CORREO]],5,FALSE)</f>
        <v>MVALENCIA@mps.com.co;girlesa.ruiz@servipilas.com;joriescobar64@gmail.com</v>
      </c>
      <c r="G295" s="111">
        <v>44344</v>
      </c>
      <c r="H295" s="31" t="s">
        <v>17</v>
      </c>
      <c r="I295" s="111">
        <v>44307</v>
      </c>
      <c r="J295" s="48">
        <v>1754054</v>
      </c>
      <c r="K295" s="26">
        <v>126965.96</v>
      </c>
      <c r="L295" s="26"/>
      <c r="M295" s="27">
        <v>24123.5324</v>
      </c>
      <c r="N295" s="28"/>
      <c r="O295" s="27">
        <v>0</v>
      </c>
      <c r="P295" s="28">
        <v>0</v>
      </c>
      <c r="Q295" s="27">
        <v>0</v>
      </c>
      <c r="R295" s="26">
        <v>151089.49240000002</v>
      </c>
      <c r="S295" s="115">
        <f ca="1">IF(PROVEEDORES[[#This Row],[FECHA DE PAGO]]=0,TODAY()-PROVEEDORES[[#This Row],[FECHA DE FACTURACIÓN]]-PROVEEDORES[[#This Row],[PLAZO Días]],0)</f>
        <v>0</v>
      </c>
      <c r="T2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6" spans="1:20" ht="21.9" customHeight="1" x14ac:dyDescent="0.3">
      <c r="A296" s="113" t="str">
        <f>+IF(PROVEEDORES[[#This Row],[FECHA DE PAGO]]=PROVEEDORES[[#This Row],[FECHA DE FACTURACIÓN]],"DE CONTADO","CRÉDITO")</f>
        <v>DE CONTADO</v>
      </c>
      <c r="B296" s="51" t="b">
        <f>+IF((PROVEEDORES[[#This Row],[FECHA DE PAGO]]-PROVEEDORES[[#This Row],[FECHA DE FACTURACIÓN]])&gt;PROVEEDORES[[#This Row],[PLAZO Días]],"PAGO VENCIDO")</f>
        <v>0</v>
      </c>
      <c r="C296" s="25">
        <f>+VLOOKUP(PROVEEDORES[[#This Row],[PROVEEDOR]],TERCEROS_INFO[#All],2,FALSE)</f>
        <v>30</v>
      </c>
      <c r="D296" s="30">
        <f>+SUMIFS(PROVEEDORES[Total],PROVEEDORES[PROVEEDOR],PROVEEDORES[[#This Row],[PROVEEDOR]],PROVEEDORES[FECHA DE PAGO],"")</f>
        <v>0</v>
      </c>
      <c r="E296" s="30"/>
      <c r="F296" s="73" t="str">
        <f>+VLOOKUP(PROVEEDORES[[#This Row],[PROVEEDOR]],TERCEROS_INFO[[PROVEEDOR]:[CORREO]],5,FALSE)</f>
        <v/>
      </c>
      <c r="G296" s="111">
        <v>44307</v>
      </c>
      <c r="H296" s="31" t="s">
        <v>1052</v>
      </c>
      <c r="I296" s="111">
        <v>44307</v>
      </c>
      <c r="J296" s="48"/>
      <c r="K296" s="26">
        <v>500000</v>
      </c>
      <c r="L296" s="26"/>
      <c r="M296" s="27">
        <v>0</v>
      </c>
      <c r="N296" s="28"/>
      <c r="O296" s="27">
        <v>0</v>
      </c>
      <c r="P296" s="28">
        <v>0</v>
      </c>
      <c r="Q296" s="27">
        <v>0</v>
      </c>
      <c r="R296" s="26">
        <v>500000</v>
      </c>
      <c r="S296" s="115">
        <f ca="1">IF(PROVEEDORES[[#This Row],[FECHA DE PAGO]]=0,TODAY()-PROVEEDORES[[#This Row],[FECHA DE FACTURACIÓN]]-PROVEEDORES[[#This Row],[PLAZO Días]],0)</f>
        <v>0</v>
      </c>
      <c r="T29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7" spans="1:20" ht="21.9" customHeight="1" x14ac:dyDescent="0.3">
      <c r="A297" s="113" t="str">
        <f>+IF(PROVEEDORES[[#This Row],[FECHA DE PAGO]]=PROVEEDORES[[#This Row],[FECHA DE FACTURACIÓN]],"DE CONTADO","CRÉDITO")</f>
        <v>CRÉDITO</v>
      </c>
      <c r="B297" s="51" t="str">
        <f>+IF((PROVEEDORES[[#This Row],[FECHA DE PAGO]]-PROVEEDORES[[#This Row],[FECHA DE FACTURACIÓN]])&gt;PROVEEDORES[[#This Row],[PLAZO Días]],"PAGO VENCIDO")</f>
        <v>PAGO VENCIDO</v>
      </c>
      <c r="C297" s="25">
        <f>+VLOOKUP(PROVEEDORES[[#This Row],[PROVEEDOR]],TERCEROS_INFO[#All],2,FALSE)</f>
        <v>45</v>
      </c>
      <c r="D297" s="30">
        <f>+SUMIFS(PROVEEDORES[Total],PROVEEDORES[PROVEEDOR],PROVEEDORES[[#This Row],[PROVEEDOR]],PROVEEDORES[FECHA DE PAGO],"")</f>
        <v>1070024.2</v>
      </c>
      <c r="E297" s="30"/>
      <c r="F297" s="73" t="str">
        <f>+VLOOKUP(PROVEEDORES[[#This Row],[PROVEEDOR]],TERCEROS_INFO[[PROVEEDOR]:[CORREO]],5,FALSE)</f>
        <v>libardopineda@tronex.com;girlesa.ruiz@servipilas.com;joriescobar64@gmail.com</v>
      </c>
      <c r="G297" s="111">
        <v>44369</v>
      </c>
      <c r="H297" s="31" t="s">
        <v>10</v>
      </c>
      <c r="I297" s="111">
        <v>44307</v>
      </c>
      <c r="J297" s="48" t="s">
        <v>311</v>
      </c>
      <c r="K297" s="26">
        <v>894000</v>
      </c>
      <c r="L297" s="26"/>
      <c r="M297" s="27">
        <v>169860</v>
      </c>
      <c r="N297" s="28"/>
      <c r="O297" s="27">
        <v>0</v>
      </c>
      <c r="P297" s="28">
        <v>0</v>
      </c>
      <c r="Q297" s="27">
        <v>0</v>
      </c>
      <c r="R297" s="26">
        <v>1063860</v>
      </c>
      <c r="S297" s="115">
        <f ca="1">IF(PROVEEDORES[[#This Row],[FECHA DE PAGO]]=0,TODAY()-PROVEEDORES[[#This Row],[FECHA DE FACTURACIÓN]]-PROVEEDORES[[#This Row],[PLAZO Días]],0)</f>
        <v>0</v>
      </c>
      <c r="T29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8" spans="1:20" ht="21.9" customHeight="1" x14ac:dyDescent="0.3">
      <c r="A298" s="113" t="str">
        <f>+IF(PROVEEDORES[[#This Row],[FECHA DE PAGO]]=PROVEEDORES[[#This Row],[FECHA DE FACTURACIÓN]],"DE CONTADO","CRÉDITO")</f>
        <v>CRÉDITO</v>
      </c>
      <c r="B298" s="51" t="str">
        <f>+IF((PROVEEDORES[[#This Row],[FECHA DE PAGO]]-PROVEEDORES[[#This Row],[FECHA DE FACTURACIÓN]])&gt;PROVEEDORES[[#This Row],[PLAZO Días]],"PAGO VENCIDO")</f>
        <v>PAGO VENCIDO</v>
      </c>
      <c r="C298" s="25">
        <f>+VLOOKUP(PROVEEDORES[[#This Row],[PROVEEDOR]],TERCEROS_INFO[#All],2,FALSE)</f>
        <v>30</v>
      </c>
      <c r="D298" s="30">
        <f>+SUMIFS(PROVEEDORES[Total],PROVEEDORES[PROVEEDOR],PROVEEDORES[[#This Row],[PROVEEDOR]],PROVEEDORES[FECHA DE PAGO],"")</f>
        <v>4078650.6</v>
      </c>
      <c r="E298" s="30"/>
      <c r="F298" s="73" t="str">
        <f>+VLOOKUP(PROVEEDORES[[#This Row],[PROVEEDOR]],TERCEROS_INFO[[PROVEEDOR]:[CORREO]],5,FALSE)</f>
        <v>financiera@nalpicentral.com;girlesa.ruiz@servipilas.com;joriescobar64@gmail.com</v>
      </c>
      <c r="G298" s="111">
        <v>44348</v>
      </c>
      <c r="H298" s="31" t="s">
        <v>1095</v>
      </c>
      <c r="I298" s="111">
        <v>44307</v>
      </c>
      <c r="J298" s="48">
        <v>20716</v>
      </c>
      <c r="K298" s="26">
        <v>1928928</v>
      </c>
      <c r="L298" s="26">
        <v>133188</v>
      </c>
      <c r="M298" s="27">
        <v>341190.6</v>
      </c>
      <c r="N298" s="28"/>
      <c r="O298" s="27">
        <v>0</v>
      </c>
      <c r="P298" s="28">
        <v>2.5000000000000001E-2</v>
      </c>
      <c r="Q298" s="27">
        <v>44893.5</v>
      </c>
      <c r="R298" s="26">
        <v>2092037.1</v>
      </c>
      <c r="S298" s="115">
        <f ca="1">IF(PROVEEDORES[[#This Row],[FECHA DE PAGO]]=0,TODAY()-PROVEEDORES[[#This Row],[FECHA DE FACTURACIÓN]]-PROVEEDORES[[#This Row],[PLAZO Días]],0)</f>
        <v>0</v>
      </c>
      <c r="T2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299" spans="1:20" ht="21.9" customHeight="1" x14ac:dyDescent="0.3">
      <c r="A299" s="113" t="str">
        <f>+IF(PROVEEDORES[[#This Row],[FECHA DE PAGO]]=PROVEEDORES[[#This Row],[FECHA DE FACTURACIÓN]],"DE CONTADO","CRÉDITO")</f>
        <v>CRÉDITO</v>
      </c>
      <c r="B299" s="51" t="b">
        <f>+IF((PROVEEDORES[[#This Row],[FECHA DE PAGO]]-PROVEEDORES[[#This Row],[FECHA DE FACTURACIÓN]])&gt;PROVEEDORES[[#This Row],[PLAZO Días]],"PAGO VENCIDO")</f>
        <v>0</v>
      </c>
      <c r="C299" s="25">
        <f>+VLOOKUP(PROVEEDORES[[#This Row],[PROVEEDOR]],TERCEROS_INFO[#All],2,FALSE)</f>
        <v>30</v>
      </c>
      <c r="D299" s="30">
        <f>+SUMIFS(PROVEEDORES[Total],PROVEEDORES[PROVEEDOR],PROVEEDORES[[#This Row],[PROVEEDOR]],PROVEEDORES[FECHA DE PAGO],"")</f>
        <v>0</v>
      </c>
      <c r="E299" s="30"/>
      <c r="F299" s="73" t="str">
        <f>+VLOOKUP(PROVEEDORES[[#This Row],[PROVEEDOR]],TERCEROS_INFO[[PROVEEDOR]:[CORREO]],5,FALSE)</f>
        <v>oswaldo.alvarez@logimexsas.com;girlesa.ruiz@servipilas.com;joriescobar64@gmail.com</v>
      </c>
      <c r="G299" s="111">
        <v>44319</v>
      </c>
      <c r="H299" s="31" t="s">
        <v>120</v>
      </c>
      <c r="I299" s="111">
        <v>44308</v>
      </c>
      <c r="J299" s="48" t="s">
        <v>317</v>
      </c>
      <c r="K299" s="26">
        <v>158258.28</v>
      </c>
      <c r="L299" s="26"/>
      <c r="M299" s="27">
        <v>0</v>
      </c>
      <c r="N299" s="28"/>
      <c r="O299" s="27">
        <v>0</v>
      </c>
      <c r="P299" s="28">
        <v>0</v>
      </c>
      <c r="Q299" s="27">
        <v>0</v>
      </c>
      <c r="R299" s="26">
        <v>158258.28</v>
      </c>
      <c r="S299" s="115">
        <f ca="1">IF(PROVEEDORES[[#This Row],[FECHA DE PAGO]]=0,TODAY()-PROVEEDORES[[#This Row],[FECHA DE FACTURACIÓN]]-PROVEEDORES[[#This Row],[PLAZO Días]],0)</f>
        <v>0</v>
      </c>
      <c r="T2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0" spans="1:20" ht="21.9" customHeight="1" x14ac:dyDescent="0.3">
      <c r="A300" s="113" t="str">
        <f>+IF(PROVEEDORES[[#This Row],[FECHA DE PAGO]]=PROVEEDORES[[#This Row],[FECHA DE FACTURACIÓN]],"DE CONTADO","CRÉDITO")</f>
        <v>CRÉDITO</v>
      </c>
      <c r="B300" s="51" t="str">
        <f>+IF((PROVEEDORES[[#This Row],[FECHA DE PAGO]]-PROVEEDORES[[#This Row],[FECHA DE FACTURACIÓN]])&gt;PROVEEDORES[[#This Row],[PLAZO Días]],"PAGO VENCIDO")</f>
        <v>PAGO VENCIDO</v>
      </c>
      <c r="C300" s="25">
        <f>+VLOOKUP(PROVEEDORES[[#This Row],[PROVEEDOR]],TERCEROS_INFO[#All],2,FALSE)</f>
        <v>30</v>
      </c>
      <c r="D300" s="30">
        <f>+SUMIFS(PROVEEDORES[Total],PROVEEDORES[PROVEEDOR],PROVEEDORES[[#This Row],[PROVEEDOR]],PROVEEDORES[FECHA DE PAGO],"")</f>
        <v>0</v>
      </c>
      <c r="E300" s="30"/>
      <c r="F300" s="73" t="str">
        <f>+VLOOKUP(PROVEEDORES[[#This Row],[PROVEEDOR]],TERCEROS_INFO[[PROVEEDOR]:[CORREO]],5,FALSE)</f>
        <v>cxc11@unitecusa.com.co;jefecartera@unitecusa.com.co;girlesa.ruiz@servipilas.com;joriescobar64@gmail.com</v>
      </c>
      <c r="G300" s="111">
        <v>44344</v>
      </c>
      <c r="H300" s="31" t="s">
        <v>14</v>
      </c>
      <c r="I300" s="111">
        <v>44308</v>
      </c>
      <c r="J300" s="48" t="s">
        <v>314</v>
      </c>
      <c r="K300" s="26">
        <v>202496</v>
      </c>
      <c r="L300" s="26"/>
      <c r="M300" s="27">
        <v>38474.239999999998</v>
      </c>
      <c r="N300" s="28"/>
      <c r="O300" s="27">
        <v>0</v>
      </c>
      <c r="P300" s="28">
        <v>0</v>
      </c>
      <c r="Q300" s="27">
        <v>0</v>
      </c>
      <c r="R300" s="26">
        <v>240970.23999999999</v>
      </c>
      <c r="S300" s="115">
        <f ca="1">IF(PROVEEDORES[[#This Row],[FECHA DE PAGO]]=0,TODAY()-PROVEEDORES[[#This Row],[FECHA DE FACTURACIÓN]]-PROVEEDORES[[#This Row],[PLAZO Días]],0)</f>
        <v>0</v>
      </c>
      <c r="T30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1" spans="1:20" ht="21.9" customHeight="1" x14ac:dyDescent="0.3">
      <c r="A301" s="113" t="str">
        <f>+IF(PROVEEDORES[[#This Row],[FECHA DE PAGO]]=PROVEEDORES[[#This Row],[FECHA DE FACTURACIÓN]],"DE CONTADO","CRÉDITO")</f>
        <v>CRÉDITO</v>
      </c>
      <c r="B301" s="51" t="b">
        <f>+IF((PROVEEDORES[[#This Row],[FECHA DE PAGO]]-PROVEEDORES[[#This Row],[FECHA DE FACTURACIÓN]])&gt;PROVEEDORES[[#This Row],[PLAZO Días]],"PAGO VENCIDO")</f>
        <v>0</v>
      </c>
      <c r="C301" s="25">
        <f>+VLOOKUP(PROVEEDORES[[#This Row],[PROVEEDOR]],TERCEROS_INFO[#All],2,FALSE)</f>
        <v>30</v>
      </c>
      <c r="D301" s="30">
        <f>+SUMIFS(PROVEEDORES[Total],PROVEEDORES[PROVEEDOR],PROVEEDORES[[#This Row],[PROVEEDOR]],PROVEEDORES[FECHA DE PAGO],"")</f>
        <v>6482443.1751999995</v>
      </c>
      <c r="E301" s="30"/>
      <c r="F301" s="73" t="str">
        <f>+VLOOKUP(PROVEEDORES[[#This Row],[PROVEEDOR]],TERCEROS_INFO[[PROVEEDOR]:[CORREO]],5,FALSE)</f>
        <v>angela.navas@hyrdistribuciones.com;girlesa.ruiz@servipilas.com;joriescobar64@gmail.com</v>
      </c>
      <c r="G301" s="111">
        <v>44335</v>
      </c>
      <c r="H301" s="31" t="s">
        <v>18</v>
      </c>
      <c r="I301" s="111">
        <v>44308</v>
      </c>
      <c r="J301" s="48">
        <v>1037035</v>
      </c>
      <c r="K301" s="26">
        <v>2259006.4</v>
      </c>
      <c r="L301" s="26"/>
      <c r="M301" s="27">
        <v>429211.21600000001</v>
      </c>
      <c r="N301" s="28"/>
      <c r="O301" s="27">
        <v>0</v>
      </c>
      <c r="P301" s="28">
        <v>2.5000000000000001E-2</v>
      </c>
      <c r="Q301" s="27">
        <v>56475.16</v>
      </c>
      <c r="R301" s="26">
        <v>2631742.4559999998</v>
      </c>
      <c r="S301" s="115">
        <f ca="1">IF(PROVEEDORES[[#This Row],[FECHA DE PAGO]]=0,TODAY()-PROVEEDORES[[#This Row],[FECHA DE FACTURACIÓN]]-PROVEEDORES[[#This Row],[PLAZO Días]],0)</f>
        <v>0</v>
      </c>
      <c r="T3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2" spans="1:20" ht="21.9" customHeight="1" x14ac:dyDescent="0.3">
      <c r="A302" s="113" t="str">
        <f>+IF(PROVEEDORES[[#This Row],[FECHA DE PAGO]]=PROVEEDORES[[#This Row],[FECHA DE FACTURACIÓN]],"DE CONTADO","CRÉDITO")</f>
        <v>CRÉDITO</v>
      </c>
      <c r="B302" s="51" t="b">
        <f>+IF((PROVEEDORES[[#This Row],[FECHA DE PAGO]]-PROVEEDORES[[#This Row],[FECHA DE FACTURACIÓN]])&gt;PROVEEDORES[[#This Row],[PLAZO Días]],"PAGO VENCIDO")</f>
        <v>0</v>
      </c>
      <c r="C302" s="25">
        <f>+VLOOKUP(PROVEEDORES[[#This Row],[PROVEEDOR]],TERCEROS_INFO[#All],2,FALSE)</f>
        <v>20</v>
      </c>
      <c r="D302" s="30">
        <f>+SUMIFS(PROVEEDORES[Total],PROVEEDORES[PROVEEDOR],PROVEEDORES[[#This Row],[PROVEEDOR]],PROVEEDORES[FECHA DE PAGO],"")</f>
        <v>0</v>
      </c>
      <c r="E302" s="30"/>
      <c r="F302" s="73" t="str">
        <f>+VLOOKUP(PROVEEDORES[[#This Row],[PROVEEDOR]],TERCEROS_INFO[[PROVEEDOR]:[CORREO]],5,FALSE)</f>
        <v>bog.fa1@pressex.co;bog.fm1@pressex.co;kbaumgartner@pressex.co;girlesa.ruiz@servipilas.com;joriescobar64@gmail.com</v>
      </c>
      <c r="G302" s="111">
        <v>44319</v>
      </c>
      <c r="H302" s="31" t="s">
        <v>377</v>
      </c>
      <c r="I302" s="111">
        <v>44309</v>
      </c>
      <c r="J302" s="48" t="s">
        <v>451</v>
      </c>
      <c r="K302" s="26">
        <v>3691762.2846000004</v>
      </c>
      <c r="L302" s="26"/>
      <c r="M302" s="27">
        <v>701434.83407400013</v>
      </c>
      <c r="N302" s="28"/>
      <c r="O302" s="27">
        <v>0</v>
      </c>
      <c r="P302" s="28">
        <v>0.04</v>
      </c>
      <c r="Q302" s="27">
        <v>147670.49138400002</v>
      </c>
      <c r="R302" s="26">
        <v>4245526.6272900011</v>
      </c>
      <c r="S302" s="115">
        <f ca="1">IF(PROVEEDORES[[#This Row],[FECHA DE PAGO]]=0,TODAY()-PROVEEDORES[[#This Row],[FECHA DE FACTURACIÓN]]-PROVEEDORES[[#This Row],[PLAZO Días]],0)</f>
        <v>0</v>
      </c>
      <c r="T3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3" spans="1:20" ht="21.9" customHeight="1" x14ac:dyDescent="0.3">
      <c r="A303" s="113" t="str">
        <f>+IF(PROVEEDORES[[#This Row],[FECHA DE PAGO]]=PROVEEDORES[[#This Row],[FECHA DE FACTURACIÓN]],"DE CONTADO","CRÉDITO")</f>
        <v>CRÉDITO</v>
      </c>
      <c r="B303" s="51" t="str">
        <f>+IF((PROVEEDORES[[#This Row],[FECHA DE PAGO]]-PROVEEDORES[[#This Row],[FECHA DE FACTURACIÓN]])&gt;PROVEEDORES[[#This Row],[PLAZO Días]],"PAGO VENCIDO")</f>
        <v>PAGO VENCIDO</v>
      </c>
      <c r="C303" s="25">
        <f>+VLOOKUP(PROVEEDORES[[#This Row],[PROVEEDOR]],TERCEROS_INFO[#All],2,FALSE)</f>
        <v>30</v>
      </c>
      <c r="D303" s="30">
        <f>+SUMIFS(PROVEEDORES[Total],PROVEEDORES[PROVEEDOR],PROVEEDORES[[#This Row],[PROVEEDOR]],PROVEEDORES[FECHA DE PAGO],"")</f>
        <v>0</v>
      </c>
      <c r="E303" s="30"/>
      <c r="F303" s="73">
        <f>+VLOOKUP(PROVEEDORES[[#This Row],[PROVEEDOR]],TERCEROS_INFO[[PROVEEDOR]:[CORREO]],5,FALSE)</f>
        <v>0</v>
      </c>
      <c r="G303" s="111">
        <v>44382</v>
      </c>
      <c r="H303" s="31" t="s">
        <v>1034</v>
      </c>
      <c r="I303" s="111">
        <v>44312</v>
      </c>
      <c r="J303" s="48" t="s">
        <v>694</v>
      </c>
      <c r="K303" s="26">
        <v>90000</v>
      </c>
      <c r="L303" s="26"/>
      <c r="M303" s="27">
        <v>0</v>
      </c>
      <c r="N303" s="28"/>
      <c r="O303" s="27">
        <v>0</v>
      </c>
      <c r="P303" s="28">
        <v>0</v>
      </c>
      <c r="Q303" s="27">
        <v>0</v>
      </c>
      <c r="R303" s="26">
        <v>90000</v>
      </c>
      <c r="S303" s="115">
        <f ca="1">IF(PROVEEDORES[[#This Row],[FECHA DE PAGO]]=0,TODAY()-PROVEEDORES[[#This Row],[FECHA DE FACTURACIÓN]]-PROVEEDORES[[#This Row],[PLAZO Días]],0)</f>
        <v>0</v>
      </c>
      <c r="T3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4" spans="1:20" ht="21.9" customHeight="1" x14ac:dyDescent="0.3">
      <c r="A304" s="113" t="str">
        <f>+IF(PROVEEDORES[[#This Row],[FECHA DE PAGO]]=PROVEEDORES[[#This Row],[FECHA DE FACTURACIÓN]],"DE CONTADO","CRÉDITO")</f>
        <v>CRÉDITO</v>
      </c>
      <c r="B304" s="51" t="b">
        <f>+IF((PROVEEDORES[[#This Row],[FECHA DE PAGO]]-PROVEEDORES[[#This Row],[FECHA DE FACTURACIÓN]])&gt;PROVEEDORES[[#This Row],[PLAZO Días]],"PAGO VENCIDO")</f>
        <v>0</v>
      </c>
      <c r="C304" s="25">
        <f>+VLOOKUP(PROVEEDORES[[#This Row],[PROVEEDOR]],TERCEROS_INFO[#All],2,FALSE)</f>
        <v>30</v>
      </c>
      <c r="D304" s="30">
        <f>+SUMIFS(PROVEEDORES[Total],PROVEEDORES[PROVEEDOR],PROVEEDORES[[#This Row],[PROVEEDOR]],PROVEEDORES[FECHA DE PAGO],"")</f>
        <v>0</v>
      </c>
      <c r="E304" s="30"/>
      <c r="F304" s="73" t="str">
        <f>+VLOOKUP(PROVEEDORES[[#This Row],[PROVEEDOR]],TERCEROS_INFO[[PROVEEDOR]:[CORREO]],5,FALSE)</f>
        <v/>
      </c>
      <c r="G304" s="111">
        <v>44313</v>
      </c>
      <c r="H304" s="31" t="s">
        <v>1065</v>
      </c>
      <c r="I304" s="111">
        <v>44312</v>
      </c>
      <c r="J304" s="48" t="s">
        <v>695</v>
      </c>
      <c r="K304" s="26">
        <v>180000</v>
      </c>
      <c r="L304" s="26"/>
      <c r="M304" s="27">
        <v>0</v>
      </c>
      <c r="N304" s="28"/>
      <c r="O304" s="27">
        <v>0</v>
      </c>
      <c r="P304" s="28">
        <v>0</v>
      </c>
      <c r="Q304" s="27">
        <v>0</v>
      </c>
      <c r="R304" s="26">
        <v>180000</v>
      </c>
      <c r="S304" s="115">
        <f ca="1">IF(PROVEEDORES[[#This Row],[FECHA DE PAGO]]=0,TODAY()-PROVEEDORES[[#This Row],[FECHA DE FACTURACIÓN]]-PROVEEDORES[[#This Row],[PLAZO Días]],0)</f>
        <v>0</v>
      </c>
      <c r="T3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5" spans="1:20" ht="21.9" customHeight="1" x14ac:dyDescent="0.3">
      <c r="A305" s="113" t="str">
        <f>+IF(PROVEEDORES[[#This Row],[FECHA DE PAGO]]=PROVEEDORES[[#This Row],[FECHA DE FACTURACIÓN]],"DE CONTADO","CRÉDITO")</f>
        <v>CRÉDITO</v>
      </c>
      <c r="B305" s="51" t="str">
        <f>+IF((PROVEEDORES[[#This Row],[FECHA DE PAGO]]-PROVEEDORES[[#This Row],[FECHA DE FACTURACIÓN]])&gt;PROVEEDORES[[#This Row],[PLAZO Días]],"PAGO VENCIDO")</f>
        <v>PAGO VENCIDO</v>
      </c>
      <c r="C305" s="25">
        <f>+VLOOKUP(PROVEEDORES[[#This Row],[PROVEEDOR]],TERCEROS_INFO[#All],2,FALSE)</f>
        <v>30</v>
      </c>
      <c r="D305" s="30">
        <f>+SUMIFS(PROVEEDORES[Total],PROVEEDORES[PROVEEDOR],PROVEEDORES[[#This Row],[PROVEEDOR]],PROVEEDORES[FECHA DE PAGO],"")</f>
        <v>3750700</v>
      </c>
      <c r="E305" s="30"/>
      <c r="F305" s="73" t="str">
        <f>+VLOOKUP(PROVEEDORES[[#This Row],[PROVEEDOR]],TERCEROS_INFO[[PROVEEDOR]:[CORREO]],5,FALSE)</f>
        <v/>
      </c>
      <c r="G305" s="111">
        <v>44355</v>
      </c>
      <c r="H305" s="31" t="s">
        <v>996</v>
      </c>
      <c r="I305" s="111">
        <v>44312</v>
      </c>
      <c r="J305" s="48" t="s">
        <v>693</v>
      </c>
      <c r="K305" s="26">
        <v>1092000</v>
      </c>
      <c r="L305" s="26"/>
      <c r="M305" s="27">
        <v>0</v>
      </c>
      <c r="N305" s="28"/>
      <c r="O305" s="27">
        <v>0</v>
      </c>
      <c r="P305" s="28">
        <v>0</v>
      </c>
      <c r="Q305" s="27">
        <v>0</v>
      </c>
      <c r="R305" s="26">
        <v>1092000</v>
      </c>
      <c r="S305" s="115">
        <f ca="1">IF(PROVEEDORES[[#This Row],[FECHA DE PAGO]]=0,TODAY()-PROVEEDORES[[#This Row],[FECHA DE FACTURACIÓN]]-PROVEEDORES[[#This Row],[PLAZO Días]],0)</f>
        <v>0</v>
      </c>
      <c r="T30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6" spans="1:20" ht="21.9" customHeight="1" x14ac:dyDescent="0.3">
      <c r="A306" s="113" t="str">
        <f>+IF(PROVEEDORES[[#This Row],[FECHA DE PAGO]]=PROVEEDORES[[#This Row],[FECHA DE FACTURACIÓN]],"DE CONTADO","CRÉDITO")</f>
        <v>CRÉDITO</v>
      </c>
      <c r="B306" s="51" t="str">
        <f>+IF((PROVEEDORES[[#This Row],[FECHA DE PAGO]]-PROVEEDORES[[#This Row],[FECHA DE FACTURACIÓN]])&gt;PROVEEDORES[[#This Row],[PLAZO Días]],"PAGO VENCIDO")</f>
        <v>PAGO VENCIDO</v>
      </c>
      <c r="C306" s="25">
        <f>+VLOOKUP(PROVEEDORES[[#This Row],[PROVEEDOR]],TERCEROS_INFO[#All],2,FALSE)</f>
        <v>45</v>
      </c>
      <c r="D306" s="30">
        <f>+SUMIFS(PROVEEDORES[Total],PROVEEDORES[PROVEEDOR],PROVEEDORES[[#This Row],[PROVEEDOR]],PROVEEDORES[FECHA DE PAGO],"")</f>
        <v>17760678.600000001</v>
      </c>
      <c r="E306" s="30"/>
      <c r="F306" s="73" t="str">
        <f>+VLOOKUP(PROVEEDORES[[#This Row],[PROVEEDOR]],TERCEROS_INFO[[PROVEEDOR]:[CORREO]],5,FALSE)</f>
        <v>zully.florez@powest.com;girlesa.ruiz@servipilas.com;joriescobar64@gmail.com</v>
      </c>
      <c r="G306" s="111">
        <v>44376</v>
      </c>
      <c r="H306" s="31" t="s">
        <v>19</v>
      </c>
      <c r="I306" s="111">
        <v>44313</v>
      </c>
      <c r="J306" s="48" t="s">
        <v>316</v>
      </c>
      <c r="K306" s="26">
        <v>5391660</v>
      </c>
      <c r="L306" s="26"/>
      <c r="M306" s="27">
        <v>1024415.4</v>
      </c>
      <c r="N306" s="28"/>
      <c r="O306" s="27">
        <v>0</v>
      </c>
      <c r="P306" s="28">
        <v>0</v>
      </c>
      <c r="Q306" s="27">
        <v>0</v>
      </c>
      <c r="R306" s="26">
        <v>6416075.4000000004</v>
      </c>
      <c r="S306" s="115">
        <f ca="1">IF(PROVEEDORES[[#This Row],[FECHA DE PAGO]]=0,TODAY()-PROVEEDORES[[#This Row],[FECHA DE FACTURACIÓN]]-PROVEEDORES[[#This Row],[PLAZO Días]],0)</f>
        <v>0</v>
      </c>
      <c r="T30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7" spans="1:20" ht="21.9" customHeight="1" x14ac:dyDescent="0.3">
      <c r="A307" s="113" t="str">
        <f>+IF(PROVEEDORES[[#This Row],[FECHA DE PAGO]]=PROVEEDORES[[#This Row],[FECHA DE FACTURACIÓN]],"DE CONTADO","CRÉDITO")</f>
        <v>CRÉDITO</v>
      </c>
      <c r="B307" s="51" t="str">
        <f>+IF((PROVEEDORES[[#This Row],[FECHA DE PAGO]]-PROVEEDORES[[#This Row],[FECHA DE FACTURACIÓN]])&gt;PROVEEDORES[[#This Row],[PLAZO Días]],"PAGO VENCIDO")</f>
        <v>PAGO VENCIDO</v>
      </c>
      <c r="C307" s="25">
        <f>+VLOOKUP(PROVEEDORES[[#This Row],[PROVEEDOR]],TERCEROS_INFO[#All],2,FALSE)</f>
        <v>30</v>
      </c>
      <c r="D307" s="30">
        <f>+SUMIFS(PROVEEDORES[Total],PROVEEDORES[PROVEEDOR],PROVEEDORES[[#This Row],[PROVEEDOR]],PROVEEDORES[FECHA DE PAGO],"")</f>
        <v>1296896</v>
      </c>
      <c r="E307" s="30"/>
      <c r="F307" s="73" t="str">
        <f>+VLOOKUP(PROVEEDORES[[#This Row],[PROVEEDOR]],TERCEROS_INFO[[PROVEEDOR]:[CORREO]],5,FALSE)</f>
        <v>tesoreria@lacentral.com.co;girlesa.ruiz@servipilas.com;joriescobar64@gmail.com</v>
      </c>
      <c r="G307" s="111">
        <v>44498</v>
      </c>
      <c r="H307" s="31" t="s">
        <v>335</v>
      </c>
      <c r="I307" s="111">
        <v>44314</v>
      </c>
      <c r="J307" s="48" t="s">
        <v>696</v>
      </c>
      <c r="K307" s="26">
        <v>240387</v>
      </c>
      <c r="L307" s="26"/>
      <c r="M307" s="27">
        <v>0</v>
      </c>
      <c r="N307" s="28"/>
      <c r="O307" s="27">
        <v>0</v>
      </c>
      <c r="P307" s="28">
        <v>0</v>
      </c>
      <c r="Q307" s="27">
        <v>0</v>
      </c>
      <c r="R307" s="26">
        <v>240387</v>
      </c>
      <c r="S307" s="115">
        <f ca="1">IF(PROVEEDORES[[#This Row],[FECHA DE PAGO]]=0,TODAY()-PROVEEDORES[[#This Row],[FECHA DE FACTURACIÓN]]-PROVEEDORES[[#This Row],[PLAZO Días]],0)</f>
        <v>0</v>
      </c>
      <c r="T30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8" spans="1:20" ht="21.9" customHeight="1" x14ac:dyDescent="0.3">
      <c r="A308" s="113" t="str">
        <f>+IF(PROVEEDORES[[#This Row],[FECHA DE PAGO]]=PROVEEDORES[[#This Row],[FECHA DE FACTURACIÓN]],"DE CONTADO","CRÉDITO")</f>
        <v>DE CONTADO</v>
      </c>
      <c r="B308" s="51" t="b">
        <f>+IF((PROVEEDORES[[#This Row],[FECHA DE PAGO]]-PROVEEDORES[[#This Row],[FECHA DE FACTURACIÓN]])&gt;PROVEEDORES[[#This Row],[PLAZO Días]],"PAGO VENCIDO")</f>
        <v>0</v>
      </c>
      <c r="C308" s="25">
        <f>+VLOOKUP(PROVEEDORES[[#This Row],[PROVEEDOR]],TERCEROS_INFO[#All],2,FALSE)</f>
        <v>30</v>
      </c>
      <c r="D308" s="30">
        <f>+SUMIFS(PROVEEDORES[Total],PROVEEDORES[PROVEEDOR],PROVEEDORES[[#This Row],[PROVEEDOR]],PROVEEDORES[FECHA DE PAGO],"")</f>
        <v>0</v>
      </c>
      <c r="E308" s="30"/>
      <c r="F308" s="73" t="str">
        <f>+VLOOKUP(PROVEEDORES[[#This Row],[PROVEEDOR]],TERCEROS_INFO[[PROVEEDOR]:[CORREO]],5,FALSE)</f>
        <v/>
      </c>
      <c r="G308" s="111">
        <v>44314</v>
      </c>
      <c r="H308" s="31" t="s">
        <v>1052</v>
      </c>
      <c r="I308" s="111">
        <v>44314</v>
      </c>
      <c r="J308" s="48"/>
      <c r="K308" s="26">
        <v>500000</v>
      </c>
      <c r="L308" s="26"/>
      <c r="M308" s="27">
        <v>0</v>
      </c>
      <c r="N308" s="28"/>
      <c r="O308" s="27">
        <v>0</v>
      </c>
      <c r="P308" s="28">
        <v>0</v>
      </c>
      <c r="Q308" s="27">
        <v>0</v>
      </c>
      <c r="R308" s="26">
        <v>500000</v>
      </c>
      <c r="S308" s="115">
        <f ca="1">IF(PROVEEDORES[[#This Row],[FECHA DE PAGO]]=0,TODAY()-PROVEEDORES[[#This Row],[FECHA DE FACTURACIÓN]]-PROVEEDORES[[#This Row],[PLAZO Días]],0)</f>
        <v>0</v>
      </c>
      <c r="T3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09" spans="1:20" ht="21.9" customHeight="1" x14ac:dyDescent="0.3">
      <c r="A309" s="113" t="str">
        <f>+IF(PROVEEDORES[[#This Row],[FECHA DE PAGO]]=PROVEEDORES[[#This Row],[FECHA DE FACTURACIÓN]],"DE CONTADO","CRÉDITO")</f>
        <v>CRÉDITO</v>
      </c>
      <c r="B309" s="51" t="str">
        <f>+IF((PROVEEDORES[[#This Row],[FECHA DE PAGO]]-PROVEEDORES[[#This Row],[FECHA DE FACTURACIÓN]])&gt;PROVEEDORES[[#This Row],[PLAZO Días]],"PAGO VENCIDO")</f>
        <v>PAGO VENCIDO</v>
      </c>
      <c r="C309" s="25">
        <f>+VLOOKUP(PROVEEDORES[[#This Row],[PROVEEDOR]],TERCEROS_INFO[#All],2,FALSE)</f>
        <v>30</v>
      </c>
      <c r="D309" s="30">
        <f>+SUMIFS(PROVEEDORES[Total],PROVEEDORES[PROVEEDOR],PROVEEDORES[[#This Row],[PROVEEDOR]],PROVEEDORES[FECHA DE PAGO],"")</f>
        <v>3320000</v>
      </c>
      <c r="E309" s="30"/>
      <c r="F309" s="73" t="str">
        <f>+VLOOKUP(PROVEEDORES[[#This Row],[PROVEEDOR]],TERCEROS_INFO[[PROVEEDOR]:[CORREO]],5,FALSE)</f>
        <v>Pygimportadora@gmail.com;girlesa.ruiz@servipilas.com;joriescobar64@gmail.com</v>
      </c>
      <c r="G309" s="111">
        <v>44377</v>
      </c>
      <c r="H309" s="31" t="s">
        <v>1068</v>
      </c>
      <c r="I309" s="111">
        <v>44315</v>
      </c>
      <c r="J309" s="48" t="s">
        <v>697</v>
      </c>
      <c r="K309" s="26">
        <v>1512990</v>
      </c>
      <c r="L309" s="26"/>
      <c r="M309" s="27">
        <v>0</v>
      </c>
      <c r="N309" s="28"/>
      <c r="O309" s="27">
        <v>0</v>
      </c>
      <c r="P309" s="28">
        <v>0</v>
      </c>
      <c r="Q309" s="27">
        <v>0</v>
      </c>
      <c r="R309" s="26">
        <v>1512990</v>
      </c>
      <c r="S309" s="115">
        <f ca="1">IF(PROVEEDORES[[#This Row],[FECHA DE PAGO]]=0,TODAY()-PROVEEDORES[[#This Row],[FECHA DE FACTURACIÓN]]-PROVEEDORES[[#This Row],[PLAZO Días]],0)</f>
        <v>0</v>
      </c>
      <c r="T30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0" spans="1:20" ht="21.9" customHeight="1" x14ac:dyDescent="0.3">
      <c r="A310" s="113" t="str">
        <f>+IF(PROVEEDORES[[#This Row],[FECHA DE PAGO]]=PROVEEDORES[[#This Row],[FECHA DE FACTURACIÓN]],"DE CONTADO","CRÉDITO")</f>
        <v>DE CONTADO</v>
      </c>
      <c r="B310" s="51" t="b">
        <f>+IF((PROVEEDORES[[#This Row],[FECHA DE PAGO]]-PROVEEDORES[[#This Row],[FECHA DE FACTURACIÓN]])&gt;PROVEEDORES[[#This Row],[PLAZO Días]],"PAGO VENCIDO")</f>
        <v>0</v>
      </c>
      <c r="C310" s="25">
        <f>+VLOOKUP(PROVEEDORES[[#This Row],[PROVEEDOR]],TERCEROS_INFO[#All],2,FALSE)</f>
        <v>30</v>
      </c>
      <c r="D310" s="30">
        <f>+SUMIFS(PROVEEDORES[Total],PROVEEDORES[PROVEEDOR],PROVEEDORES[[#This Row],[PROVEEDOR]],PROVEEDORES[FECHA DE PAGO],"")</f>
        <v>0</v>
      </c>
      <c r="E310" s="30"/>
      <c r="F310" s="73" t="str">
        <f>+VLOOKUP(PROVEEDORES[[#This Row],[PROVEEDOR]],TERCEROS_INFO[[PROVEEDOR]:[CORREO]],5,FALSE)</f>
        <v>Info.patex@gmail.com;girlesa.ruiz@servipilas.com;joriescobar64@gmail.com</v>
      </c>
      <c r="G310" s="111">
        <v>44316</v>
      </c>
      <c r="H310" s="31" t="s">
        <v>338</v>
      </c>
      <c r="I310" s="111">
        <v>44316</v>
      </c>
      <c r="J310" s="48" t="s">
        <v>350</v>
      </c>
      <c r="K310" s="26">
        <v>-972802</v>
      </c>
      <c r="L310" s="26"/>
      <c r="M310" s="27">
        <v>-184832.38</v>
      </c>
      <c r="N310" s="28"/>
      <c r="O310" s="27">
        <v>0</v>
      </c>
      <c r="P310" s="28">
        <v>0</v>
      </c>
      <c r="Q310" s="27">
        <v>0</v>
      </c>
      <c r="R310" s="26">
        <v>-1157634.3799999999</v>
      </c>
      <c r="S310" s="115">
        <f ca="1">IF(PROVEEDORES[[#This Row],[FECHA DE PAGO]]=0,TODAY()-PROVEEDORES[[#This Row],[FECHA DE FACTURACIÓN]]-PROVEEDORES[[#This Row],[PLAZO Días]],0)</f>
        <v>0</v>
      </c>
      <c r="T3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1" spans="1:20" ht="21.9" customHeight="1" x14ac:dyDescent="0.3">
      <c r="A311" s="113" t="str">
        <f>+IF(PROVEEDORES[[#This Row],[FECHA DE PAGO]]=PROVEEDORES[[#This Row],[FECHA DE FACTURACIÓN]],"DE CONTADO","CRÉDITO")</f>
        <v>DE CONTADO</v>
      </c>
      <c r="B311" s="51" t="b">
        <f>+IF((PROVEEDORES[[#This Row],[FECHA DE PAGO]]-PROVEEDORES[[#This Row],[FECHA DE FACTURACIÓN]])&gt;PROVEEDORES[[#This Row],[PLAZO Días]],"PAGO VENCIDO")</f>
        <v>0</v>
      </c>
      <c r="C311" s="25">
        <f>+VLOOKUP(PROVEEDORES[[#This Row],[PROVEEDOR]],TERCEROS_INFO[#All],2,FALSE)</f>
        <v>30</v>
      </c>
      <c r="D311" s="30">
        <f>+SUMIFS(PROVEEDORES[Total],PROVEEDORES[PROVEEDOR],PROVEEDORES[[#This Row],[PROVEEDOR]],PROVEEDORES[FECHA DE PAGO],"")</f>
        <v>0</v>
      </c>
      <c r="E311" s="30"/>
      <c r="F311" s="73" t="str">
        <f>+VLOOKUP(PROVEEDORES[[#This Row],[PROVEEDOR]],TERCEROS_INFO[[PROVEEDOR]:[CORREO]],5,FALSE)</f>
        <v/>
      </c>
      <c r="G311" s="111">
        <v>44316</v>
      </c>
      <c r="H311" s="31" t="s">
        <v>1016</v>
      </c>
      <c r="I311" s="111">
        <v>44316</v>
      </c>
      <c r="J311" s="48" t="s">
        <v>182</v>
      </c>
      <c r="K311" s="26">
        <v>71400</v>
      </c>
      <c r="L311" s="26"/>
      <c r="M311" s="27">
        <v>0</v>
      </c>
      <c r="N311" s="28"/>
      <c r="O311" s="27">
        <v>0</v>
      </c>
      <c r="P311" s="28">
        <v>0</v>
      </c>
      <c r="Q311" s="27">
        <v>0</v>
      </c>
      <c r="R311" s="26">
        <v>71400</v>
      </c>
      <c r="S311" s="115">
        <f ca="1">IF(PROVEEDORES[[#This Row],[FECHA DE PAGO]]=0,TODAY()-PROVEEDORES[[#This Row],[FECHA DE FACTURACIÓN]]-PROVEEDORES[[#This Row],[PLAZO Días]],0)</f>
        <v>0</v>
      </c>
      <c r="T3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2" spans="1:20" ht="21.9" customHeight="1" x14ac:dyDescent="0.3">
      <c r="A312" s="113" t="str">
        <f>+IF(PROVEEDORES[[#This Row],[FECHA DE PAGO]]=PROVEEDORES[[#This Row],[FECHA DE FACTURACIÓN]],"DE CONTADO","CRÉDITO")</f>
        <v>DE CONTADO</v>
      </c>
      <c r="B312" s="51" t="b">
        <f>+IF((PROVEEDORES[[#This Row],[FECHA DE PAGO]]-PROVEEDORES[[#This Row],[FECHA DE FACTURACIÓN]])&gt;PROVEEDORES[[#This Row],[PLAZO Días]],"PAGO VENCIDO")</f>
        <v>0</v>
      </c>
      <c r="C312" s="25">
        <f>+VLOOKUP(PROVEEDORES[[#This Row],[PROVEEDOR]],TERCEROS_INFO[#All],2,FALSE)</f>
        <v>30</v>
      </c>
      <c r="D312" s="30">
        <f>+SUMIFS(PROVEEDORES[Total],PROVEEDORES[PROVEEDOR],PROVEEDORES[[#This Row],[PROVEEDOR]],PROVEEDORES[FECHA DE PAGO],"")</f>
        <v>0</v>
      </c>
      <c r="E312" s="30"/>
      <c r="F312" s="73" t="str">
        <f>+VLOOKUP(PROVEEDORES[[#This Row],[PROVEEDOR]],TERCEROS_INFO[[PROVEEDOR]:[CORREO]],5,FALSE)</f>
        <v/>
      </c>
      <c r="G312" s="111">
        <v>44316</v>
      </c>
      <c r="H312" s="31" t="s">
        <v>1016</v>
      </c>
      <c r="I312" s="111">
        <v>44316</v>
      </c>
      <c r="J312" s="48" t="s">
        <v>944</v>
      </c>
      <c r="K312" s="26">
        <v>82400</v>
      </c>
      <c r="L312" s="26"/>
      <c r="M312" s="27">
        <v>0</v>
      </c>
      <c r="N312" s="28"/>
      <c r="O312" s="27">
        <v>0</v>
      </c>
      <c r="P312" s="28">
        <v>0</v>
      </c>
      <c r="Q312" s="27">
        <v>0</v>
      </c>
      <c r="R312" s="26">
        <v>82400</v>
      </c>
      <c r="S312" s="115">
        <f ca="1">IF(PROVEEDORES[[#This Row],[FECHA DE PAGO]]=0,TODAY()-PROVEEDORES[[#This Row],[FECHA DE FACTURACIÓN]]-PROVEEDORES[[#This Row],[PLAZO Días]],0)</f>
        <v>0</v>
      </c>
      <c r="T3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3" spans="1:20" ht="21.9" customHeight="1" x14ac:dyDescent="0.3">
      <c r="A313" s="113" t="str">
        <f>+IF(PROVEEDORES[[#This Row],[FECHA DE PAGO]]=PROVEEDORES[[#This Row],[FECHA DE FACTURACIÓN]],"DE CONTADO","CRÉDITO")</f>
        <v>DE CONTADO</v>
      </c>
      <c r="B313" s="51" t="b">
        <f>+IF((PROVEEDORES[[#This Row],[FECHA DE PAGO]]-PROVEEDORES[[#This Row],[FECHA DE FACTURACIÓN]])&gt;PROVEEDORES[[#This Row],[PLAZO Días]],"PAGO VENCIDO")</f>
        <v>0</v>
      </c>
      <c r="C313" s="25">
        <f>+VLOOKUP(PROVEEDORES[[#This Row],[PROVEEDOR]],TERCEROS_INFO[#All],2,FALSE)</f>
        <v>30</v>
      </c>
      <c r="D313" s="30">
        <f>+SUMIFS(PROVEEDORES[Total],PROVEEDORES[PROVEEDOR],PROVEEDORES[[#This Row],[PROVEEDOR]],PROVEEDORES[FECHA DE PAGO],"")</f>
        <v>0</v>
      </c>
      <c r="E313" s="30"/>
      <c r="F313" s="73" t="str">
        <f>+VLOOKUP(PROVEEDORES[[#This Row],[PROVEEDOR]],TERCEROS_INFO[[PROVEEDOR]:[CORREO]],5,FALSE)</f>
        <v/>
      </c>
      <c r="G313" s="111">
        <v>44316</v>
      </c>
      <c r="H313" s="31" t="s">
        <v>1016</v>
      </c>
      <c r="I313" s="111">
        <v>44316</v>
      </c>
      <c r="J313" s="48" t="s">
        <v>946</v>
      </c>
      <c r="K313" s="26">
        <v>166000</v>
      </c>
      <c r="L313" s="26"/>
      <c r="M313" s="27">
        <v>0</v>
      </c>
      <c r="N313" s="28"/>
      <c r="O313" s="27">
        <v>0</v>
      </c>
      <c r="P313" s="28">
        <v>0</v>
      </c>
      <c r="Q313" s="27">
        <v>0</v>
      </c>
      <c r="R313" s="26">
        <v>166000</v>
      </c>
      <c r="S313" s="115">
        <f ca="1">IF(PROVEEDORES[[#This Row],[FECHA DE PAGO]]=0,TODAY()-PROVEEDORES[[#This Row],[FECHA DE FACTURACIÓN]]-PROVEEDORES[[#This Row],[PLAZO Días]],0)</f>
        <v>0</v>
      </c>
      <c r="T3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4" spans="1:20" ht="21.9" customHeight="1" x14ac:dyDescent="0.3">
      <c r="A314" s="113" t="str">
        <f>+IF(PROVEEDORES[[#This Row],[FECHA DE PAGO]]=PROVEEDORES[[#This Row],[FECHA DE FACTURACIÓN]],"DE CONTADO","CRÉDITO")</f>
        <v>DE CONTADO</v>
      </c>
      <c r="B314" s="51" t="b">
        <f>+IF((PROVEEDORES[[#This Row],[FECHA DE PAGO]]-PROVEEDORES[[#This Row],[FECHA DE FACTURACIÓN]])&gt;PROVEEDORES[[#This Row],[PLAZO Días]],"PAGO VENCIDO")</f>
        <v>0</v>
      </c>
      <c r="C314" s="25">
        <f>+VLOOKUP(PROVEEDORES[[#This Row],[PROVEEDOR]],TERCEROS_INFO[#All],2,FALSE)</f>
        <v>30</v>
      </c>
      <c r="D314" s="30">
        <f>+SUMIFS(PROVEEDORES[Total],PROVEEDORES[PROVEEDOR],PROVEEDORES[[#This Row],[PROVEEDOR]],PROVEEDORES[FECHA DE PAGO],"")</f>
        <v>0</v>
      </c>
      <c r="E314" s="30"/>
      <c r="F314" s="73" t="str">
        <f>+VLOOKUP(PROVEEDORES[[#This Row],[PROVEEDOR]],TERCEROS_INFO[[PROVEEDOR]:[CORREO]],5,FALSE)</f>
        <v/>
      </c>
      <c r="G314" s="111">
        <v>44316</v>
      </c>
      <c r="H314" s="31" t="s">
        <v>1016</v>
      </c>
      <c r="I314" s="111">
        <v>44316</v>
      </c>
      <c r="J314" s="48" t="s">
        <v>945</v>
      </c>
      <c r="K314" s="26">
        <v>487200</v>
      </c>
      <c r="L314" s="26"/>
      <c r="M314" s="27">
        <v>0</v>
      </c>
      <c r="N314" s="28"/>
      <c r="O314" s="27">
        <v>0</v>
      </c>
      <c r="P314" s="28">
        <v>0</v>
      </c>
      <c r="Q314" s="27">
        <v>0</v>
      </c>
      <c r="R314" s="26">
        <v>487200</v>
      </c>
      <c r="S314" s="115">
        <f ca="1">IF(PROVEEDORES[[#This Row],[FECHA DE PAGO]]=0,TODAY()-PROVEEDORES[[#This Row],[FECHA DE FACTURACIÓN]]-PROVEEDORES[[#This Row],[PLAZO Días]],0)</f>
        <v>0</v>
      </c>
      <c r="T3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5" spans="1:20" ht="21.9" customHeight="1" x14ac:dyDescent="0.3">
      <c r="A315" s="113" t="str">
        <f>+IF(PROVEEDORES[[#This Row],[FECHA DE PAGO]]=PROVEEDORES[[#This Row],[FECHA DE FACTURACIÓN]],"DE CONTADO","CRÉDITO")</f>
        <v>DE CONTADO</v>
      </c>
      <c r="B315" s="51" t="b">
        <f>+IF((PROVEEDORES[[#This Row],[FECHA DE PAGO]]-PROVEEDORES[[#This Row],[FECHA DE FACTURACIÓN]])&gt;PROVEEDORES[[#This Row],[PLAZO Días]],"PAGO VENCIDO")</f>
        <v>0</v>
      </c>
      <c r="C315" s="25">
        <f>+VLOOKUP(PROVEEDORES[[#This Row],[PROVEEDOR]],TERCEROS_INFO[#All],2,FALSE)</f>
        <v>30</v>
      </c>
      <c r="D315" s="30">
        <f>+SUMIFS(PROVEEDORES[Total],PROVEEDORES[PROVEEDOR],PROVEEDORES[[#This Row],[PROVEEDOR]],PROVEEDORES[FECHA DE PAGO],"")</f>
        <v>0</v>
      </c>
      <c r="E315" s="30"/>
      <c r="F315" s="73" t="str">
        <f>+VLOOKUP(PROVEEDORES[[#This Row],[PROVEEDOR]],TERCEROS_INFO[[PROVEEDOR]:[CORREO]],5,FALSE)</f>
        <v/>
      </c>
      <c r="G315" s="111">
        <v>44316</v>
      </c>
      <c r="H315" s="31" t="s">
        <v>1016</v>
      </c>
      <c r="I315" s="111">
        <v>44316</v>
      </c>
      <c r="J315" s="48" t="s">
        <v>943</v>
      </c>
      <c r="K315" s="26">
        <v>1519700</v>
      </c>
      <c r="L315" s="26"/>
      <c r="M315" s="27">
        <v>0</v>
      </c>
      <c r="N315" s="28"/>
      <c r="O315" s="27">
        <v>0</v>
      </c>
      <c r="P315" s="28">
        <v>0</v>
      </c>
      <c r="Q315" s="27">
        <v>0</v>
      </c>
      <c r="R315" s="26">
        <v>1519700</v>
      </c>
      <c r="S315" s="115">
        <f ca="1">IF(PROVEEDORES[[#This Row],[FECHA DE PAGO]]=0,TODAY()-PROVEEDORES[[#This Row],[FECHA DE FACTURACIÓN]]-PROVEEDORES[[#This Row],[PLAZO Días]],0)</f>
        <v>0</v>
      </c>
      <c r="T3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6" spans="1:20" ht="21.9" customHeight="1" x14ac:dyDescent="0.3">
      <c r="A316" s="113" t="str">
        <f>+IF(PROVEEDORES[[#This Row],[FECHA DE PAGO]]=PROVEEDORES[[#This Row],[FECHA DE FACTURACIÓN]],"DE CONTADO","CRÉDITO")</f>
        <v>CRÉDITO</v>
      </c>
      <c r="B316" s="51" t="str">
        <f>+IF((PROVEEDORES[[#This Row],[FECHA DE PAGO]]-PROVEEDORES[[#This Row],[FECHA DE FACTURACIÓN]])&gt;PROVEEDORES[[#This Row],[PLAZO Días]],"PAGO VENCIDO")</f>
        <v>PAGO VENCIDO</v>
      </c>
      <c r="C316" s="25">
        <f>+VLOOKUP(PROVEEDORES[[#This Row],[PROVEEDOR]],TERCEROS_INFO[#All],2,FALSE)</f>
        <v>30</v>
      </c>
      <c r="D316" s="30">
        <f>+SUMIFS(PROVEEDORES[Total],PROVEEDORES[PROVEEDOR],PROVEEDORES[[#This Row],[PROVEEDOR]],PROVEEDORES[FECHA DE PAGO],"")</f>
        <v>4862586.33</v>
      </c>
      <c r="E316" s="30"/>
      <c r="F316" s="73" t="str">
        <f>+VLOOKUP(PROVEEDORES[[#This Row],[PROVEEDOR]],TERCEROS_INFO[[PROVEEDOR]:[CORREO]],5,FALSE)</f>
        <v>cartera@conbienes.com;girlesa.ruiz@servipilas.com;joriescobar64@gmail.com</v>
      </c>
      <c r="G316" s="111">
        <v>44369</v>
      </c>
      <c r="H316" s="31" t="s">
        <v>348</v>
      </c>
      <c r="I316" s="111">
        <v>44317</v>
      </c>
      <c r="J316" s="48" t="s">
        <v>579</v>
      </c>
      <c r="K316" s="26">
        <v>-612233</v>
      </c>
      <c r="L316" s="26"/>
      <c r="M316" s="27">
        <v>-116324.27</v>
      </c>
      <c r="N316" s="28"/>
      <c r="O316" s="27">
        <v>0</v>
      </c>
      <c r="P316" s="28">
        <v>0</v>
      </c>
      <c r="Q316" s="27">
        <v>0</v>
      </c>
      <c r="R316" s="26">
        <v>-728557.27</v>
      </c>
      <c r="S316" s="115">
        <f ca="1">IF(PROVEEDORES[[#This Row],[FECHA DE PAGO]]=0,TODAY()-PROVEEDORES[[#This Row],[FECHA DE FACTURACIÓN]]-PROVEEDORES[[#This Row],[PLAZO Días]],0)</f>
        <v>0</v>
      </c>
      <c r="T3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7" spans="1:20" ht="21.9" customHeight="1" x14ac:dyDescent="0.3">
      <c r="A317" s="113" t="str">
        <f>+IF(PROVEEDORES[[#This Row],[FECHA DE PAGO]]=PROVEEDORES[[#This Row],[FECHA DE FACTURACIÓN]],"DE CONTADO","CRÉDITO")</f>
        <v>CRÉDITO</v>
      </c>
      <c r="B317" s="51" t="b">
        <f>+IF((PROVEEDORES[[#This Row],[FECHA DE PAGO]]-PROVEEDORES[[#This Row],[FECHA DE FACTURACIÓN]])&gt;PROVEEDORES[[#This Row],[PLAZO Días]],"PAGO VENCIDO")</f>
        <v>0</v>
      </c>
      <c r="C317" s="25">
        <f>+VLOOKUP(PROVEEDORES[[#This Row],[PROVEEDOR]],TERCEROS_INFO[#All],2,FALSE)</f>
        <v>30</v>
      </c>
      <c r="D317" s="30">
        <f>+SUMIFS(PROVEEDORES[Total],PROVEEDORES[PROVEEDOR],PROVEEDORES[[#This Row],[PROVEEDOR]],PROVEEDORES[FECHA DE PAGO],"")</f>
        <v>248736.18000000002</v>
      </c>
      <c r="E317" s="30"/>
      <c r="F317" s="73" t="str">
        <f>+VLOOKUP(PROVEEDORES[[#This Row],[PROVEEDOR]],TERCEROS_INFO[[PROVEEDOR]:[CORREO]],5,FALSE)</f>
        <v>administracion@sapian.com.co;girlesa.ruiz@servipilas.com;joriescobar64@gmail.com</v>
      </c>
      <c r="G317" s="111">
        <v>44341</v>
      </c>
      <c r="H317" s="31" t="s">
        <v>346</v>
      </c>
      <c r="I317" s="111">
        <v>44317</v>
      </c>
      <c r="J317" s="48">
        <v>1976</v>
      </c>
      <c r="K317" s="26">
        <v>203897</v>
      </c>
      <c r="L317" s="26"/>
      <c r="M317" s="27">
        <v>38740.43</v>
      </c>
      <c r="N317" s="28"/>
      <c r="O317" s="27">
        <v>0</v>
      </c>
      <c r="P317" s="28">
        <v>3.5000000000000003E-2</v>
      </c>
      <c r="Q317" s="27">
        <v>7136.3950000000004</v>
      </c>
      <c r="R317" s="26">
        <v>235501.035</v>
      </c>
      <c r="S317" s="115">
        <f ca="1">IF(PROVEEDORES[[#This Row],[FECHA DE PAGO]]=0,TODAY()-PROVEEDORES[[#This Row],[FECHA DE FACTURACIÓN]]-PROVEEDORES[[#This Row],[PLAZO Días]],0)</f>
        <v>0</v>
      </c>
      <c r="T3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8" spans="1:20" ht="21.9" customHeight="1" x14ac:dyDescent="0.3">
      <c r="A318" s="113" t="str">
        <f>+IF(PROVEEDORES[[#This Row],[FECHA DE PAGO]]=PROVEEDORES[[#This Row],[FECHA DE FACTURACIÓN]],"DE CONTADO","CRÉDITO")</f>
        <v>CRÉDITO</v>
      </c>
      <c r="B318" s="51" t="b">
        <f>+IF((PROVEEDORES[[#This Row],[FECHA DE PAGO]]-PROVEEDORES[[#This Row],[FECHA DE FACTURACIÓN]])&gt;PROVEEDORES[[#This Row],[PLAZO Días]],"PAGO VENCIDO")</f>
        <v>0</v>
      </c>
      <c r="C318" s="25">
        <f>+VLOOKUP(PROVEEDORES[[#This Row],[PROVEEDOR]],TERCEROS_INFO[#All],2,FALSE)</f>
        <v>30</v>
      </c>
      <c r="D318" s="30">
        <f>+SUMIFS(PROVEEDORES[Total],PROVEEDORES[PROVEEDOR],PROVEEDORES[[#This Row],[PROVEEDOR]],PROVEEDORES[FECHA DE PAGO],"")</f>
        <v>0</v>
      </c>
      <c r="E318" s="30"/>
      <c r="F318" s="73" t="str">
        <f>+VLOOKUP(PROVEEDORES[[#This Row],[PROVEEDOR]],TERCEROS_INFO[[PROVEEDOR]:[CORREO]],5,FALSE)</f>
        <v>facturacion@losmolinos.com.co</v>
      </c>
      <c r="G318" s="111">
        <v>44334</v>
      </c>
      <c r="H318" s="31" t="s">
        <v>345</v>
      </c>
      <c r="I318" s="111">
        <v>44317</v>
      </c>
      <c r="J318" s="48">
        <v>62725</v>
      </c>
      <c r="K318" s="26">
        <v>302625</v>
      </c>
      <c r="L318" s="26"/>
      <c r="M318" s="27">
        <v>0</v>
      </c>
      <c r="N318" s="28"/>
      <c r="O318" s="27">
        <v>75570.05</v>
      </c>
      <c r="P318" s="28">
        <v>0</v>
      </c>
      <c r="Q318" s="27">
        <v>0</v>
      </c>
      <c r="R318" s="26">
        <v>227054.95</v>
      </c>
      <c r="S318" s="115">
        <f ca="1">IF(PROVEEDORES[[#This Row],[FECHA DE PAGO]]=0,TODAY()-PROVEEDORES[[#This Row],[FECHA DE FACTURACIÓN]]-PROVEEDORES[[#This Row],[PLAZO Días]],0)</f>
        <v>0</v>
      </c>
      <c r="T3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19" spans="1:20" ht="21.9" customHeight="1" x14ac:dyDescent="0.3">
      <c r="A319" s="113" t="str">
        <f>+IF(PROVEEDORES[[#This Row],[FECHA DE PAGO]]=PROVEEDORES[[#This Row],[FECHA DE FACTURACIÓN]],"DE CONTADO","CRÉDITO")</f>
        <v>CRÉDITO</v>
      </c>
      <c r="B319" s="51" t="b">
        <f>+IF((PROVEEDORES[[#This Row],[FECHA DE PAGO]]-PROVEEDORES[[#This Row],[FECHA DE FACTURACIÓN]])&gt;PROVEEDORES[[#This Row],[PLAZO Días]],"PAGO VENCIDO")</f>
        <v>0</v>
      </c>
      <c r="C319" s="25">
        <f>+VLOOKUP(PROVEEDORES[[#This Row],[PROVEEDOR]],TERCEROS_INFO[#All],2,FALSE)</f>
        <v>20</v>
      </c>
      <c r="D319" s="30">
        <f>+SUMIFS(PROVEEDORES[Total],PROVEEDORES[PROVEEDOR],PROVEEDORES[[#This Row],[PROVEEDOR]],PROVEEDORES[FECHA DE PAGO],"")</f>
        <v>0</v>
      </c>
      <c r="E319" s="30"/>
      <c r="F319" s="73" t="str">
        <f>+VLOOKUP(PROVEEDORES[[#This Row],[PROVEEDOR]],TERCEROS_INFO[[PROVEEDOR]:[CORREO]],5,FALSE)</f>
        <v>pse</v>
      </c>
      <c r="G319" s="111">
        <v>44334</v>
      </c>
      <c r="H319" s="31" t="s">
        <v>373</v>
      </c>
      <c r="I319" s="111">
        <v>44317</v>
      </c>
      <c r="J319" s="48"/>
      <c r="K319" s="26">
        <v>356260</v>
      </c>
      <c r="L319" s="26"/>
      <c r="M319" s="27">
        <v>0</v>
      </c>
      <c r="N319" s="28"/>
      <c r="O319" s="27">
        <v>0</v>
      </c>
      <c r="P319" s="28">
        <v>0</v>
      </c>
      <c r="Q319" s="27">
        <v>0</v>
      </c>
      <c r="R319" s="26">
        <v>356260</v>
      </c>
      <c r="S319" s="115">
        <f ca="1">IF(PROVEEDORES[[#This Row],[FECHA DE PAGO]]=0,TODAY()-PROVEEDORES[[#This Row],[FECHA DE FACTURACIÓN]]-PROVEEDORES[[#This Row],[PLAZO Días]],0)</f>
        <v>0</v>
      </c>
      <c r="T3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0" spans="1:20" ht="21.9" customHeight="1" x14ac:dyDescent="0.3">
      <c r="A320" s="113" t="str">
        <f>+IF(PROVEEDORES[[#This Row],[FECHA DE PAGO]]=PROVEEDORES[[#This Row],[FECHA DE FACTURACIÓN]],"DE CONTADO","CRÉDITO")</f>
        <v>CRÉDITO</v>
      </c>
      <c r="B320" s="51" t="b">
        <f>+IF((PROVEEDORES[[#This Row],[FECHA DE PAGO]]-PROVEEDORES[[#This Row],[FECHA DE FACTURACIÓN]])&gt;PROVEEDORES[[#This Row],[PLAZO Días]],"PAGO VENCIDO")</f>
        <v>0</v>
      </c>
      <c r="C320" s="25">
        <f>+VLOOKUP(PROVEEDORES[[#This Row],[PROVEEDOR]],TERCEROS_INFO[#All],2,FALSE)</f>
        <v>30</v>
      </c>
      <c r="D320" s="30">
        <f>+SUMIFS(PROVEEDORES[Total],PROVEEDORES[PROVEEDOR],PROVEEDORES[[#This Row],[PROVEEDOR]],PROVEEDORES[FECHA DE PAGO],"")</f>
        <v>4862586.33</v>
      </c>
      <c r="E320" s="30"/>
      <c r="F320" s="73" t="str">
        <f>+VLOOKUP(PROVEEDORES[[#This Row],[PROVEEDOR]],TERCEROS_INFO[[PROVEEDOR]:[CORREO]],5,FALSE)</f>
        <v>cartera@conbienes.com;girlesa.ruiz@servipilas.com;joriescobar64@gmail.com</v>
      </c>
      <c r="G320" s="111">
        <v>44341</v>
      </c>
      <c r="H320" s="31" t="s">
        <v>348</v>
      </c>
      <c r="I320" s="111">
        <v>44317</v>
      </c>
      <c r="J320" s="48" t="s">
        <v>323</v>
      </c>
      <c r="K320" s="26">
        <v>716544</v>
      </c>
      <c r="L320" s="26"/>
      <c r="M320" s="27">
        <v>136143.36000000002</v>
      </c>
      <c r="N320" s="28"/>
      <c r="O320" s="27">
        <v>0</v>
      </c>
      <c r="P320" s="28">
        <v>0</v>
      </c>
      <c r="Q320" s="27">
        <v>0</v>
      </c>
      <c r="R320" s="26">
        <v>852687.35999999999</v>
      </c>
      <c r="S320" s="115">
        <f ca="1">IF(PROVEEDORES[[#This Row],[FECHA DE PAGO]]=0,TODAY()-PROVEEDORES[[#This Row],[FECHA DE FACTURACIÓN]]-PROVEEDORES[[#This Row],[PLAZO Días]],0)</f>
        <v>0</v>
      </c>
      <c r="T3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1" spans="1:20" ht="21.9" customHeight="1" x14ac:dyDescent="0.3">
      <c r="A321" s="113" t="str">
        <f>+IF(PROVEEDORES[[#This Row],[FECHA DE PAGO]]=PROVEEDORES[[#This Row],[FECHA DE FACTURACIÓN]],"DE CONTADO","CRÉDITO")</f>
        <v>CRÉDITO</v>
      </c>
      <c r="B321" s="51" t="b">
        <f>+IF((PROVEEDORES[[#This Row],[FECHA DE PAGO]]-PROVEEDORES[[#This Row],[FECHA DE FACTURACIÓN]])&gt;PROVEEDORES[[#This Row],[PLAZO Días]],"PAGO VENCIDO")</f>
        <v>0</v>
      </c>
      <c r="C321" s="25">
        <f>+VLOOKUP(PROVEEDORES[[#This Row],[PROVEEDOR]],TERCEROS_INFO[#All],2,FALSE)</f>
        <v>30</v>
      </c>
      <c r="D321" s="30">
        <f>+SUMIFS(PROVEEDORES[Total],PROVEEDORES[PROVEEDOR],PROVEEDORES[[#This Row],[PROVEEDOR]],PROVEEDORES[FECHA DE PAGO],"")</f>
        <v>0</v>
      </c>
      <c r="E321" s="30"/>
      <c r="F321" s="73" t="str">
        <f>+VLOOKUP(PROVEEDORES[[#This Row],[PROVEEDOR]],TERCEROS_INFO[[PROVEEDOR]:[CORREO]],5,FALSE)</f>
        <v>PSE</v>
      </c>
      <c r="G321" s="111">
        <v>44340</v>
      </c>
      <c r="H321" s="31" t="s">
        <v>353</v>
      </c>
      <c r="I321" s="111">
        <v>44317</v>
      </c>
      <c r="J321" s="48" t="s">
        <v>354</v>
      </c>
      <c r="K321" s="26">
        <v>727051</v>
      </c>
      <c r="L321" s="26"/>
      <c r="M321" s="27">
        <v>0</v>
      </c>
      <c r="N321" s="28"/>
      <c r="O321" s="27">
        <v>0</v>
      </c>
      <c r="P321" s="28">
        <v>0</v>
      </c>
      <c r="Q321" s="27">
        <v>0</v>
      </c>
      <c r="R321" s="26">
        <v>727051</v>
      </c>
      <c r="S321" s="115">
        <f ca="1">IF(PROVEEDORES[[#This Row],[FECHA DE PAGO]]=0,TODAY()-PROVEEDORES[[#This Row],[FECHA DE FACTURACIÓN]]-PROVEEDORES[[#This Row],[PLAZO Días]],0)</f>
        <v>0</v>
      </c>
      <c r="T3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2" spans="1:20" ht="21.9" customHeight="1" x14ac:dyDescent="0.3">
      <c r="A322" s="113" t="str">
        <f>+IF(PROVEEDORES[[#This Row],[FECHA DE PAGO]]=PROVEEDORES[[#This Row],[FECHA DE FACTURACIÓN]],"DE CONTADO","CRÉDITO")</f>
        <v>CRÉDITO</v>
      </c>
      <c r="B322" s="51" t="b">
        <f>+IF((PROVEEDORES[[#This Row],[FECHA DE PAGO]]-PROVEEDORES[[#This Row],[FECHA DE FACTURACIÓN]])&gt;PROVEEDORES[[#This Row],[PLAZO Días]],"PAGO VENCIDO")</f>
        <v>0</v>
      </c>
      <c r="C322" s="25">
        <f>+VLOOKUP(PROVEEDORES[[#This Row],[PROVEEDOR]],TERCEROS_INFO[#All],2,FALSE)</f>
        <v>30</v>
      </c>
      <c r="D322" s="30">
        <f>+SUMIFS(PROVEEDORES[Total],PROVEEDORES[PROVEEDOR],PROVEEDORES[[#This Row],[PROVEEDOR]],PROVEEDORES[FECHA DE PAGO],"")</f>
        <v>0</v>
      </c>
      <c r="E322" s="30"/>
      <c r="F322" s="73" t="str">
        <f>+VLOOKUP(PROVEEDORES[[#This Row],[PROVEEDOR]],TERCEROS_INFO[[PROVEEDOR]:[CORREO]],5,FALSE)</f>
        <v>PSE</v>
      </c>
      <c r="G322" s="111">
        <v>44340</v>
      </c>
      <c r="H322" s="31" t="s">
        <v>353</v>
      </c>
      <c r="I322" s="111">
        <v>44317</v>
      </c>
      <c r="J322" s="48" t="s">
        <v>355</v>
      </c>
      <c r="K322" s="26">
        <v>743959</v>
      </c>
      <c r="L322" s="26"/>
      <c r="M322" s="27">
        <v>0</v>
      </c>
      <c r="N322" s="28"/>
      <c r="O322" s="27">
        <v>0</v>
      </c>
      <c r="P322" s="28">
        <v>0</v>
      </c>
      <c r="Q322" s="27">
        <v>0</v>
      </c>
      <c r="R322" s="26">
        <v>743959</v>
      </c>
      <c r="S322" s="115">
        <f ca="1">IF(PROVEEDORES[[#This Row],[FECHA DE PAGO]]=0,TODAY()-PROVEEDORES[[#This Row],[FECHA DE FACTURACIÓN]]-PROVEEDORES[[#This Row],[PLAZO Días]],0)</f>
        <v>0</v>
      </c>
      <c r="T3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3" spans="1:20" ht="21.9" customHeight="1" x14ac:dyDescent="0.3">
      <c r="A323" s="113" t="str">
        <f>+IF(PROVEEDORES[[#This Row],[FECHA DE PAGO]]=PROVEEDORES[[#This Row],[FECHA DE FACTURACIÓN]],"DE CONTADO","CRÉDITO")</f>
        <v>CRÉDITO</v>
      </c>
      <c r="B323" s="51" t="b">
        <f>+IF((PROVEEDORES[[#This Row],[FECHA DE PAGO]]-PROVEEDORES[[#This Row],[FECHA DE FACTURACIÓN]])&gt;PROVEEDORES[[#This Row],[PLAZO Días]],"PAGO VENCIDO")</f>
        <v>0</v>
      </c>
      <c r="C323" s="25">
        <f>+VLOOKUP(PROVEEDORES[[#This Row],[PROVEEDOR]],TERCEROS_INFO[#All],2,FALSE)</f>
        <v>20</v>
      </c>
      <c r="D323" s="30">
        <f>+SUMIFS(PROVEEDORES[Total],PROVEEDORES[PROVEEDOR],PROVEEDORES[[#This Row],[PROVEEDOR]],PROVEEDORES[FECHA DE PAGO],"")</f>
        <v>0</v>
      </c>
      <c r="E323" s="30"/>
      <c r="F323" s="73" t="str">
        <f>+VLOOKUP(PROVEEDORES[[#This Row],[PROVEEDOR]],TERCEROS_INFO[[PROVEEDOR]:[CORREO]],5,FALSE)</f>
        <v>pse</v>
      </c>
      <c r="G323" s="111">
        <v>44334</v>
      </c>
      <c r="H323" s="31" t="s">
        <v>374</v>
      </c>
      <c r="I323" s="111">
        <v>44317</v>
      </c>
      <c r="J323" s="48"/>
      <c r="K323" s="26">
        <v>765395</v>
      </c>
      <c r="L323" s="26"/>
      <c r="M323" s="27">
        <v>0</v>
      </c>
      <c r="N323" s="28"/>
      <c r="O323" s="27">
        <v>0</v>
      </c>
      <c r="P323" s="28">
        <v>0</v>
      </c>
      <c r="Q323" s="27">
        <v>0</v>
      </c>
      <c r="R323" s="26">
        <v>765395</v>
      </c>
      <c r="S323" s="115">
        <f ca="1">IF(PROVEEDORES[[#This Row],[FECHA DE PAGO]]=0,TODAY()-PROVEEDORES[[#This Row],[FECHA DE FACTURACIÓN]]-PROVEEDORES[[#This Row],[PLAZO Días]],0)</f>
        <v>0</v>
      </c>
      <c r="T3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4" spans="1:20" ht="21.9" customHeight="1" x14ac:dyDescent="0.3">
      <c r="A324" s="113" t="str">
        <f>+IF(PROVEEDORES[[#This Row],[FECHA DE PAGO]]=PROVEEDORES[[#This Row],[FECHA DE FACTURACIÓN]],"DE CONTADO","CRÉDITO")</f>
        <v>CRÉDITO</v>
      </c>
      <c r="B324" s="51" t="str">
        <f>+IF((PROVEEDORES[[#This Row],[FECHA DE PAGO]]-PROVEEDORES[[#This Row],[FECHA DE FACTURACIÓN]])&gt;PROVEEDORES[[#This Row],[PLAZO Días]],"PAGO VENCIDO")</f>
        <v>PAGO VENCIDO</v>
      </c>
      <c r="C324" s="25">
        <f>+VLOOKUP(PROVEEDORES[[#This Row],[PROVEEDOR]],TERCEROS_INFO[#All],2,FALSE)</f>
        <v>13</v>
      </c>
      <c r="D324" s="30">
        <f>+SUMIFS(PROVEEDORES[Total],PROVEEDORES[PROVEEDOR],PROVEEDORES[[#This Row],[PROVEEDOR]],PROVEEDORES[FECHA DE PAGO],"")</f>
        <v>0</v>
      </c>
      <c r="E324" s="30"/>
      <c r="F324" s="73">
        <f>+VLOOKUP(PROVEEDORES[[#This Row],[PROVEEDOR]],TERCEROS_INFO[[PROVEEDOR]:[CORREO]],5,FALSE)</f>
        <v>0</v>
      </c>
      <c r="G324" s="111">
        <v>44358</v>
      </c>
      <c r="H324" s="31" t="s">
        <v>329</v>
      </c>
      <c r="I324" s="111">
        <v>44317</v>
      </c>
      <c r="J324" s="48" t="s">
        <v>330</v>
      </c>
      <c r="K324" s="26">
        <v>1392986</v>
      </c>
      <c r="L324" s="26"/>
      <c r="M324" s="27">
        <v>0</v>
      </c>
      <c r="N324" s="28"/>
      <c r="O324" s="27">
        <v>0</v>
      </c>
      <c r="P324" s="28">
        <v>0</v>
      </c>
      <c r="Q324" s="27">
        <v>0</v>
      </c>
      <c r="R324" s="26">
        <v>1392986</v>
      </c>
      <c r="S324" s="115">
        <f ca="1">IF(PROVEEDORES[[#This Row],[FECHA DE PAGO]]=0,TODAY()-PROVEEDORES[[#This Row],[FECHA DE FACTURACIÓN]]-PROVEEDORES[[#This Row],[PLAZO Días]],0)</f>
        <v>0</v>
      </c>
      <c r="T3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5" spans="1:20" ht="21.9" customHeight="1" x14ac:dyDescent="0.3">
      <c r="A325" s="113" t="str">
        <f>+IF(PROVEEDORES[[#This Row],[FECHA DE PAGO]]=PROVEEDORES[[#This Row],[FECHA DE FACTURACIÓN]],"DE CONTADO","CRÉDITO")</f>
        <v>CRÉDITO</v>
      </c>
      <c r="B325" s="51" t="b">
        <f>+IF((PROVEEDORES[[#This Row],[FECHA DE PAGO]]-PROVEEDORES[[#This Row],[FECHA DE FACTURACIÓN]])&gt;PROVEEDORES[[#This Row],[PLAZO Días]],"PAGO VENCIDO")</f>
        <v>0</v>
      </c>
      <c r="C325" s="25">
        <f>+VLOOKUP(PROVEEDORES[[#This Row],[PROVEEDOR]],TERCEROS_INFO[#All],2,FALSE)</f>
        <v>30</v>
      </c>
      <c r="D325" s="30">
        <f>+SUMIFS(PROVEEDORES[Total],PROVEEDORES[PROVEEDOR],PROVEEDORES[[#This Row],[PROVEEDOR]],PROVEEDORES[FECHA DE PAGO],"")</f>
        <v>1296896</v>
      </c>
      <c r="E325" s="30"/>
      <c r="F325" s="73" t="str">
        <f>+VLOOKUP(PROVEEDORES[[#This Row],[PROVEEDOR]],TERCEROS_INFO[[PROVEEDOR]:[CORREO]],5,FALSE)</f>
        <v>tesoreria@lacentral.com.co;girlesa.ruiz@servipilas.com;joriescobar64@gmail.com</v>
      </c>
      <c r="G325" s="111">
        <v>44341</v>
      </c>
      <c r="H325" s="31" t="s">
        <v>335</v>
      </c>
      <c r="I325" s="111">
        <v>44317</v>
      </c>
      <c r="J325" s="48">
        <v>8123</v>
      </c>
      <c r="K325" s="26">
        <v>1454122</v>
      </c>
      <c r="L325" s="26"/>
      <c r="M325" s="27">
        <v>0</v>
      </c>
      <c r="N325" s="28"/>
      <c r="O325" s="27">
        <v>144160</v>
      </c>
      <c r="P325" s="28">
        <v>0</v>
      </c>
      <c r="Q325" s="27">
        <v>0</v>
      </c>
      <c r="R325" s="26">
        <v>1309962</v>
      </c>
      <c r="S325" s="115">
        <f ca="1">IF(PROVEEDORES[[#This Row],[FECHA DE PAGO]]=0,TODAY()-PROVEEDORES[[#This Row],[FECHA DE FACTURACIÓN]]-PROVEEDORES[[#This Row],[PLAZO Días]],0)</f>
        <v>0</v>
      </c>
      <c r="T32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6" spans="1:20" ht="21.9" customHeight="1" x14ac:dyDescent="0.3">
      <c r="A326" s="113" t="str">
        <f>+IF(PROVEEDORES[[#This Row],[FECHA DE PAGO]]=PROVEEDORES[[#This Row],[FECHA DE FACTURACIÓN]],"DE CONTADO","CRÉDITO")</f>
        <v>CRÉDITO</v>
      </c>
      <c r="B326" s="51" t="b">
        <f>+IF((PROVEEDORES[[#This Row],[FECHA DE PAGO]]-PROVEEDORES[[#This Row],[FECHA DE FACTURACIÓN]])&gt;PROVEEDORES[[#This Row],[PLAZO Días]],"PAGO VENCIDO")</f>
        <v>0</v>
      </c>
      <c r="C326" s="25">
        <f>+VLOOKUP(PROVEEDORES[[#This Row],[PROVEEDOR]],TERCEROS_INFO[#All],2,FALSE)</f>
        <v>30</v>
      </c>
      <c r="D326" s="30">
        <f>+SUMIFS(PROVEEDORES[Total],PROVEEDORES[PROVEEDOR],PROVEEDORES[[#This Row],[PROVEEDOR]],PROVEEDORES[FECHA DE PAGO],"")</f>
        <v>0</v>
      </c>
      <c r="E326" s="30"/>
      <c r="F326" s="73" t="str">
        <f>+VLOOKUP(PROVEEDORES[[#This Row],[PROVEEDOR]],TERCEROS_INFO[[PROVEEDOR]:[CORREO]],5,FALSE)</f>
        <v>propertymarketingsas@hotmail.com;girlesa.ruiz@servipilas.com;joriescobar64@gmail.com</v>
      </c>
      <c r="G326" s="111">
        <v>44341</v>
      </c>
      <c r="H326" s="31" t="s">
        <v>486</v>
      </c>
      <c r="I326" s="111">
        <v>44317</v>
      </c>
      <c r="J326" s="48" t="s">
        <v>698</v>
      </c>
      <c r="K326" s="26">
        <v>2092227</v>
      </c>
      <c r="L326" s="26"/>
      <c r="M326" s="27">
        <v>0</v>
      </c>
      <c r="N326" s="28"/>
      <c r="O326" s="27">
        <v>0</v>
      </c>
      <c r="P326" s="28">
        <v>3.5000000000000003E-2</v>
      </c>
      <c r="Q326" s="27">
        <v>73227.945000000007</v>
      </c>
      <c r="R326" s="26">
        <v>2018999.0549999999</v>
      </c>
      <c r="S326" s="115">
        <f ca="1">IF(PROVEEDORES[[#This Row],[FECHA DE PAGO]]=0,TODAY()-PROVEEDORES[[#This Row],[FECHA DE FACTURACIÓN]]-PROVEEDORES[[#This Row],[PLAZO Días]],0)</f>
        <v>0</v>
      </c>
      <c r="T32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7" spans="1:20" ht="21.9" customHeight="1" x14ac:dyDescent="0.3">
      <c r="A327" s="113" t="str">
        <f>+IF(PROVEEDORES[[#This Row],[FECHA DE PAGO]]=PROVEEDORES[[#This Row],[FECHA DE FACTURACIÓN]],"DE CONTADO","CRÉDITO")</f>
        <v>CRÉDITO</v>
      </c>
      <c r="B327" s="51" t="b">
        <f>+IF((PROVEEDORES[[#This Row],[FECHA DE PAGO]]-PROVEEDORES[[#This Row],[FECHA DE FACTURACIÓN]])&gt;PROVEEDORES[[#This Row],[PLAZO Días]],"PAGO VENCIDO")</f>
        <v>0</v>
      </c>
      <c r="C327" s="25">
        <f>+VLOOKUP(PROVEEDORES[[#This Row],[PROVEEDOR]],TERCEROS_INFO[#All],2,FALSE)</f>
        <v>30</v>
      </c>
      <c r="D327" s="30">
        <f>+SUMIFS(PROVEEDORES[Total],PROVEEDORES[PROVEEDOR],PROVEEDORES[[#This Row],[PROVEEDOR]],PROVEEDORES[FECHA DE PAGO],"")</f>
        <v>0</v>
      </c>
      <c r="E327" s="30"/>
      <c r="F327" s="73" t="str">
        <f>+VLOOKUP(PROVEEDORES[[#This Row],[PROVEEDOR]],TERCEROS_INFO[[PROVEEDOR]:[CORREO]],5,FALSE)</f>
        <v>girlesa.ruiz@servipilas.com;joriescobar64@gmail.com</v>
      </c>
      <c r="G327" s="111">
        <v>44341</v>
      </c>
      <c r="H327" s="31" t="s">
        <v>339</v>
      </c>
      <c r="I327" s="111">
        <v>44317</v>
      </c>
      <c r="J327" s="48" t="s">
        <v>926</v>
      </c>
      <c r="K327" s="26">
        <v>2226666</v>
      </c>
      <c r="L327" s="26"/>
      <c r="M327" s="27">
        <v>0</v>
      </c>
      <c r="N327" s="28"/>
      <c r="O327" s="27">
        <v>0</v>
      </c>
      <c r="P327" s="28">
        <v>3.5000000000000003E-2</v>
      </c>
      <c r="Q327" s="27">
        <v>77933.310000000012</v>
      </c>
      <c r="R327" s="26">
        <v>2148732.69</v>
      </c>
      <c r="S327" s="115">
        <f ca="1">IF(PROVEEDORES[[#This Row],[FECHA DE PAGO]]=0,TODAY()-PROVEEDORES[[#This Row],[FECHA DE FACTURACIÓN]]-PROVEEDORES[[#This Row],[PLAZO Días]],0)</f>
        <v>0</v>
      </c>
      <c r="T3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8" spans="1:20" ht="21.9" customHeight="1" x14ac:dyDescent="0.3">
      <c r="A328" s="113" t="str">
        <f>+IF(PROVEEDORES[[#This Row],[FECHA DE PAGO]]=PROVEEDORES[[#This Row],[FECHA DE FACTURACIÓN]],"DE CONTADO","CRÉDITO")</f>
        <v>CRÉDITO</v>
      </c>
      <c r="B328" s="51" t="b">
        <f>+IF((PROVEEDORES[[#This Row],[FECHA DE PAGO]]-PROVEEDORES[[#This Row],[FECHA DE FACTURACIÓN]])&gt;PROVEEDORES[[#This Row],[PLAZO Días]],"PAGO VENCIDO")</f>
        <v>0</v>
      </c>
      <c r="C328" s="25">
        <f>+VLOOKUP(PROVEEDORES[[#This Row],[PROVEEDOR]],TERCEROS_INFO[#All],2,FALSE)</f>
        <v>30</v>
      </c>
      <c r="D328" s="30">
        <f>+SUMIFS(PROVEEDORES[Total],PROVEEDORES[PROVEEDOR],PROVEEDORES[[#This Row],[PROVEEDOR]],PROVEEDORES[FECHA DE PAGO],"")</f>
        <v>0</v>
      </c>
      <c r="E328" s="30"/>
      <c r="F328" s="73" t="str">
        <f>+VLOOKUP(PROVEEDORES[[#This Row],[PROVEEDOR]],TERCEROS_INFO[[PROVEEDOR]:[CORREO]],5,FALSE)</f>
        <v>PSE</v>
      </c>
      <c r="G328" s="111">
        <v>44334</v>
      </c>
      <c r="H328" s="31" t="s">
        <v>372</v>
      </c>
      <c r="I328" s="111">
        <v>44317</v>
      </c>
      <c r="J328" s="48" t="s">
        <v>699</v>
      </c>
      <c r="K328" s="26">
        <v>2643860</v>
      </c>
      <c r="L328" s="26"/>
      <c r="M328" s="27">
        <v>0</v>
      </c>
      <c r="N328" s="28"/>
      <c r="O328" s="27">
        <v>0</v>
      </c>
      <c r="P328" s="28">
        <v>0</v>
      </c>
      <c r="Q328" s="27">
        <v>0</v>
      </c>
      <c r="R328" s="26">
        <v>2643860</v>
      </c>
      <c r="S328" s="115">
        <f ca="1">IF(PROVEEDORES[[#This Row],[FECHA DE PAGO]]=0,TODAY()-PROVEEDORES[[#This Row],[FECHA DE FACTURACIÓN]]-PROVEEDORES[[#This Row],[PLAZO Días]],0)</f>
        <v>0</v>
      </c>
      <c r="T32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29" spans="1:20" ht="21.9" customHeight="1" x14ac:dyDescent="0.3">
      <c r="A329" s="113" t="str">
        <f>+IF(PROVEEDORES[[#This Row],[FECHA DE PAGO]]=PROVEEDORES[[#This Row],[FECHA DE FACTURACIÓN]],"DE CONTADO","CRÉDITO")</f>
        <v>CRÉDITO</v>
      </c>
      <c r="B329" s="51" t="str">
        <f>+IF((PROVEEDORES[[#This Row],[FECHA DE PAGO]]-PROVEEDORES[[#This Row],[FECHA DE FACTURACIÓN]])&gt;PROVEEDORES[[#This Row],[PLAZO Días]],"PAGO VENCIDO")</f>
        <v>PAGO VENCIDO</v>
      </c>
      <c r="C329" s="25">
        <f>+VLOOKUP(PROVEEDORES[[#This Row],[PROVEEDOR]],TERCEROS_INFO[#All],2,FALSE)</f>
        <v>30</v>
      </c>
      <c r="D329" s="30">
        <f>+SUMIFS(PROVEEDORES[Total],PROVEEDORES[PROVEEDOR],PROVEEDORES[[#This Row],[PROVEEDOR]],PROVEEDORES[FECHA DE PAGO],"")</f>
        <v>4862586.33</v>
      </c>
      <c r="E329" s="30"/>
      <c r="F329" s="73" t="str">
        <f>+VLOOKUP(PROVEEDORES[[#This Row],[PROVEEDOR]],TERCEROS_INFO[[PROVEEDOR]:[CORREO]],5,FALSE)</f>
        <v>cartera@conbienes.com;girlesa.ruiz@servipilas.com;joriescobar64@gmail.com</v>
      </c>
      <c r="G329" s="111">
        <v>44461</v>
      </c>
      <c r="H329" s="31" t="s">
        <v>348</v>
      </c>
      <c r="I329" s="111">
        <v>44317</v>
      </c>
      <c r="J329" s="48" t="s">
        <v>324</v>
      </c>
      <c r="K329" s="26">
        <v>3061166</v>
      </c>
      <c r="L329" s="26"/>
      <c r="M329" s="27">
        <v>581621.54</v>
      </c>
      <c r="N329" s="28"/>
      <c r="O329" s="27">
        <v>0</v>
      </c>
      <c r="P329" s="28">
        <v>0</v>
      </c>
      <c r="Q329" s="27">
        <v>0</v>
      </c>
      <c r="R329" s="26">
        <v>3642787.54</v>
      </c>
      <c r="S329" s="115">
        <f ca="1">IF(PROVEEDORES[[#This Row],[FECHA DE PAGO]]=0,TODAY()-PROVEEDORES[[#This Row],[FECHA DE FACTURACIÓN]]-PROVEEDORES[[#This Row],[PLAZO Días]],0)</f>
        <v>0</v>
      </c>
      <c r="T32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0" spans="1:20" ht="21.9" customHeight="1" x14ac:dyDescent="0.3">
      <c r="A330" s="113" t="str">
        <f>+IF(PROVEEDORES[[#This Row],[FECHA DE PAGO]]=PROVEEDORES[[#This Row],[FECHA DE FACTURACIÓN]],"DE CONTADO","CRÉDITO")</f>
        <v>CRÉDITO</v>
      </c>
      <c r="B330" s="51" t="b">
        <f>+IF((PROVEEDORES[[#This Row],[FECHA DE PAGO]]-PROVEEDORES[[#This Row],[FECHA DE FACTURACIÓN]])&gt;PROVEEDORES[[#This Row],[PLAZO Días]],"PAGO VENCIDO")</f>
        <v>0</v>
      </c>
      <c r="C330" s="25">
        <f>+VLOOKUP(PROVEEDORES[[#This Row],[PROVEEDOR]],TERCEROS_INFO[#All],2,FALSE)</f>
        <v>30</v>
      </c>
      <c r="D330" s="30">
        <f>+SUMIFS(PROVEEDORES[Total],PROVEEDORES[PROVEEDOR],PROVEEDORES[[#This Row],[PROVEEDOR]],PROVEEDORES[FECHA DE PAGO],"")</f>
        <v>5060410.5999999996</v>
      </c>
      <c r="E330" s="30"/>
      <c r="F330" s="73" t="str">
        <f>+VLOOKUP(PROVEEDORES[[#This Row],[PROVEEDOR]],TERCEROS_INFO[[PROVEEDOR]:[CORREO]],5,FALSE)</f>
        <v>CBastidas@vyp.com.co;girlesa.ruiz@servipilas.com;joriescobar64@gmail.com</v>
      </c>
      <c r="G330" s="111">
        <v>44341</v>
      </c>
      <c r="H330" s="31" t="s">
        <v>347</v>
      </c>
      <c r="I330" s="111">
        <v>44317</v>
      </c>
      <c r="J330" s="48">
        <v>39048</v>
      </c>
      <c r="K330" s="26">
        <v>3322500</v>
      </c>
      <c r="L330" s="26"/>
      <c r="M330" s="27">
        <v>631275</v>
      </c>
      <c r="N330" s="28"/>
      <c r="O330" s="27">
        <v>0</v>
      </c>
      <c r="P330" s="28">
        <v>3.5000000000000003E-2</v>
      </c>
      <c r="Q330" s="27">
        <v>116287.50000000001</v>
      </c>
      <c r="R330" s="26">
        <v>3837487.5</v>
      </c>
      <c r="S330" s="115">
        <f ca="1">IF(PROVEEDORES[[#This Row],[FECHA DE PAGO]]=0,TODAY()-PROVEEDORES[[#This Row],[FECHA DE FACTURACIÓN]]-PROVEEDORES[[#This Row],[PLAZO Días]],0)</f>
        <v>0</v>
      </c>
      <c r="T33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1" spans="1:20" ht="21.9" customHeight="1" x14ac:dyDescent="0.3">
      <c r="A331" s="113" t="str">
        <f>+IF(PROVEEDORES[[#This Row],[FECHA DE PAGO]]=PROVEEDORES[[#This Row],[FECHA DE FACTURACIÓN]],"DE CONTADO","CRÉDITO")</f>
        <v>CRÉDITO</v>
      </c>
      <c r="B331" s="51" t="b">
        <f>+IF((PROVEEDORES[[#This Row],[FECHA DE PAGO]]-PROVEEDORES[[#This Row],[FECHA DE FACTURACIÓN]])&gt;PROVEEDORES[[#This Row],[PLAZO Días]],"PAGO VENCIDO")</f>
        <v>0</v>
      </c>
      <c r="C331" s="25">
        <f>+VLOOKUP(PROVEEDORES[[#This Row],[PROVEEDOR]],TERCEROS_INFO[#All],2,FALSE)</f>
        <v>30</v>
      </c>
      <c r="D331" s="30">
        <f>+SUMIFS(PROVEEDORES[Total],PROVEEDORES[PROVEEDOR],PROVEEDORES[[#This Row],[PROVEEDOR]],PROVEEDORES[FECHA DE PAGO],"")</f>
        <v>0</v>
      </c>
      <c r="E331" s="30"/>
      <c r="F331" s="73" t="str">
        <f>+VLOOKUP(PROVEEDORES[[#This Row],[PROVEEDOR]],TERCEROS_INFO[[PROVEEDOR]:[CORREO]],5,FALSE)</f>
        <v/>
      </c>
      <c r="G331" s="111">
        <v>44348</v>
      </c>
      <c r="H331" s="31" t="s">
        <v>1027</v>
      </c>
      <c r="I331" s="111">
        <v>44318</v>
      </c>
      <c r="J331" s="48" t="s">
        <v>700</v>
      </c>
      <c r="K331" s="26">
        <v>464000</v>
      </c>
      <c r="L331" s="26"/>
      <c r="M331" s="27">
        <v>0</v>
      </c>
      <c r="N331" s="28"/>
      <c r="O331" s="27">
        <v>0</v>
      </c>
      <c r="P331" s="28">
        <v>0</v>
      </c>
      <c r="Q331" s="27">
        <v>0</v>
      </c>
      <c r="R331" s="26">
        <v>464000</v>
      </c>
      <c r="S331" s="115">
        <f ca="1">IF(PROVEEDORES[[#This Row],[FECHA DE PAGO]]=0,TODAY()-PROVEEDORES[[#This Row],[FECHA DE FACTURACIÓN]]-PROVEEDORES[[#This Row],[PLAZO Días]],0)</f>
        <v>0</v>
      </c>
      <c r="T3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2" spans="1:20" ht="21.9" customHeight="1" x14ac:dyDescent="0.3">
      <c r="A332" s="113" t="str">
        <f>+IF(PROVEEDORES[[#This Row],[FECHA DE PAGO]]=PROVEEDORES[[#This Row],[FECHA DE FACTURACIÓN]],"DE CONTADO","CRÉDITO")</f>
        <v>CRÉDITO</v>
      </c>
      <c r="B332" s="51" t="b">
        <f>+IF((PROVEEDORES[[#This Row],[FECHA DE PAGO]]-PROVEEDORES[[#This Row],[FECHA DE FACTURACIÓN]])&gt;PROVEEDORES[[#This Row],[PLAZO Días]],"PAGO VENCIDO")</f>
        <v>0</v>
      </c>
      <c r="C332" s="25">
        <f>+VLOOKUP(PROVEEDORES[[#This Row],[PROVEEDOR]],TERCEROS_INFO[#All],2,FALSE)</f>
        <v>30</v>
      </c>
      <c r="D332" s="30">
        <f>+SUMIFS(PROVEEDORES[Total],PROVEEDORES[PROVEEDOR],PROVEEDORES[[#This Row],[PROVEEDOR]],PROVEEDORES[FECHA DE PAGO],"")</f>
        <v>0</v>
      </c>
      <c r="E332" s="30"/>
      <c r="F332" s="73" t="str">
        <f>+VLOOKUP(PROVEEDORES[[#This Row],[PROVEEDOR]],TERCEROS_INFO[[PROVEEDOR]:[CORREO]],5,FALSE)</f>
        <v>CARLOSARCILAMENSAJERIA@gmail.com;girlesa.ruiz@servipilas.com;joriescobar64@gmail.com</v>
      </c>
      <c r="G332" s="111">
        <v>44319</v>
      </c>
      <c r="H332" s="31" t="s">
        <v>143</v>
      </c>
      <c r="I332" s="111">
        <v>44318</v>
      </c>
      <c r="J332" s="48">
        <v>91</v>
      </c>
      <c r="K332" s="26">
        <v>557000</v>
      </c>
      <c r="L332" s="26"/>
      <c r="M332" s="27">
        <v>105830</v>
      </c>
      <c r="N332" s="28"/>
      <c r="O332" s="27">
        <v>0</v>
      </c>
      <c r="P332" s="28">
        <v>0.01</v>
      </c>
      <c r="Q332" s="27">
        <v>5570</v>
      </c>
      <c r="R332" s="26">
        <v>657260</v>
      </c>
      <c r="S332" s="115">
        <f ca="1">IF(PROVEEDORES[[#This Row],[FECHA DE PAGO]]=0,TODAY()-PROVEEDORES[[#This Row],[FECHA DE FACTURACIÓN]]-PROVEEDORES[[#This Row],[PLAZO Días]],0)</f>
        <v>0</v>
      </c>
      <c r="T3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3" spans="1:20" ht="21.9" customHeight="1" x14ac:dyDescent="0.3">
      <c r="A333" s="113" t="str">
        <f>+IF(PROVEEDORES[[#This Row],[FECHA DE PAGO]]=PROVEEDORES[[#This Row],[FECHA DE FACTURACIÓN]],"DE CONTADO","CRÉDITO")</f>
        <v>CRÉDITO</v>
      </c>
      <c r="B333" s="51" t="b">
        <f>+IF((PROVEEDORES[[#This Row],[FECHA DE PAGO]]-PROVEEDORES[[#This Row],[FECHA DE FACTURACIÓN]])&gt;PROVEEDORES[[#This Row],[PLAZO Días]],"PAGO VENCIDO")</f>
        <v>0</v>
      </c>
      <c r="C333" s="25">
        <f>+VLOOKUP(PROVEEDORES[[#This Row],[PROVEEDOR]],TERCEROS_INFO[#All],2,FALSE)</f>
        <v>30</v>
      </c>
      <c r="D333" s="30">
        <f>+SUMIFS(PROVEEDORES[Total],PROVEEDORES[PROVEEDOR],PROVEEDORES[[#This Row],[PROVEEDOR]],PROVEEDORES[FECHA DE PAGO],"")</f>
        <v>1119790</v>
      </c>
      <c r="E333" s="30"/>
      <c r="F333" s="73" t="str">
        <f>+VLOOKUP(PROVEEDORES[[#This Row],[PROVEEDOR]],TERCEROS_INFO[[PROVEEDOR]:[CORREO]],5,FALSE)</f>
        <v>MVALENCIA@mps.com.co;girlesa.ruiz@servipilas.com;joriescobar64@gmail.com</v>
      </c>
      <c r="G333" s="111">
        <v>44279</v>
      </c>
      <c r="H333" s="31" t="s">
        <v>17</v>
      </c>
      <c r="I333" s="111">
        <v>44319</v>
      </c>
      <c r="J333" s="48">
        <v>1735621</v>
      </c>
      <c r="K333" s="26">
        <v>363600</v>
      </c>
      <c r="L333" s="26"/>
      <c r="M333" s="27">
        <v>69084</v>
      </c>
      <c r="N333" s="28"/>
      <c r="O333" s="27">
        <v>0</v>
      </c>
      <c r="P333" s="28">
        <v>0</v>
      </c>
      <c r="Q333" s="27">
        <v>0</v>
      </c>
      <c r="R333" s="26">
        <v>432684</v>
      </c>
      <c r="S333" s="115">
        <f ca="1">IF(PROVEEDORES[[#This Row],[FECHA DE PAGO]]=0,TODAY()-PROVEEDORES[[#This Row],[FECHA DE FACTURACIÓN]]-PROVEEDORES[[#This Row],[PLAZO Días]],0)</f>
        <v>0</v>
      </c>
      <c r="T3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4" spans="1:20" ht="21.9" customHeight="1" x14ac:dyDescent="0.3">
      <c r="A334" s="113" t="str">
        <f>+IF(PROVEEDORES[[#This Row],[FECHA DE PAGO]]=PROVEEDORES[[#This Row],[FECHA DE FACTURACIÓN]],"DE CONTADO","CRÉDITO")</f>
        <v>DE CONTADO</v>
      </c>
      <c r="B334" s="51" t="b">
        <f>+IF((PROVEEDORES[[#This Row],[FECHA DE PAGO]]-PROVEEDORES[[#This Row],[FECHA DE FACTURACIÓN]])&gt;PROVEEDORES[[#This Row],[PLAZO Días]],"PAGO VENCIDO")</f>
        <v>0</v>
      </c>
      <c r="C334" s="25">
        <f>+VLOOKUP(PROVEEDORES[[#This Row],[PROVEEDOR]],TERCEROS_INFO[#All],2,FALSE)</f>
        <v>30</v>
      </c>
      <c r="D334" s="30">
        <f>+SUMIFS(PROVEEDORES[Total],PROVEEDORES[PROVEEDOR],PROVEEDORES[[#This Row],[PROVEEDOR]],PROVEEDORES[FECHA DE PAGO],"")</f>
        <v>0</v>
      </c>
      <c r="E334" s="30"/>
      <c r="F334" s="73" t="str">
        <f>+VLOOKUP(PROVEEDORES[[#This Row],[PROVEEDOR]],TERCEROS_INFO[[PROVEEDOR]:[CORREO]],5,FALSE)</f>
        <v/>
      </c>
      <c r="G334" s="111">
        <v>44319</v>
      </c>
      <c r="H334" s="31" t="s">
        <v>1052</v>
      </c>
      <c r="I334" s="111">
        <v>44319</v>
      </c>
      <c r="J334" s="48"/>
      <c r="K334" s="26">
        <v>800000</v>
      </c>
      <c r="L334" s="26"/>
      <c r="M334" s="27">
        <v>0</v>
      </c>
      <c r="N334" s="28"/>
      <c r="O334" s="27">
        <v>0</v>
      </c>
      <c r="P334" s="28">
        <v>0</v>
      </c>
      <c r="Q334" s="27">
        <v>0</v>
      </c>
      <c r="R334" s="26">
        <v>800000</v>
      </c>
      <c r="S334" s="115">
        <f ca="1">IF(PROVEEDORES[[#This Row],[FECHA DE PAGO]]=0,TODAY()-PROVEEDORES[[#This Row],[FECHA DE FACTURACIÓN]]-PROVEEDORES[[#This Row],[PLAZO Días]],0)</f>
        <v>0</v>
      </c>
      <c r="T3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5" spans="1:20" ht="21.9" customHeight="1" x14ac:dyDescent="0.3">
      <c r="A335" s="113" t="str">
        <f>+IF(PROVEEDORES[[#This Row],[FECHA DE PAGO]]=PROVEEDORES[[#This Row],[FECHA DE FACTURACIÓN]],"DE CONTADO","CRÉDITO")</f>
        <v>CRÉDITO</v>
      </c>
      <c r="B335" s="51" t="b">
        <f>+IF((PROVEEDORES[[#This Row],[FECHA DE PAGO]]-PROVEEDORES[[#This Row],[FECHA DE FACTURACIÓN]])&gt;PROVEEDORES[[#This Row],[PLAZO Días]],"PAGO VENCIDO")</f>
        <v>0</v>
      </c>
      <c r="C335" s="25">
        <f>+VLOOKUP(PROVEEDORES[[#This Row],[PROVEEDOR]],TERCEROS_INFO[#All],2,FALSE)</f>
        <v>10</v>
      </c>
      <c r="D335" s="30">
        <f>+SUMIFS(PROVEEDORES[Total],PROVEEDORES[PROVEEDOR],PROVEEDORES[[#This Row],[PROVEEDOR]],PROVEEDORES[FECHA DE PAGO],"")</f>
        <v>0</v>
      </c>
      <c r="E335" s="30"/>
      <c r="F335" s="73" t="str">
        <f>+VLOOKUP(PROVEEDORES[[#This Row],[PROVEEDOR]],TERCEROS_INFO[[PROVEEDOR]:[CORREO]],5,FALSE)</f>
        <v>asistente@mslcorporate.com.co;girlesa.ruiz@servipilas.com;joriescobar64@gmail.com</v>
      </c>
      <c r="G335" s="111">
        <v>44320</v>
      </c>
      <c r="H335" s="31" t="s">
        <v>318</v>
      </c>
      <c r="I335" s="111">
        <v>44319</v>
      </c>
      <c r="J335" s="48">
        <v>114001</v>
      </c>
      <c r="K335" s="26">
        <v>2739403.1313</v>
      </c>
      <c r="L335" s="26"/>
      <c r="M335" s="27">
        <v>0</v>
      </c>
      <c r="N335" s="28"/>
      <c r="O335" s="27">
        <v>0</v>
      </c>
      <c r="P335" s="28">
        <v>0</v>
      </c>
      <c r="Q335" s="27">
        <v>0</v>
      </c>
      <c r="R335" s="26">
        <v>2739403.1313</v>
      </c>
      <c r="S335" s="115">
        <f ca="1">IF(PROVEEDORES[[#This Row],[FECHA DE PAGO]]=0,TODAY()-PROVEEDORES[[#This Row],[FECHA DE FACTURACIÓN]]-PROVEEDORES[[#This Row],[PLAZO Días]],0)</f>
        <v>0</v>
      </c>
      <c r="T3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6" spans="1:20" ht="21.9" customHeight="1" x14ac:dyDescent="0.3">
      <c r="A336" s="113" t="str">
        <f>+IF(PROVEEDORES[[#This Row],[FECHA DE PAGO]]=PROVEEDORES[[#This Row],[FECHA DE FACTURACIÓN]],"DE CONTADO","CRÉDITO")</f>
        <v>CRÉDITO</v>
      </c>
      <c r="B336" s="51" t="b">
        <f>+IF((PROVEEDORES[[#This Row],[FECHA DE PAGO]]-PROVEEDORES[[#This Row],[FECHA DE FACTURACIÓN]])&gt;PROVEEDORES[[#This Row],[PLAZO Días]],"PAGO VENCIDO")</f>
        <v>0</v>
      </c>
      <c r="C336" s="25">
        <f>+VLOOKUP(PROVEEDORES[[#This Row],[PROVEEDOR]],TERCEROS_INFO[#All],2,FALSE)</f>
        <v>30</v>
      </c>
      <c r="D336" s="30">
        <f>+SUMIFS(PROVEEDORES[Total],PROVEEDORES[PROVEEDOR],PROVEEDORES[[#This Row],[PROVEEDOR]],PROVEEDORES[FECHA DE PAGO],"")</f>
        <v>0</v>
      </c>
      <c r="E336" s="30"/>
      <c r="F336" s="73" t="str">
        <f>+VLOOKUP(PROVEEDORES[[#This Row],[PROVEEDOR]],TERCEROS_INFO[[PROVEEDOR]:[CORREO]],5,FALSE)</f>
        <v/>
      </c>
      <c r="G336" s="111">
        <v>44331</v>
      </c>
      <c r="H336" s="31" t="s">
        <v>27</v>
      </c>
      <c r="I336" s="111">
        <v>44319</v>
      </c>
      <c r="J336" s="48" t="s">
        <v>366</v>
      </c>
      <c r="K336" s="26">
        <v>7035320</v>
      </c>
      <c r="L336" s="26"/>
      <c r="M336" s="27">
        <v>0</v>
      </c>
      <c r="N336" s="28"/>
      <c r="O336" s="27">
        <v>0</v>
      </c>
      <c r="P336" s="28">
        <v>0</v>
      </c>
      <c r="Q336" s="27">
        <v>0</v>
      </c>
      <c r="R336" s="26">
        <v>7035320</v>
      </c>
      <c r="S336" s="115">
        <f ca="1">IF(PROVEEDORES[[#This Row],[FECHA DE PAGO]]=0,TODAY()-PROVEEDORES[[#This Row],[FECHA DE FACTURACIÓN]]-PROVEEDORES[[#This Row],[PLAZO Días]],0)</f>
        <v>0</v>
      </c>
      <c r="T3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7" spans="1:20" ht="21.9" customHeight="1" x14ac:dyDescent="0.3">
      <c r="A337" s="113" t="str">
        <f>+IF(PROVEEDORES[[#This Row],[FECHA DE PAGO]]=PROVEEDORES[[#This Row],[FECHA DE FACTURACIÓN]],"DE CONTADO","CRÉDITO")</f>
        <v>CRÉDITO</v>
      </c>
      <c r="B337" s="51" t="b">
        <f>+IF((PROVEEDORES[[#This Row],[FECHA DE PAGO]]-PROVEEDORES[[#This Row],[FECHA DE FACTURACIÓN]])&gt;PROVEEDORES[[#This Row],[PLAZO Días]],"PAGO VENCIDO")</f>
        <v>0</v>
      </c>
      <c r="C337" s="25">
        <f>+VLOOKUP(PROVEEDORES[[#This Row],[PROVEEDOR]],TERCEROS_INFO[#All],2,FALSE)</f>
        <v>10</v>
      </c>
      <c r="D337" s="30">
        <f>+SUMIFS(PROVEEDORES[Total],PROVEEDORES[PROVEEDOR],PROVEEDORES[[#This Row],[PROVEEDOR]],PROVEEDORES[FECHA DE PAGO],"")</f>
        <v>0</v>
      </c>
      <c r="E337" s="30"/>
      <c r="F337" s="73" t="str">
        <f>+VLOOKUP(PROVEEDORES[[#This Row],[PROVEEDOR]],TERCEROS_INFO[[PROVEEDOR]:[CORREO]],5,FALSE)</f>
        <v>comercial@munditonner.com.co;girlesa.ruiz@servipilas.com;joriescobar64@gmail.com</v>
      </c>
      <c r="G337" s="111">
        <v>44321</v>
      </c>
      <c r="H337" s="31" t="s">
        <v>356</v>
      </c>
      <c r="I337" s="111">
        <v>44320</v>
      </c>
      <c r="J337" s="48" t="s">
        <v>358</v>
      </c>
      <c r="K337" s="26">
        <v>70000</v>
      </c>
      <c r="L337" s="26"/>
      <c r="M337" s="27">
        <v>13300</v>
      </c>
      <c r="N337" s="28"/>
      <c r="O337" s="27">
        <v>0</v>
      </c>
      <c r="P337" s="28">
        <v>0</v>
      </c>
      <c r="Q337" s="27">
        <v>0</v>
      </c>
      <c r="R337" s="26">
        <v>83300</v>
      </c>
      <c r="S337" s="115">
        <f ca="1">IF(PROVEEDORES[[#This Row],[FECHA DE PAGO]]=0,TODAY()-PROVEEDORES[[#This Row],[FECHA DE FACTURACIÓN]]-PROVEEDORES[[#This Row],[PLAZO Días]],0)</f>
        <v>0</v>
      </c>
      <c r="T3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8" spans="1:20" ht="21.9" customHeight="1" x14ac:dyDescent="0.3">
      <c r="A338" s="113" t="str">
        <f>+IF(PROVEEDORES[[#This Row],[FECHA DE PAGO]]=PROVEEDORES[[#This Row],[FECHA DE FACTURACIÓN]],"DE CONTADO","CRÉDITO")</f>
        <v>DE CONTADO</v>
      </c>
      <c r="B338" s="51" t="b">
        <f>+IF((PROVEEDORES[[#This Row],[FECHA DE PAGO]]-PROVEEDORES[[#This Row],[FECHA DE FACTURACIÓN]])&gt;PROVEEDORES[[#This Row],[PLAZO Días]],"PAGO VENCIDO")</f>
        <v>0</v>
      </c>
      <c r="C338" s="25">
        <f>+VLOOKUP(PROVEEDORES[[#This Row],[PROVEEDOR]],TERCEROS_INFO[#All],2,FALSE)</f>
        <v>30</v>
      </c>
      <c r="D338" s="30">
        <f>+SUMIFS(PROVEEDORES[Total],PROVEEDORES[PROVEEDOR],PROVEEDORES[[#This Row],[PROVEEDOR]],PROVEEDORES[FECHA DE PAGO],"")</f>
        <v>0</v>
      </c>
      <c r="E338" s="30"/>
      <c r="F338" s="73" t="str">
        <f>+VLOOKUP(PROVEEDORES[[#This Row],[PROVEEDOR]],TERCEROS_INFO[[PROVEEDOR]:[CORREO]],5,FALSE)</f>
        <v/>
      </c>
      <c r="G338" s="111">
        <v>44320</v>
      </c>
      <c r="H338" s="31" t="s">
        <v>1064</v>
      </c>
      <c r="I338" s="111">
        <v>44320</v>
      </c>
      <c r="J338" s="48" t="s">
        <v>701</v>
      </c>
      <c r="K338" s="26">
        <v>75000</v>
      </c>
      <c r="L338" s="26"/>
      <c r="M338" s="27">
        <v>0</v>
      </c>
      <c r="N338" s="28"/>
      <c r="O338" s="27">
        <v>0</v>
      </c>
      <c r="P338" s="28">
        <v>0</v>
      </c>
      <c r="Q338" s="27">
        <v>0</v>
      </c>
      <c r="R338" s="26">
        <v>75000</v>
      </c>
      <c r="S338" s="115">
        <f ca="1">IF(PROVEEDORES[[#This Row],[FECHA DE PAGO]]=0,TODAY()-PROVEEDORES[[#This Row],[FECHA DE FACTURACIÓN]]-PROVEEDORES[[#This Row],[PLAZO Días]],0)</f>
        <v>0</v>
      </c>
      <c r="T33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39" spans="1:20" ht="21.9" customHeight="1" x14ac:dyDescent="0.3">
      <c r="A339" s="113" t="str">
        <f>+IF(PROVEEDORES[[#This Row],[FECHA DE PAGO]]=PROVEEDORES[[#This Row],[FECHA DE FACTURACIÓN]],"DE CONTADO","CRÉDITO")</f>
        <v>CRÉDITO</v>
      </c>
      <c r="B339" s="51" t="b">
        <f>+IF((PROVEEDORES[[#This Row],[FECHA DE PAGO]]-PROVEEDORES[[#This Row],[FECHA DE FACTURACIÓN]])&gt;PROVEEDORES[[#This Row],[PLAZO Días]],"PAGO VENCIDO")</f>
        <v>0</v>
      </c>
      <c r="C339" s="25">
        <f>+VLOOKUP(PROVEEDORES[[#This Row],[PROVEEDOR]],TERCEROS_INFO[#All],2,FALSE)</f>
        <v>30</v>
      </c>
      <c r="D339" s="30">
        <f>+SUMIFS(PROVEEDORES[Total],PROVEEDORES[PROVEEDOR],PROVEEDORES[[#This Row],[PROVEEDOR]],PROVEEDORES[FECHA DE PAGO],"")</f>
        <v>0</v>
      </c>
      <c r="E339" s="30"/>
      <c r="F339" s="73" t="str">
        <f>+VLOOKUP(PROVEEDORES[[#This Row],[PROVEEDOR]],TERCEROS_INFO[[PROVEEDOR]:[CORREO]],5,FALSE)</f>
        <v>yermingg@hotmail.com;girlesa.ruiz@servipilas.com;joriescobar64@gmail.com</v>
      </c>
      <c r="G339" s="111">
        <v>44335</v>
      </c>
      <c r="H339" s="31" t="s">
        <v>1085</v>
      </c>
      <c r="I339" s="111">
        <v>44320</v>
      </c>
      <c r="J339" s="48" t="s">
        <v>702</v>
      </c>
      <c r="K339" s="26">
        <v>210000</v>
      </c>
      <c r="L339" s="26"/>
      <c r="M339" s="27">
        <v>0</v>
      </c>
      <c r="N339" s="28"/>
      <c r="O339" s="27">
        <v>0</v>
      </c>
      <c r="P339" s="28">
        <v>0</v>
      </c>
      <c r="Q339" s="27">
        <v>0</v>
      </c>
      <c r="R339" s="26">
        <v>210000</v>
      </c>
      <c r="S339" s="115">
        <f ca="1">IF(PROVEEDORES[[#This Row],[FECHA DE PAGO]]=0,TODAY()-PROVEEDORES[[#This Row],[FECHA DE FACTURACIÓN]]-PROVEEDORES[[#This Row],[PLAZO Días]],0)</f>
        <v>0</v>
      </c>
      <c r="T3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0" spans="1:20" ht="21.9" customHeight="1" x14ac:dyDescent="0.3">
      <c r="A340" s="113" t="str">
        <f>+IF(PROVEEDORES[[#This Row],[FECHA DE PAGO]]=PROVEEDORES[[#This Row],[FECHA DE FACTURACIÓN]],"DE CONTADO","CRÉDITO")</f>
        <v>CRÉDITO</v>
      </c>
      <c r="B340" s="51" t="b">
        <f>+IF((PROVEEDORES[[#This Row],[FECHA DE PAGO]]-PROVEEDORES[[#This Row],[FECHA DE FACTURACIÓN]])&gt;PROVEEDORES[[#This Row],[PLAZO Días]],"PAGO VENCIDO")</f>
        <v>0</v>
      </c>
      <c r="C340" s="25">
        <f>+VLOOKUP(PROVEEDORES[[#This Row],[PROVEEDOR]],TERCEROS_INFO[#All],2,FALSE)</f>
        <v>30</v>
      </c>
      <c r="D340" s="30">
        <f>+SUMIFS(PROVEEDORES[Total],PROVEEDORES[PROVEEDOR],PROVEEDORES[[#This Row],[PROVEEDOR]],PROVEEDORES[FECHA DE PAGO],"")</f>
        <v>6482443.1751999995</v>
      </c>
      <c r="E340" s="30"/>
      <c r="F340" s="73" t="str">
        <f>+VLOOKUP(PROVEEDORES[[#This Row],[PROVEEDOR]],TERCEROS_INFO[[PROVEEDOR]:[CORREO]],5,FALSE)</f>
        <v>angela.navas@hyrdistribuciones.com;girlesa.ruiz@servipilas.com;joriescobar64@gmail.com</v>
      </c>
      <c r="G340" s="111">
        <v>44348</v>
      </c>
      <c r="H340" s="31" t="s">
        <v>360</v>
      </c>
      <c r="I340" s="111">
        <v>44320</v>
      </c>
      <c r="J340" s="48">
        <v>1037460</v>
      </c>
      <c r="K340" s="26">
        <v>850000</v>
      </c>
      <c r="L340" s="26"/>
      <c r="M340" s="27">
        <v>161500</v>
      </c>
      <c r="N340" s="28"/>
      <c r="O340" s="27">
        <v>0</v>
      </c>
      <c r="P340" s="28">
        <v>0</v>
      </c>
      <c r="Q340" s="27">
        <v>0</v>
      </c>
      <c r="R340" s="26">
        <v>1011500</v>
      </c>
      <c r="S340" s="115">
        <f ca="1">IF(PROVEEDORES[[#This Row],[FECHA DE PAGO]]=0,TODAY()-PROVEEDORES[[#This Row],[FECHA DE FACTURACIÓN]]-PROVEEDORES[[#This Row],[PLAZO Días]],0)</f>
        <v>0</v>
      </c>
      <c r="T3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1" spans="1:20" ht="21.9" customHeight="1" x14ac:dyDescent="0.3">
      <c r="A341" s="113" t="str">
        <f>+IF(PROVEEDORES[[#This Row],[FECHA DE PAGO]]=PROVEEDORES[[#This Row],[FECHA DE FACTURACIÓN]],"DE CONTADO","CRÉDITO")</f>
        <v>CRÉDITO</v>
      </c>
      <c r="B341" s="51" t="str">
        <f>+IF((PROVEEDORES[[#This Row],[FECHA DE PAGO]]-PROVEEDORES[[#This Row],[FECHA DE FACTURACIÓN]])&gt;PROVEEDORES[[#This Row],[PLAZO Días]],"PAGO VENCIDO")</f>
        <v>PAGO VENCIDO</v>
      </c>
      <c r="C341" s="25">
        <f>+VLOOKUP(PROVEEDORES[[#This Row],[PROVEEDOR]],TERCEROS_INFO[#All],2,FALSE)</f>
        <v>45</v>
      </c>
      <c r="D341" s="30">
        <f>+SUMIFS(PROVEEDORES[Total],PROVEEDORES[PROVEEDOR],PROVEEDORES[[#This Row],[PROVEEDOR]],PROVEEDORES[FECHA DE PAGO],"")</f>
        <v>1070024.2</v>
      </c>
      <c r="E341" s="30"/>
      <c r="F341" s="73" t="str">
        <f>+VLOOKUP(PROVEEDORES[[#This Row],[PROVEEDOR]],TERCEROS_INFO[[PROVEEDOR]:[CORREO]],5,FALSE)</f>
        <v>libardopineda@tronex.com;girlesa.ruiz@servipilas.com;joriescobar64@gmail.com</v>
      </c>
      <c r="G341" s="111">
        <v>44376</v>
      </c>
      <c r="H341" s="31" t="s">
        <v>10</v>
      </c>
      <c r="I341" s="111">
        <v>44320</v>
      </c>
      <c r="J341" s="48" t="s">
        <v>362</v>
      </c>
      <c r="K341" s="26">
        <v>2354000</v>
      </c>
      <c r="L341" s="26"/>
      <c r="M341" s="27">
        <v>447260</v>
      </c>
      <c r="N341" s="28"/>
      <c r="O341" s="27">
        <v>0</v>
      </c>
      <c r="P341" s="28">
        <v>0</v>
      </c>
      <c r="Q341" s="27">
        <v>0</v>
      </c>
      <c r="R341" s="26">
        <v>2801260</v>
      </c>
      <c r="S341" s="115">
        <f ca="1">IF(PROVEEDORES[[#This Row],[FECHA DE PAGO]]=0,TODAY()-PROVEEDORES[[#This Row],[FECHA DE FACTURACIÓN]]-PROVEEDORES[[#This Row],[PLAZO Días]],0)</f>
        <v>0</v>
      </c>
      <c r="T3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2" spans="1:20" ht="21.9" customHeight="1" x14ac:dyDescent="0.3">
      <c r="A342" s="113" t="str">
        <f>+IF(PROVEEDORES[[#This Row],[FECHA DE PAGO]]=PROVEEDORES[[#This Row],[FECHA DE FACTURACIÓN]],"DE CONTADO","CRÉDITO")</f>
        <v>DE CONTADO</v>
      </c>
      <c r="B342" s="51" t="b">
        <f>+IF((PROVEEDORES[[#This Row],[FECHA DE PAGO]]-PROVEEDORES[[#This Row],[FECHA DE FACTURACIÓN]])&gt;PROVEEDORES[[#This Row],[PLAZO Días]],"PAGO VENCIDO")</f>
        <v>0</v>
      </c>
      <c r="C342" s="25">
        <f>+VLOOKUP(PROVEEDORES[[#This Row],[PROVEEDOR]],TERCEROS_INFO[#All],2,FALSE)</f>
        <v>30</v>
      </c>
      <c r="D342" s="30">
        <f>+SUMIFS(PROVEEDORES[Total],PROVEEDORES[PROVEEDOR],PROVEEDORES[[#This Row],[PROVEEDOR]],PROVEEDORES[FECHA DE PAGO],"")</f>
        <v>0</v>
      </c>
      <c r="E342" s="30"/>
      <c r="F342" s="73" t="str">
        <f>+VLOOKUP(PROVEEDORES[[#This Row],[PROVEEDOR]],TERCEROS_INFO[[PROVEEDOR]:[CORREO]],5,FALSE)</f>
        <v>Tuspilas.co@gmail.com;girlesa.ruiz@servipilas.com;joriescobar64@gmail.com</v>
      </c>
      <c r="G342" s="111">
        <v>44321</v>
      </c>
      <c r="H342" s="31" t="s">
        <v>43</v>
      </c>
      <c r="I342" s="111">
        <v>44321</v>
      </c>
      <c r="J342" s="48" t="s">
        <v>364</v>
      </c>
      <c r="K342" s="26">
        <v>60504</v>
      </c>
      <c r="L342" s="26"/>
      <c r="M342" s="27">
        <v>11495.76</v>
      </c>
      <c r="N342" s="28"/>
      <c r="O342" s="27">
        <v>0</v>
      </c>
      <c r="P342" s="28">
        <v>0</v>
      </c>
      <c r="Q342" s="27">
        <v>0</v>
      </c>
      <c r="R342" s="26">
        <v>71999.759999999995</v>
      </c>
      <c r="S342" s="115">
        <f ca="1">IF(PROVEEDORES[[#This Row],[FECHA DE PAGO]]=0,TODAY()-PROVEEDORES[[#This Row],[FECHA DE FACTURACIÓN]]-PROVEEDORES[[#This Row],[PLAZO Días]],0)</f>
        <v>0</v>
      </c>
      <c r="T3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3" spans="1:20" ht="21.9" customHeight="1" x14ac:dyDescent="0.3">
      <c r="A343" s="113" t="str">
        <f>+IF(PROVEEDORES[[#This Row],[FECHA DE PAGO]]=PROVEEDORES[[#This Row],[FECHA DE FACTURACIÓN]],"DE CONTADO","CRÉDITO")</f>
        <v>CRÉDITO</v>
      </c>
      <c r="B343" s="51" t="str">
        <f>+IF((PROVEEDORES[[#This Row],[FECHA DE PAGO]]-PROVEEDORES[[#This Row],[FECHA DE FACTURACIÓN]])&gt;PROVEEDORES[[#This Row],[PLAZO Días]],"PAGO VENCIDO")</f>
        <v>PAGO VENCIDO</v>
      </c>
      <c r="C343" s="25">
        <f>+VLOOKUP(PROVEEDORES[[#This Row],[PROVEEDOR]],TERCEROS_INFO[#All],2,FALSE)</f>
        <v>30</v>
      </c>
      <c r="D343" s="30">
        <f>+SUMIFS(PROVEEDORES[Total],PROVEEDORES[PROVEEDOR],PROVEEDORES[[#This Row],[PROVEEDOR]],PROVEEDORES[FECHA DE PAGO],"")</f>
        <v>0</v>
      </c>
      <c r="E343" s="30"/>
      <c r="F343" s="73" t="str">
        <f>+VLOOKUP(PROVEEDORES[[#This Row],[PROVEEDOR]],TERCEROS_INFO[[PROVEEDOR]:[CORREO]],5,FALSE)</f>
        <v>globalpowerc2018@gmail.com;girlesa.ruiz@servipilas.com;joriescobar64@gmail.com</v>
      </c>
      <c r="G343" s="111">
        <v>44355</v>
      </c>
      <c r="H343" s="31" t="s">
        <v>1057</v>
      </c>
      <c r="I343" s="111">
        <v>44321</v>
      </c>
      <c r="J343" s="48" t="s">
        <v>703</v>
      </c>
      <c r="K343" s="26">
        <v>722000</v>
      </c>
      <c r="L343" s="26"/>
      <c r="M343" s="27">
        <v>0</v>
      </c>
      <c r="N343" s="28"/>
      <c r="O343" s="27">
        <v>0</v>
      </c>
      <c r="P343" s="28">
        <v>0</v>
      </c>
      <c r="Q343" s="27">
        <v>0</v>
      </c>
      <c r="R343" s="26">
        <v>722000</v>
      </c>
      <c r="S343" s="115">
        <f ca="1">IF(PROVEEDORES[[#This Row],[FECHA DE PAGO]]=0,TODAY()-PROVEEDORES[[#This Row],[FECHA DE FACTURACIÓN]]-PROVEEDORES[[#This Row],[PLAZO Días]],0)</f>
        <v>0</v>
      </c>
      <c r="T3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4" spans="1:20" ht="21.9" customHeight="1" x14ac:dyDescent="0.3">
      <c r="A344" s="113" t="str">
        <f>+IF(PROVEEDORES[[#This Row],[FECHA DE PAGO]]=PROVEEDORES[[#This Row],[FECHA DE FACTURACIÓN]],"DE CONTADO","CRÉDITO")</f>
        <v>CRÉDITO</v>
      </c>
      <c r="B344" s="51" t="str">
        <f>+IF((PROVEEDORES[[#This Row],[FECHA DE PAGO]]-PROVEEDORES[[#This Row],[FECHA DE FACTURACIÓN]])&gt;PROVEEDORES[[#This Row],[PLAZO Días]],"PAGO VENCIDO")</f>
        <v>PAGO VENCIDO</v>
      </c>
      <c r="C344" s="25">
        <f>+VLOOKUP(PROVEEDORES[[#This Row],[PROVEEDOR]],TERCEROS_INFO[#All],2,FALSE)</f>
        <v>30</v>
      </c>
      <c r="D344" s="30">
        <f>+SUMIFS(PROVEEDORES[Total],PROVEEDORES[PROVEEDOR],PROVEEDORES[[#This Row],[PROVEEDOR]],PROVEEDORES[FECHA DE PAGO],"")</f>
        <v>10764600</v>
      </c>
      <c r="E344" s="30"/>
      <c r="F344" s="73" t="str">
        <f>+VLOOKUP(PROVEEDORES[[#This Row],[PROVEEDOR]],TERCEROS_INFO[[PROVEEDOR]:[CORREO]],5,FALSE)</f>
        <v>apresupuesto@widexcolombia.com;girlesa.ruiz@servipilas.com;joriescobar64@gmail.com</v>
      </c>
      <c r="G344" s="111">
        <v>44363</v>
      </c>
      <c r="H344" s="31" t="s">
        <v>11</v>
      </c>
      <c r="I344" s="111">
        <v>44321</v>
      </c>
      <c r="J344" s="48" t="s">
        <v>365</v>
      </c>
      <c r="K344" s="26">
        <v>1650000</v>
      </c>
      <c r="L344" s="26"/>
      <c r="M344" s="27">
        <v>313500</v>
      </c>
      <c r="N344" s="28"/>
      <c r="O344" s="27">
        <v>0</v>
      </c>
      <c r="P344" s="28">
        <v>2.5000000000000001E-2</v>
      </c>
      <c r="Q344" s="27">
        <v>41250</v>
      </c>
      <c r="R344" s="26">
        <v>1922250</v>
      </c>
      <c r="S344" s="115">
        <f ca="1">IF(PROVEEDORES[[#This Row],[FECHA DE PAGO]]=0,TODAY()-PROVEEDORES[[#This Row],[FECHA DE FACTURACIÓN]]-PROVEEDORES[[#This Row],[PLAZO Días]],0)</f>
        <v>0</v>
      </c>
      <c r="T34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5" spans="1:20" ht="21.9" customHeight="1" x14ac:dyDescent="0.3">
      <c r="A345" s="113" t="str">
        <f>+IF(PROVEEDORES[[#This Row],[FECHA DE PAGO]]=PROVEEDORES[[#This Row],[FECHA DE FACTURACIÓN]],"DE CONTADO","CRÉDITO")</f>
        <v>CRÉDITO</v>
      </c>
      <c r="B345" s="51" t="str">
        <f>+IF((PROVEEDORES[[#This Row],[FECHA DE PAGO]]-PROVEEDORES[[#This Row],[FECHA DE FACTURACIÓN]])&gt;PROVEEDORES[[#This Row],[PLAZO Días]],"PAGO VENCIDO")</f>
        <v>PAGO VENCIDO</v>
      </c>
      <c r="C345" s="25">
        <f>+VLOOKUP(PROVEEDORES[[#This Row],[PROVEEDOR]],TERCEROS_INFO[#All],2,FALSE)</f>
        <v>45</v>
      </c>
      <c r="D345" s="30">
        <f>+SUMIFS(PROVEEDORES[Total],PROVEEDORES[PROVEEDOR],PROVEEDORES[[#This Row],[PROVEEDOR]],PROVEEDORES[FECHA DE PAGO],"")</f>
        <v>1070024.2</v>
      </c>
      <c r="E345" s="30"/>
      <c r="F345" s="73" t="str">
        <f>+VLOOKUP(PROVEEDORES[[#This Row],[PROVEEDOR]],TERCEROS_INFO[[PROVEEDOR]:[CORREO]],5,FALSE)</f>
        <v>libardopineda@tronex.com;girlesa.ruiz@servipilas.com;joriescobar64@gmail.com</v>
      </c>
      <c r="G345" s="111">
        <v>44389</v>
      </c>
      <c r="H345" s="31" t="s">
        <v>10</v>
      </c>
      <c r="I345" s="111">
        <v>44323</v>
      </c>
      <c r="J345" s="48" t="s">
        <v>363</v>
      </c>
      <c r="K345" s="26">
        <v>90000</v>
      </c>
      <c r="L345" s="26"/>
      <c r="M345" s="27">
        <v>17100</v>
      </c>
      <c r="N345" s="28"/>
      <c r="O345" s="27">
        <v>0</v>
      </c>
      <c r="P345" s="28">
        <v>0</v>
      </c>
      <c r="Q345" s="27">
        <v>0</v>
      </c>
      <c r="R345" s="26">
        <v>107100</v>
      </c>
      <c r="S345" s="115">
        <f ca="1">IF(PROVEEDORES[[#This Row],[FECHA DE PAGO]]=0,TODAY()-PROVEEDORES[[#This Row],[FECHA DE FACTURACIÓN]]-PROVEEDORES[[#This Row],[PLAZO Días]],0)</f>
        <v>0</v>
      </c>
      <c r="T3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6" spans="1:20" ht="21.9" customHeight="1" x14ac:dyDescent="0.3">
      <c r="A346" s="113" t="str">
        <f>+IF(PROVEEDORES[[#This Row],[FECHA DE PAGO]]=PROVEEDORES[[#This Row],[FECHA DE FACTURACIÓN]],"DE CONTADO","CRÉDITO")</f>
        <v>DE CONTADO</v>
      </c>
      <c r="B346" s="51" t="b">
        <f>+IF((PROVEEDORES[[#This Row],[FECHA DE PAGO]]-PROVEEDORES[[#This Row],[FECHA DE FACTURACIÓN]])&gt;PROVEEDORES[[#This Row],[PLAZO Días]],"PAGO VENCIDO")</f>
        <v>0</v>
      </c>
      <c r="C346" s="25">
        <f>+VLOOKUP(PROVEEDORES[[#This Row],[PROVEEDOR]],TERCEROS_INFO[#All],2,FALSE)</f>
        <v>30</v>
      </c>
      <c r="D346" s="30">
        <f>+SUMIFS(PROVEEDORES[Total],PROVEEDORES[PROVEEDOR],PROVEEDORES[[#This Row],[PROVEEDOR]],PROVEEDORES[FECHA DE PAGO],"")</f>
        <v>0</v>
      </c>
      <c r="E346" s="30"/>
      <c r="F346" s="73" t="str">
        <f>+VLOOKUP(PROVEEDORES[[#This Row],[PROVEEDOR]],TERCEROS_INFO[[PROVEEDOR]:[CORREO]],5,FALSE)</f>
        <v/>
      </c>
      <c r="G346" s="111">
        <v>44323</v>
      </c>
      <c r="H346" s="31" t="s">
        <v>1037</v>
      </c>
      <c r="I346" s="111">
        <v>44323</v>
      </c>
      <c r="J346" s="48"/>
      <c r="K346" s="26">
        <v>384000</v>
      </c>
      <c r="L346" s="26"/>
      <c r="M346" s="27">
        <v>0</v>
      </c>
      <c r="N346" s="28"/>
      <c r="O346" s="27">
        <v>0</v>
      </c>
      <c r="P346" s="28">
        <v>0</v>
      </c>
      <c r="Q346" s="27">
        <v>0</v>
      </c>
      <c r="R346" s="26">
        <v>384000</v>
      </c>
      <c r="S346" s="115">
        <f ca="1">IF(PROVEEDORES[[#This Row],[FECHA DE PAGO]]=0,TODAY()-PROVEEDORES[[#This Row],[FECHA DE FACTURACIÓN]]-PROVEEDORES[[#This Row],[PLAZO Días]],0)</f>
        <v>0</v>
      </c>
      <c r="T34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7" spans="1:20" ht="21.9" customHeight="1" x14ac:dyDescent="0.3">
      <c r="A347" s="113" t="str">
        <f>+IF(PROVEEDORES[[#This Row],[FECHA DE PAGO]]=PROVEEDORES[[#This Row],[FECHA DE FACTURACIÓN]],"DE CONTADO","CRÉDITO")</f>
        <v>CRÉDITO</v>
      </c>
      <c r="B347" s="51" t="str">
        <f>+IF((PROVEEDORES[[#This Row],[FECHA DE PAGO]]-PROVEEDORES[[#This Row],[FECHA DE FACTURACIÓN]])&gt;PROVEEDORES[[#This Row],[PLAZO Días]],"PAGO VENCIDO")</f>
        <v>PAGO VENCIDO</v>
      </c>
      <c r="C347" s="25">
        <f>+VLOOKUP(PROVEEDORES[[#This Row],[PROVEEDOR]],TERCEROS_INFO[#All],2,FALSE)</f>
        <v>30</v>
      </c>
      <c r="D347" s="30">
        <f>+SUMIFS(PROVEEDORES[Total],PROVEEDORES[PROVEEDOR],PROVEEDORES[[#This Row],[PROVEEDOR]],PROVEEDORES[FECHA DE PAGO],"")</f>
        <v>6482443.1751999995</v>
      </c>
      <c r="E347" s="30"/>
      <c r="F347" s="73" t="str">
        <f>+VLOOKUP(PROVEEDORES[[#This Row],[PROVEEDOR]],TERCEROS_INFO[[PROVEEDOR]:[CORREO]],5,FALSE)</f>
        <v>angela.navas@hyrdistribuciones.com;girlesa.ruiz@servipilas.com;joriescobar64@gmail.com</v>
      </c>
      <c r="G347" s="111">
        <v>44363</v>
      </c>
      <c r="H347" s="31" t="s">
        <v>360</v>
      </c>
      <c r="I347" s="111">
        <v>44323</v>
      </c>
      <c r="J347" s="48">
        <v>1037614</v>
      </c>
      <c r="K347" s="26">
        <v>3032760.12</v>
      </c>
      <c r="L347" s="26"/>
      <c r="M347" s="27">
        <v>576224.42280000006</v>
      </c>
      <c r="N347" s="28"/>
      <c r="O347" s="27">
        <v>0</v>
      </c>
      <c r="P347" s="28">
        <v>2.5000000000000001E-2</v>
      </c>
      <c r="Q347" s="27">
        <v>75819.003000000012</v>
      </c>
      <c r="R347" s="26">
        <v>3533165.5397999999</v>
      </c>
      <c r="S347" s="115">
        <f ca="1">IF(PROVEEDORES[[#This Row],[FECHA DE PAGO]]=0,TODAY()-PROVEEDORES[[#This Row],[FECHA DE FACTURACIÓN]]-PROVEEDORES[[#This Row],[PLAZO Días]],0)</f>
        <v>0</v>
      </c>
      <c r="T34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8" spans="1:20" ht="21.9" customHeight="1" x14ac:dyDescent="0.3">
      <c r="A348" s="113" t="str">
        <f>+IF(PROVEEDORES[[#This Row],[FECHA DE PAGO]]=PROVEEDORES[[#This Row],[FECHA DE FACTURACIÓN]],"DE CONTADO","CRÉDITO")</f>
        <v>CRÉDITO</v>
      </c>
      <c r="B348" s="51" t="b">
        <f>+IF((PROVEEDORES[[#This Row],[FECHA DE PAGO]]-PROVEEDORES[[#This Row],[FECHA DE FACTURACIÓN]])&gt;PROVEEDORES[[#This Row],[PLAZO Días]],"PAGO VENCIDO")</f>
        <v>0</v>
      </c>
      <c r="C348" s="25">
        <f>+VLOOKUP(PROVEEDORES[[#This Row],[PROVEEDOR]],TERCEROS_INFO[#All],2,FALSE)</f>
        <v>30</v>
      </c>
      <c r="D348" s="30">
        <f>+SUMIFS(PROVEEDORES[Total],PROVEEDORES[PROVEEDOR],PROVEEDORES[[#This Row],[PROVEEDOR]],PROVEEDORES[FECHA DE PAGO],"")</f>
        <v>0</v>
      </c>
      <c r="E348" s="30"/>
      <c r="F348" s="73" t="str">
        <f>+VLOOKUP(PROVEEDORES[[#This Row],[PROVEEDOR]],TERCEROS_INFO[[PROVEEDOR]:[CORREO]],5,FALSE)</f>
        <v>Fernando.Carmona@energizer.com;girlesa.ruiz@servipilas.com;joriescobar64@gmail.com</v>
      </c>
      <c r="G348" s="111">
        <v>44250</v>
      </c>
      <c r="H348" s="31" t="s">
        <v>47</v>
      </c>
      <c r="I348" s="111">
        <v>44323</v>
      </c>
      <c r="J348" s="48">
        <v>160217364</v>
      </c>
      <c r="K348" s="26">
        <v>6636590</v>
      </c>
      <c r="L348" s="26"/>
      <c r="M348" s="27">
        <v>1260952.1000000001</v>
      </c>
      <c r="N348" s="28"/>
      <c r="O348" s="27">
        <v>0</v>
      </c>
      <c r="P348" s="28">
        <v>0</v>
      </c>
      <c r="Q348" s="27">
        <v>0</v>
      </c>
      <c r="R348" s="26">
        <v>7897542.0999999996</v>
      </c>
      <c r="S348" s="115">
        <f ca="1">IF(PROVEEDORES[[#This Row],[FECHA DE PAGO]]=0,TODAY()-PROVEEDORES[[#This Row],[FECHA DE FACTURACIÓN]]-PROVEEDORES[[#This Row],[PLAZO Días]],0)</f>
        <v>0</v>
      </c>
      <c r="T3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49" spans="1:20" ht="21.9" customHeight="1" x14ac:dyDescent="0.3">
      <c r="A349" s="113" t="str">
        <f>+IF(PROVEEDORES[[#This Row],[FECHA DE PAGO]]=PROVEEDORES[[#This Row],[FECHA DE FACTURACIÓN]],"DE CONTADO","CRÉDITO")</f>
        <v>DE CONTADO</v>
      </c>
      <c r="B349" s="51" t="b">
        <f>+IF((PROVEEDORES[[#This Row],[FECHA DE PAGO]]-PROVEEDORES[[#This Row],[FECHA DE FACTURACIÓN]])&gt;PROVEEDORES[[#This Row],[PLAZO Días]],"PAGO VENCIDO")</f>
        <v>0</v>
      </c>
      <c r="C349" s="25">
        <f>+VLOOKUP(PROVEEDORES[[#This Row],[PROVEEDOR]],TERCEROS_INFO[#All],2,FALSE)</f>
        <v>30</v>
      </c>
      <c r="D349" s="30">
        <f>+SUMIFS(PROVEEDORES[Total],PROVEEDORES[PROVEEDOR],PROVEEDORES[[#This Row],[PROVEEDOR]],PROVEEDORES[FECHA DE PAGO],"")</f>
        <v>452687.9</v>
      </c>
      <c r="E349" s="30"/>
      <c r="F349" s="73" t="str">
        <f>+VLOOKUP(PROVEEDORES[[#This Row],[PROVEEDOR]],TERCEROS_INFO[[PROVEEDOR]:[CORREO]],5,FALSE)</f>
        <v>soluenergiacentro@une.net.co;girlesa.ruiz@servipilas.com;joriescobar64@gmail.com</v>
      </c>
      <c r="G349" s="111">
        <v>44326</v>
      </c>
      <c r="H349" s="31" t="s">
        <v>39</v>
      </c>
      <c r="I349" s="111">
        <v>44326</v>
      </c>
      <c r="J349" s="48" t="s">
        <v>361</v>
      </c>
      <c r="K349" s="26">
        <v>75900</v>
      </c>
      <c r="L349" s="26"/>
      <c r="M349" s="27">
        <v>14421</v>
      </c>
      <c r="N349" s="28"/>
      <c r="O349" s="27">
        <v>0</v>
      </c>
      <c r="P349" s="28">
        <v>0</v>
      </c>
      <c r="Q349" s="27">
        <v>0</v>
      </c>
      <c r="R349" s="26">
        <v>90321</v>
      </c>
      <c r="S349" s="115">
        <f ca="1">IF(PROVEEDORES[[#This Row],[FECHA DE PAGO]]=0,TODAY()-PROVEEDORES[[#This Row],[FECHA DE FACTURACIÓN]]-PROVEEDORES[[#This Row],[PLAZO Días]],0)</f>
        <v>0</v>
      </c>
      <c r="T34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0" spans="1:20" ht="21.9" customHeight="1" x14ac:dyDescent="0.3">
      <c r="A350" s="113" t="str">
        <f>+IF(PROVEEDORES[[#This Row],[FECHA DE PAGO]]=PROVEEDORES[[#This Row],[FECHA DE FACTURACIÓN]],"DE CONTADO","CRÉDITO")</f>
        <v>DE CONTADO</v>
      </c>
      <c r="B350" s="51" t="b">
        <f>+IF((PROVEEDORES[[#This Row],[FECHA DE PAGO]]-PROVEEDORES[[#This Row],[FECHA DE FACTURACIÓN]])&gt;PROVEEDORES[[#This Row],[PLAZO Días]],"PAGO VENCIDO")</f>
        <v>0</v>
      </c>
      <c r="C350" s="25">
        <f>+VLOOKUP(PROVEEDORES[[#This Row],[PROVEEDOR]],TERCEROS_INFO[#All],2,FALSE)</f>
        <v>30</v>
      </c>
      <c r="D350" s="30">
        <f>+SUMIFS(PROVEEDORES[Total],PROVEEDORES[PROVEEDOR],PROVEEDORES[[#This Row],[PROVEEDOR]],PROVEEDORES[FECHA DE PAGO],"")</f>
        <v>0</v>
      </c>
      <c r="E350" s="30"/>
      <c r="F350" s="73" t="str">
        <f>+VLOOKUP(PROVEEDORES[[#This Row],[PROVEEDOR]],TERCEROS_INFO[[PROVEEDOR]:[CORREO]],5,FALSE)</f>
        <v/>
      </c>
      <c r="G350" s="111">
        <v>44327</v>
      </c>
      <c r="H350" s="31" t="s">
        <v>37</v>
      </c>
      <c r="I350" s="111">
        <v>44327</v>
      </c>
      <c r="J350" s="48">
        <v>3391</v>
      </c>
      <c r="K350" s="26">
        <v>392000</v>
      </c>
      <c r="L350" s="26"/>
      <c r="M350" s="27">
        <v>74480</v>
      </c>
      <c r="N350" s="28"/>
      <c r="O350" s="27">
        <v>0</v>
      </c>
      <c r="P350" s="28">
        <v>0</v>
      </c>
      <c r="Q350" s="27">
        <v>0</v>
      </c>
      <c r="R350" s="26">
        <v>466480</v>
      </c>
      <c r="S350" s="115">
        <f ca="1">IF(PROVEEDORES[[#This Row],[FECHA DE PAGO]]=0,TODAY()-PROVEEDORES[[#This Row],[FECHA DE FACTURACIÓN]]-PROVEEDORES[[#This Row],[PLAZO Días]],0)</f>
        <v>0</v>
      </c>
      <c r="T35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1" spans="1:20" ht="21.9" customHeight="1" x14ac:dyDescent="0.3">
      <c r="A351" s="113" t="str">
        <f>+IF(PROVEEDORES[[#This Row],[FECHA DE PAGO]]=PROVEEDORES[[#This Row],[FECHA DE FACTURACIÓN]],"DE CONTADO","CRÉDITO")</f>
        <v>DE CONTADO</v>
      </c>
      <c r="B351" s="51" t="b">
        <f>+IF((PROVEEDORES[[#This Row],[FECHA DE PAGO]]-PROVEEDORES[[#This Row],[FECHA DE FACTURACIÓN]])&gt;PROVEEDORES[[#This Row],[PLAZO Días]],"PAGO VENCIDO")</f>
        <v>0</v>
      </c>
      <c r="C351" s="25">
        <f>+VLOOKUP(PROVEEDORES[[#This Row],[PROVEEDOR]],TERCEROS_INFO[#All],2,FALSE)</f>
        <v>30</v>
      </c>
      <c r="D351" s="30">
        <f>+SUMIFS(PROVEEDORES[Total],PROVEEDORES[PROVEEDOR],PROVEEDORES[[#This Row],[PROVEEDOR]],PROVEEDORES[FECHA DE PAGO],"")</f>
        <v>0</v>
      </c>
      <c r="E351" s="30"/>
      <c r="F351" s="73" t="str">
        <f>+VLOOKUP(PROVEEDORES[[#This Row],[PROVEEDOR]],TERCEROS_INFO[[PROVEEDOR]:[CORREO]],5,FALSE)</f>
        <v/>
      </c>
      <c r="G351" s="111">
        <v>44327</v>
      </c>
      <c r="H351" s="31" t="s">
        <v>1052</v>
      </c>
      <c r="I351" s="111">
        <v>44327</v>
      </c>
      <c r="J351" s="48"/>
      <c r="K351" s="26">
        <v>500000</v>
      </c>
      <c r="L351" s="26"/>
      <c r="M351" s="27">
        <v>0</v>
      </c>
      <c r="N351" s="28"/>
      <c r="O351" s="27">
        <v>0</v>
      </c>
      <c r="P351" s="28">
        <v>0</v>
      </c>
      <c r="Q351" s="27">
        <v>0</v>
      </c>
      <c r="R351" s="26">
        <v>500000</v>
      </c>
      <c r="S351" s="115">
        <f ca="1">IF(PROVEEDORES[[#This Row],[FECHA DE PAGO]]=0,TODAY()-PROVEEDORES[[#This Row],[FECHA DE FACTURACIÓN]]-PROVEEDORES[[#This Row],[PLAZO Días]],0)</f>
        <v>0</v>
      </c>
      <c r="T35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2" spans="1:20" ht="21.9" customHeight="1" x14ac:dyDescent="0.3">
      <c r="A352" s="113" t="str">
        <f>+IF(PROVEEDORES[[#This Row],[FECHA DE PAGO]]=PROVEEDORES[[#This Row],[FECHA DE FACTURACIÓN]],"DE CONTADO","CRÉDITO")</f>
        <v>DE CONTADO</v>
      </c>
      <c r="B352" s="51" t="b">
        <f>+IF((PROVEEDORES[[#This Row],[FECHA DE PAGO]]-PROVEEDORES[[#This Row],[FECHA DE FACTURACIÓN]])&gt;PROVEEDORES[[#This Row],[PLAZO Días]],"PAGO VENCIDO")</f>
        <v>0</v>
      </c>
      <c r="C352" s="25">
        <f>+VLOOKUP(PROVEEDORES[[#This Row],[PROVEEDOR]],TERCEROS_INFO[#All],2,FALSE)</f>
        <v>30</v>
      </c>
      <c r="D352" s="30">
        <f>+SUMIFS(PROVEEDORES[Total],PROVEEDORES[PROVEEDOR],PROVEEDORES[[#This Row],[PROVEEDOR]],PROVEEDORES[FECHA DE PAGO],"")</f>
        <v>0</v>
      </c>
      <c r="E352" s="30"/>
      <c r="F352" s="73" t="str">
        <f>+VLOOKUP(PROVEEDORES[[#This Row],[PROVEEDOR]],TERCEROS_INFO[[PROVEEDOR]:[CORREO]],5,FALSE)</f>
        <v>judy.torres@movecargo.co;girlesa.ruiz@servipilas.com;joriescobar64@gmail.com</v>
      </c>
      <c r="G352" s="111">
        <v>44327</v>
      </c>
      <c r="H352" s="31" t="s">
        <v>367</v>
      </c>
      <c r="I352" s="111">
        <v>44327</v>
      </c>
      <c r="J352" s="48" t="s">
        <v>704</v>
      </c>
      <c r="K352" s="26">
        <v>6017000</v>
      </c>
      <c r="L352" s="26"/>
      <c r="M352" s="27">
        <v>0</v>
      </c>
      <c r="N352" s="28"/>
      <c r="O352" s="27">
        <v>0</v>
      </c>
      <c r="P352" s="28">
        <v>0</v>
      </c>
      <c r="Q352" s="27">
        <v>0</v>
      </c>
      <c r="R352" s="26">
        <v>6017000</v>
      </c>
      <c r="S352" s="115">
        <f ca="1">IF(PROVEEDORES[[#This Row],[FECHA DE PAGO]]=0,TODAY()-PROVEEDORES[[#This Row],[FECHA DE FACTURACIÓN]]-PROVEEDORES[[#This Row],[PLAZO Días]],0)</f>
        <v>0</v>
      </c>
      <c r="T3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3" spans="1:20" ht="21.9" customHeight="1" x14ac:dyDescent="0.3">
      <c r="A353" s="113" t="str">
        <f>+IF(PROVEEDORES[[#This Row],[FECHA DE PAGO]]=PROVEEDORES[[#This Row],[FECHA DE FACTURACIÓN]],"DE CONTADO","CRÉDITO")</f>
        <v>CRÉDITO</v>
      </c>
      <c r="B353" s="51" t="str">
        <f>+IF((PROVEEDORES[[#This Row],[FECHA DE PAGO]]-PROVEEDORES[[#This Row],[FECHA DE FACTURACIÓN]])&gt;PROVEEDORES[[#This Row],[PLAZO Días]],"PAGO VENCIDO")</f>
        <v>PAGO VENCIDO</v>
      </c>
      <c r="C353" s="25">
        <f>+VLOOKUP(PROVEEDORES[[#This Row],[PROVEEDOR]],TERCEROS_INFO[#All],2,FALSE)</f>
        <v>45</v>
      </c>
      <c r="D353" s="30">
        <f>+SUMIFS(PROVEEDORES[Total],PROVEEDORES[PROVEEDOR],PROVEEDORES[[#This Row],[PROVEEDOR]],PROVEEDORES[FECHA DE PAGO],"")</f>
        <v>1070024.2</v>
      </c>
      <c r="E353" s="30"/>
      <c r="F353" s="73" t="str">
        <f>+VLOOKUP(PROVEEDORES[[#This Row],[PROVEEDOR]],TERCEROS_INFO[[PROVEEDOR]:[CORREO]],5,FALSE)</f>
        <v>libardopineda@tronex.com;girlesa.ruiz@servipilas.com;joriescobar64@gmail.com</v>
      </c>
      <c r="G353" s="111">
        <v>44376</v>
      </c>
      <c r="H353" s="31" t="s">
        <v>10</v>
      </c>
      <c r="I353" s="111">
        <v>44328</v>
      </c>
      <c r="J353" s="48" t="s">
        <v>379</v>
      </c>
      <c r="K353" s="26">
        <v>-126000</v>
      </c>
      <c r="L353" s="26"/>
      <c r="M353" s="27">
        <v>-23940</v>
      </c>
      <c r="N353" s="28"/>
      <c r="O353" s="27">
        <v>0</v>
      </c>
      <c r="P353" s="28">
        <v>0</v>
      </c>
      <c r="Q353" s="27">
        <v>0</v>
      </c>
      <c r="R353" s="26">
        <v>-149940</v>
      </c>
      <c r="S353" s="115">
        <f ca="1">IF(PROVEEDORES[[#This Row],[FECHA DE PAGO]]=0,TODAY()-PROVEEDORES[[#This Row],[FECHA DE FACTURACIÓN]]-PROVEEDORES[[#This Row],[PLAZO Días]],0)</f>
        <v>0</v>
      </c>
      <c r="T35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4" spans="1:20" ht="21.9" customHeight="1" x14ac:dyDescent="0.3">
      <c r="A354" s="113" t="str">
        <f>+IF(PROVEEDORES[[#This Row],[FECHA DE PAGO]]=PROVEEDORES[[#This Row],[FECHA DE FACTURACIÓN]],"DE CONTADO","CRÉDITO")</f>
        <v>CRÉDITO</v>
      </c>
      <c r="B354" s="51" t="str">
        <f>+IF((PROVEEDORES[[#This Row],[FECHA DE PAGO]]-PROVEEDORES[[#This Row],[FECHA DE FACTURACIÓN]])&gt;PROVEEDORES[[#This Row],[PLAZO Días]],"PAGO VENCIDO")</f>
        <v>PAGO VENCIDO</v>
      </c>
      <c r="C354" s="25">
        <f>+VLOOKUP(PROVEEDORES[[#This Row],[PROVEEDOR]],TERCEROS_INFO[#All],2,FALSE)</f>
        <v>30</v>
      </c>
      <c r="D354" s="30">
        <f>+SUMIFS(PROVEEDORES[Total],PROVEEDORES[PROVEEDOR],PROVEEDORES[[#This Row],[PROVEEDOR]],PROVEEDORES[FECHA DE PAGO],"")</f>
        <v>3406</v>
      </c>
      <c r="E354" s="30"/>
      <c r="F354" s="73" t="str">
        <f>+VLOOKUP(PROVEEDORES[[#This Row],[PROVEEDOR]],TERCEROS_INFO[[PROVEEDOR]:[CORREO]],5,FALSE)</f>
        <v>ventas@ismartsas.com;girlesa.ruiz@servipilas.com;joriescobar64@gmail.com</v>
      </c>
      <c r="G354" s="111">
        <v>44370</v>
      </c>
      <c r="H354" s="31" t="s">
        <v>48</v>
      </c>
      <c r="I354" s="111">
        <v>44328</v>
      </c>
      <c r="J354" s="48">
        <v>28312</v>
      </c>
      <c r="K354" s="26">
        <v>377400</v>
      </c>
      <c r="L354" s="26"/>
      <c r="M354" s="27">
        <v>71706</v>
      </c>
      <c r="N354" s="28"/>
      <c r="O354" s="27">
        <v>0</v>
      </c>
      <c r="P354" s="28">
        <v>0</v>
      </c>
      <c r="Q354" s="27">
        <v>0</v>
      </c>
      <c r="R354" s="26">
        <v>449106</v>
      </c>
      <c r="S354" s="115">
        <f ca="1">IF(PROVEEDORES[[#This Row],[FECHA DE PAGO]]=0,TODAY()-PROVEEDORES[[#This Row],[FECHA DE FACTURACIÓN]]-PROVEEDORES[[#This Row],[PLAZO Días]],0)</f>
        <v>0</v>
      </c>
      <c r="T3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5" spans="1:20" ht="21.9" customHeight="1" x14ac:dyDescent="0.3">
      <c r="A355" s="113" t="str">
        <f>+IF(PROVEEDORES[[#This Row],[FECHA DE PAGO]]=PROVEEDORES[[#This Row],[FECHA DE FACTURACIÓN]],"DE CONTADO","CRÉDITO")</f>
        <v>CRÉDITO</v>
      </c>
      <c r="B355" s="51" t="str">
        <f>+IF((PROVEEDORES[[#This Row],[FECHA DE PAGO]]-PROVEEDORES[[#This Row],[FECHA DE FACTURACIÓN]])&gt;PROVEEDORES[[#This Row],[PLAZO Días]],"PAGO VENCIDO")</f>
        <v>PAGO VENCIDO</v>
      </c>
      <c r="C355" s="25">
        <f>+VLOOKUP(PROVEEDORES[[#This Row],[PROVEEDOR]],TERCEROS_INFO[#All],2,FALSE)</f>
        <v>45</v>
      </c>
      <c r="D355" s="30">
        <f>+SUMIFS(PROVEEDORES[Total],PROVEEDORES[PROVEEDOR],PROVEEDORES[[#This Row],[PROVEEDOR]],PROVEEDORES[FECHA DE PAGO],"")</f>
        <v>1070024.2</v>
      </c>
      <c r="E355" s="30"/>
      <c r="F355" s="73" t="str">
        <f>+VLOOKUP(PROVEEDORES[[#This Row],[PROVEEDOR]],TERCEROS_INFO[[PROVEEDOR]:[CORREO]],5,FALSE)</f>
        <v>libardopineda@tronex.com;girlesa.ruiz@servipilas.com;joriescobar64@gmail.com</v>
      </c>
      <c r="G355" s="111">
        <v>44389</v>
      </c>
      <c r="H355" s="31" t="s">
        <v>10</v>
      </c>
      <c r="I355" s="111">
        <v>44328</v>
      </c>
      <c r="J355" s="48" t="s">
        <v>375</v>
      </c>
      <c r="K355" s="26">
        <v>698200</v>
      </c>
      <c r="L355" s="26"/>
      <c r="M355" s="27">
        <v>132658</v>
      </c>
      <c r="N355" s="28"/>
      <c r="O355" s="27">
        <v>0</v>
      </c>
      <c r="P355" s="28">
        <v>0</v>
      </c>
      <c r="Q355" s="27">
        <v>0</v>
      </c>
      <c r="R355" s="26">
        <v>830858</v>
      </c>
      <c r="S355" s="115">
        <f ca="1">IF(PROVEEDORES[[#This Row],[FECHA DE PAGO]]=0,TODAY()-PROVEEDORES[[#This Row],[FECHA DE FACTURACIÓN]]-PROVEEDORES[[#This Row],[PLAZO Días]],0)</f>
        <v>0</v>
      </c>
      <c r="T3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6" spans="1:20" ht="21.9" customHeight="1" x14ac:dyDescent="0.3">
      <c r="A356" s="113" t="str">
        <f>+IF(PROVEEDORES[[#This Row],[FECHA DE PAGO]]=PROVEEDORES[[#This Row],[FECHA DE FACTURACIÓN]],"DE CONTADO","CRÉDITO")</f>
        <v>CRÉDITO</v>
      </c>
      <c r="B356" s="51" t="str">
        <f>+IF((PROVEEDORES[[#This Row],[FECHA DE PAGO]]-PROVEEDORES[[#This Row],[FECHA DE FACTURACIÓN]])&gt;PROVEEDORES[[#This Row],[PLAZO Días]],"PAGO VENCIDO")</f>
        <v>PAGO VENCIDO</v>
      </c>
      <c r="C356" s="25">
        <f>+VLOOKUP(PROVEEDORES[[#This Row],[PROVEEDOR]],TERCEROS_INFO[#All],2,FALSE)</f>
        <v>30</v>
      </c>
      <c r="D356" s="30">
        <f>+SUMIFS(PROVEEDORES[Total],PROVEEDORES[PROVEEDOR],PROVEEDORES[[#This Row],[PROVEEDOR]],PROVEEDORES[FECHA DE PAGO],"")</f>
        <v>0</v>
      </c>
      <c r="E356" s="30"/>
      <c r="F356" s="73" t="str">
        <f>+VLOOKUP(PROVEEDORES[[#This Row],[PROVEEDOR]],TERCEROS_INFO[[PROVEEDOR]:[CORREO]],5,FALSE)</f>
        <v>tesoreria@makingbusiness.com.co;girlesa.ruiz@servipilas.com;joriescobar64@gmail.com</v>
      </c>
      <c r="G356" s="111">
        <v>44385</v>
      </c>
      <c r="H356" s="31" t="s">
        <v>32</v>
      </c>
      <c r="I356" s="111">
        <v>44328</v>
      </c>
      <c r="J356" s="48">
        <v>3909</v>
      </c>
      <c r="K356" s="26">
        <v>1710840.35</v>
      </c>
      <c r="L356" s="26"/>
      <c r="M356" s="27">
        <v>325059.66650000005</v>
      </c>
      <c r="N356" s="28"/>
      <c r="O356" s="27">
        <v>0</v>
      </c>
      <c r="P356" s="28">
        <v>2.5000000000000001E-2</v>
      </c>
      <c r="Q356" s="27">
        <v>42771.008750000008</v>
      </c>
      <c r="R356" s="26">
        <v>1993129.0077500001</v>
      </c>
      <c r="S356" s="115">
        <f ca="1">IF(PROVEEDORES[[#This Row],[FECHA DE PAGO]]=0,TODAY()-PROVEEDORES[[#This Row],[FECHA DE FACTURACIÓN]]-PROVEEDORES[[#This Row],[PLAZO Días]],0)</f>
        <v>0</v>
      </c>
      <c r="T35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7" spans="1:20" ht="21.9" customHeight="1" x14ac:dyDescent="0.3">
      <c r="A357" s="113" t="str">
        <f>+IF(PROVEEDORES[[#This Row],[FECHA DE PAGO]]=PROVEEDORES[[#This Row],[FECHA DE FACTURACIÓN]],"DE CONTADO","CRÉDITO")</f>
        <v>CRÉDITO</v>
      </c>
      <c r="B357" s="51" t="str">
        <f>+IF((PROVEEDORES[[#This Row],[FECHA DE PAGO]]-PROVEEDORES[[#This Row],[FECHA DE FACTURACIÓN]])&gt;PROVEEDORES[[#This Row],[PLAZO Días]],"PAGO VENCIDO")</f>
        <v>PAGO VENCIDO</v>
      </c>
      <c r="C357" s="25">
        <f>+VLOOKUP(PROVEEDORES[[#This Row],[PROVEEDOR]],TERCEROS_INFO[#All],2,FALSE)</f>
        <v>30</v>
      </c>
      <c r="D357" s="30">
        <f>+SUMIFS(PROVEEDORES[Total],PROVEEDORES[PROVEEDOR],PROVEEDORES[[#This Row],[PROVEEDOR]],PROVEEDORES[FECHA DE PAGO],"")</f>
        <v>2324514.0150000001</v>
      </c>
      <c r="E357" s="30"/>
      <c r="F357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357" s="111">
        <v>44385</v>
      </c>
      <c r="H357" s="31" t="s">
        <v>24</v>
      </c>
      <c r="I357" s="111">
        <v>44328</v>
      </c>
      <c r="J357" s="48" t="s">
        <v>376</v>
      </c>
      <c r="K357" s="26">
        <v>2274202</v>
      </c>
      <c r="L357" s="26"/>
      <c r="M357" s="27">
        <v>432098.38</v>
      </c>
      <c r="N357" s="28"/>
      <c r="O357" s="27">
        <v>0</v>
      </c>
      <c r="P357" s="28">
        <v>2.5000000000000001E-2</v>
      </c>
      <c r="Q357" s="27">
        <v>56855.05</v>
      </c>
      <c r="R357" s="26">
        <v>2649445.33</v>
      </c>
      <c r="S357" s="115">
        <f ca="1">IF(PROVEEDORES[[#This Row],[FECHA DE PAGO]]=0,TODAY()-PROVEEDORES[[#This Row],[FECHA DE FACTURACIÓN]]-PROVEEDORES[[#This Row],[PLAZO Días]],0)</f>
        <v>0</v>
      </c>
      <c r="T35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8" spans="1:20" ht="21.9" customHeight="1" x14ac:dyDescent="0.3">
      <c r="A358" s="113" t="str">
        <f>+IF(PROVEEDORES[[#This Row],[FECHA DE PAGO]]=PROVEEDORES[[#This Row],[FECHA DE FACTURACIÓN]],"DE CONTADO","CRÉDITO")</f>
        <v>DE CONTADO</v>
      </c>
      <c r="B358" s="51" t="b">
        <f>+IF((PROVEEDORES[[#This Row],[FECHA DE PAGO]]-PROVEEDORES[[#This Row],[FECHA DE FACTURACIÓN]])&gt;PROVEEDORES[[#This Row],[PLAZO Días]],"PAGO VENCIDO")</f>
        <v>0</v>
      </c>
      <c r="C358" s="25">
        <f>+VLOOKUP(PROVEEDORES[[#This Row],[PROVEEDOR]],TERCEROS_INFO[#All],2,FALSE)</f>
        <v>30</v>
      </c>
      <c r="D358" s="30">
        <f>+SUMIFS(PROVEEDORES[Total],PROVEEDORES[PROVEEDOR],PROVEEDORES[[#This Row],[PROVEEDOR]],PROVEEDORES[FECHA DE PAGO],"")</f>
        <v>0</v>
      </c>
      <c r="E358" s="30"/>
      <c r="F358" s="73">
        <f>+VLOOKUP(PROVEEDORES[[#This Row],[PROVEEDOR]],TERCEROS_INFO[[PROVEEDOR]:[CORREO]],5,FALSE)</f>
        <v>0</v>
      </c>
      <c r="G358" s="111">
        <v>44329</v>
      </c>
      <c r="H358" s="31" t="s">
        <v>995</v>
      </c>
      <c r="I358" s="111">
        <v>44329</v>
      </c>
      <c r="J358" s="48" t="s">
        <v>705</v>
      </c>
      <c r="K358" s="26">
        <v>224000</v>
      </c>
      <c r="L358" s="26"/>
      <c r="M358" s="27">
        <v>0</v>
      </c>
      <c r="N358" s="28"/>
      <c r="O358" s="27">
        <v>0</v>
      </c>
      <c r="P358" s="28">
        <v>0</v>
      </c>
      <c r="Q358" s="27">
        <v>0</v>
      </c>
      <c r="R358" s="26">
        <v>224000</v>
      </c>
      <c r="S358" s="115">
        <f ca="1">IF(PROVEEDORES[[#This Row],[FECHA DE PAGO]]=0,TODAY()-PROVEEDORES[[#This Row],[FECHA DE FACTURACIÓN]]-PROVEEDORES[[#This Row],[PLAZO Días]],0)</f>
        <v>0</v>
      </c>
      <c r="T35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59" spans="1:20" ht="21.9" customHeight="1" x14ac:dyDescent="0.3">
      <c r="A359" s="113" t="str">
        <f>+IF(PROVEEDORES[[#This Row],[FECHA DE PAGO]]=PROVEEDORES[[#This Row],[FECHA DE FACTURACIÓN]],"DE CONTADO","CRÉDITO")</f>
        <v>CRÉDITO</v>
      </c>
      <c r="B359" s="51" t="b">
        <f>+IF((PROVEEDORES[[#This Row],[FECHA DE PAGO]]-PROVEEDORES[[#This Row],[FECHA DE FACTURACIÓN]])&gt;PROVEEDORES[[#This Row],[PLAZO Días]],"PAGO VENCIDO")</f>
        <v>0</v>
      </c>
      <c r="C359" s="25">
        <f>+VLOOKUP(PROVEEDORES[[#This Row],[PROVEEDOR]],TERCEROS_INFO[#All],2,FALSE)</f>
        <v>90</v>
      </c>
      <c r="D359" s="30">
        <f>+SUMIFS(PROVEEDORES[Total],PROVEEDORES[PROVEEDOR],PROVEEDORES[[#This Row],[PROVEEDOR]],PROVEEDORES[FECHA DE PAGO],"")</f>
        <v>26364243.66155</v>
      </c>
      <c r="E359" s="30"/>
      <c r="F359" s="73" t="str">
        <f>+VLOOKUP(PROVEEDORES[[#This Row],[PROVEEDOR]],TERCEROS_INFO[[PROVEEDOR]:[CORREO]],5,FALSE)</f>
        <v>javiergomez_72@hotmail.com ;girlesa.ruiz@servipilas.com;joriescobar64@gmail.com</v>
      </c>
      <c r="G359" s="111">
        <v>44351</v>
      </c>
      <c r="H359" s="31" t="s">
        <v>12</v>
      </c>
      <c r="I359" s="111">
        <v>44330</v>
      </c>
      <c r="J359" s="48" t="s">
        <v>369</v>
      </c>
      <c r="K359" s="26">
        <v>-134454</v>
      </c>
      <c r="L359" s="26"/>
      <c r="M359" s="27">
        <v>-25546.260000000002</v>
      </c>
      <c r="N359" s="28"/>
      <c r="O359" s="27">
        <v>0</v>
      </c>
      <c r="P359" s="28">
        <v>2.5000000000000001E-2</v>
      </c>
      <c r="Q359" s="27">
        <v>-3361.3500000000004</v>
      </c>
      <c r="R359" s="26">
        <v>-156638.91</v>
      </c>
      <c r="S359" s="115">
        <f ca="1">IF(PROVEEDORES[[#This Row],[FECHA DE PAGO]]=0,TODAY()-PROVEEDORES[[#This Row],[FECHA DE FACTURACIÓN]]-PROVEEDORES[[#This Row],[PLAZO Días]],0)</f>
        <v>0</v>
      </c>
      <c r="T3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0" spans="1:20" ht="21.9" customHeight="1" x14ac:dyDescent="0.3">
      <c r="A360" s="113" t="str">
        <f>+IF(PROVEEDORES[[#This Row],[FECHA DE PAGO]]=PROVEEDORES[[#This Row],[FECHA DE FACTURACIÓN]],"DE CONTADO","CRÉDITO")</f>
        <v>CRÉDITO</v>
      </c>
      <c r="B360" s="51" t="b">
        <f>+IF((PROVEEDORES[[#This Row],[FECHA DE PAGO]]-PROVEEDORES[[#This Row],[FECHA DE FACTURACIÓN]])&gt;PROVEEDORES[[#This Row],[PLAZO Días]],"PAGO VENCIDO")</f>
        <v>0</v>
      </c>
      <c r="C360" s="25">
        <f>+VLOOKUP(PROVEEDORES[[#This Row],[PROVEEDOR]],TERCEROS_INFO[#All],2,FALSE)</f>
        <v>13</v>
      </c>
      <c r="D360" s="30">
        <f>+SUMIFS(PROVEEDORES[Total],PROVEEDORES[PROVEEDOR],PROVEEDORES[[#This Row],[PROVEEDOR]],PROVEEDORES[FECHA DE PAGO],"")</f>
        <v>0</v>
      </c>
      <c r="E360" s="30"/>
      <c r="F360" s="73">
        <f>+VLOOKUP(PROVEEDORES[[#This Row],[PROVEEDOR]],TERCEROS_INFO[[PROVEEDOR]:[CORREO]],5,FALSE)</f>
        <v>0</v>
      </c>
      <c r="G360" s="111">
        <v>44340</v>
      </c>
      <c r="H360" s="31" t="s">
        <v>329</v>
      </c>
      <c r="I360" s="111">
        <v>44331</v>
      </c>
      <c r="J360" s="48" t="s">
        <v>331</v>
      </c>
      <c r="K360" s="26">
        <v>313385</v>
      </c>
      <c r="L360" s="26"/>
      <c r="M360" s="27">
        <v>0</v>
      </c>
      <c r="N360" s="28"/>
      <c r="O360" s="27">
        <v>0</v>
      </c>
      <c r="P360" s="28">
        <v>0</v>
      </c>
      <c r="Q360" s="27">
        <v>0</v>
      </c>
      <c r="R360" s="26">
        <v>313385</v>
      </c>
      <c r="S360" s="115">
        <f ca="1">IF(PROVEEDORES[[#This Row],[FECHA DE PAGO]]=0,TODAY()-PROVEEDORES[[#This Row],[FECHA DE FACTURACIÓN]]-PROVEEDORES[[#This Row],[PLAZO Días]],0)</f>
        <v>0</v>
      </c>
      <c r="T36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1" spans="1:20" ht="21.9" customHeight="1" x14ac:dyDescent="0.3">
      <c r="A361" s="113" t="str">
        <f>+IF(PROVEEDORES[[#This Row],[FECHA DE PAGO]]=PROVEEDORES[[#This Row],[FECHA DE FACTURACIÓN]],"DE CONTADO","CRÉDITO")</f>
        <v>DE CONTADO</v>
      </c>
      <c r="B361" s="51" t="b">
        <f>+IF((PROVEEDORES[[#This Row],[FECHA DE PAGO]]-PROVEEDORES[[#This Row],[FECHA DE FACTURACIÓN]])&gt;PROVEEDORES[[#This Row],[PLAZO Días]],"PAGO VENCIDO")</f>
        <v>0</v>
      </c>
      <c r="C361" s="25">
        <f>+VLOOKUP(PROVEEDORES[[#This Row],[PROVEEDOR]],TERCEROS_INFO[#All],2,FALSE)</f>
        <v>30</v>
      </c>
      <c r="D361" s="30">
        <f>+SUMIFS(PROVEEDORES[Total],PROVEEDORES[PROVEEDOR],PROVEEDORES[[#This Row],[PROVEEDOR]],PROVEEDORES[FECHA DE PAGO],"")</f>
        <v>0</v>
      </c>
      <c r="E361" s="30"/>
      <c r="F361" s="73" t="str">
        <f>+VLOOKUP(PROVEEDORES[[#This Row],[PROVEEDOR]],TERCEROS_INFO[[PROVEEDOR]:[CORREO]],5,FALSE)</f>
        <v/>
      </c>
      <c r="G361" s="111">
        <v>44331</v>
      </c>
      <c r="H361" s="31" t="s">
        <v>1052</v>
      </c>
      <c r="I361" s="111">
        <v>44331</v>
      </c>
      <c r="J361" s="48"/>
      <c r="K361" s="26">
        <v>600000</v>
      </c>
      <c r="L361" s="26"/>
      <c r="M361" s="27">
        <v>0</v>
      </c>
      <c r="N361" s="28"/>
      <c r="O361" s="27">
        <v>0</v>
      </c>
      <c r="P361" s="28">
        <v>0</v>
      </c>
      <c r="Q361" s="27">
        <v>0</v>
      </c>
      <c r="R361" s="26">
        <v>600000</v>
      </c>
      <c r="S361" s="115">
        <f ca="1">IF(PROVEEDORES[[#This Row],[FECHA DE PAGO]]=0,TODAY()-PROVEEDORES[[#This Row],[FECHA DE FACTURACIÓN]]-PROVEEDORES[[#This Row],[PLAZO Días]],0)</f>
        <v>0</v>
      </c>
      <c r="T36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2" spans="1:20" ht="21.9" customHeight="1" x14ac:dyDescent="0.3">
      <c r="A362" s="113" t="str">
        <f>+IF(PROVEEDORES[[#This Row],[FECHA DE PAGO]]=PROVEEDORES[[#This Row],[FECHA DE FACTURACIÓN]],"DE CONTADO","CRÉDITO")</f>
        <v>CRÉDITO</v>
      </c>
      <c r="B362" s="51" t="b">
        <f>+IF((PROVEEDORES[[#This Row],[FECHA DE PAGO]]-PROVEEDORES[[#This Row],[FECHA DE FACTURACIÓN]])&gt;PROVEEDORES[[#This Row],[PLAZO Días]],"PAGO VENCIDO")</f>
        <v>0</v>
      </c>
      <c r="C362" s="25">
        <f>+VLOOKUP(PROVEEDORES[[#This Row],[PROVEEDOR]],TERCEROS_INFO[#All],2,FALSE)</f>
        <v>20</v>
      </c>
      <c r="D362" s="30">
        <f>+SUMIFS(PROVEEDORES[Total],PROVEEDORES[PROVEEDOR],PROVEEDORES[[#This Row],[PROVEEDOR]],PROVEEDORES[FECHA DE PAGO],"")</f>
        <v>0</v>
      </c>
      <c r="E362" s="30"/>
      <c r="F362" s="73" t="str">
        <f>+VLOOKUP(PROVEEDORES[[#This Row],[PROVEEDOR]],TERCEROS_INFO[[PROVEEDOR]:[CORREO]],5,FALSE)</f>
        <v>bog.fa1@pressex.co;bog.fm1@pressex.co;kbaumgartner@pressex.co;girlesa.ruiz@servipilas.com;joriescobar64@gmail.com</v>
      </c>
      <c r="G362" s="111">
        <v>44341</v>
      </c>
      <c r="H362" s="31" t="s">
        <v>448</v>
      </c>
      <c r="I362" s="111">
        <v>44334</v>
      </c>
      <c r="J362" s="48" t="s">
        <v>707</v>
      </c>
      <c r="K362" s="26">
        <v>205300</v>
      </c>
      <c r="L362" s="26"/>
      <c r="M362" s="27">
        <v>0</v>
      </c>
      <c r="N362" s="28"/>
      <c r="O362" s="27">
        <v>0</v>
      </c>
      <c r="P362" s="28">
        <v>0.01</v>
      </c>
      <c r="Q362" s="27">
        <v>2053</v>
      </c>
      <c r="R362" s="26">
        <v>203247</v>
      </c>
      <c r="S362" s="115">
        <f ca="1">IF(PROVEEDORES[[#This Row],[FECHA DE PAGO]]=0,TODAY()-PROVEEDORES[[#This Row],[FECHA DE FACTURACIÓN]]-PROVEEDORES[[#This Row],[PLAZO Días]],0)</f>
        <v>0</v>
      </c>
      <c r="T3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3" spans="1:20" ht="21.9" customHeight="1" x14ac:dyDescent="0.3">
      <c r="A363" s="113" t="str">
        <f>+IF(PROVEEDORES[[#This Row],[FECHA DE PAGO]]=PROVEEDORES[[#This Row],[FECHA DE FACTURACIÓN]],"DE CONTADO","CRÉDITO")</f>
        <v>DE CONTADO</v>
      </c>
      <c r="B363" s="51" t="b">
        <f>+IF((PROVEEDORES[[#This Row],[FECHA DE PAGO]]-PROVEEDORES[[#This Row],[FECHA DE FACTURACIÓN]])&gt;PROVEEDORES[[#This Row],[PLAZO Días]],"PAGO VENCIDO")</f>
        <v>0</v>
      </c>
      <c r="C363" s="25">
        <f>+VLOOKUP(PROVEEDORES[[#This Row],[PROVEEDOR]],TERCEROS_INFO[#All],2,FALSE)</f>
        <v>30</v>
      </c>
      <c r="D363" s="30">
        <f>+SUMIFS(PROVEEDORES[Total],PROVEEDORES[PROVEEDOR],PROVEEDORES[[#This Row],[PROVEEDOR]],PROVEEDORES[FECHA DE PAGO],"")</f>
        <v>0</v>
      </c>
      <c r="E363" s="30"/>
      <c r="F363" s="73" t="str">
        <f>+VLOOKUP(PROVEEDORES[[#This Row],[PROVEEDOR]],TERCEROS_INFO[[PROVEEDOR]:[CORREO]],5,FALSE)</f>
        <v/>
      </c>
      <c r="G363" s="111">
        <v>44334</v>
      </c>
      <c r="H363" s="31" t="s">
        <v>1037</v>
      </c>
      <c r="I363" s="111">
        <v>44334</v>
      </c>
      <c r="J363" s="48" t="s">
        <v>706</v>
      </c>
      <c r="K363" s="26">
        <v>376000</v>
      </c>
      <c r="L363" s="26"/>
      <c r="M363" s="27">
        <v>0</v>
      </c>
      <c r="N363" s="28"/>
      <c r="O363" s="27">
        <v>0</v>
      </c>
      <c r="P363" s="28">
        <v>0</v>
      </c>
      <c r="Q363" s="27">
        <v>0</v>
      </c>
      <c r="R363" s="26">
        <v>376000</v>
      </c>
      <c r="S363" s="115">
        <f ca="1">IF(PROVEEDORES[[#This Row],[FECHA DE PAGO]]=0,TODAY()-PROVEEDORES[[#This Row],[FECHA DE FACTURACIÓN]]-PROVEEDORES[[#This Row],[PLAZO Días]],0)</f>
        <v>0</v>
      </c>
      <c r="T3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4" spans="1:20" ht="21.9" customHeight="1" x14ac:dyDescent="0.3">
      <c r="A364" s="113" t="str">
        <f>+IF(PROVEEDORES[[#This Row],[FECHA DE PAGO]]=PROVEEDORES[[#This Row],[FECHA DE FACTURACIÓN]],"DE CONTADO","CRÉDITO")</f>
        <v>CRÉDITO</v>
      </c>
      <c r="B364" s="51" t="b">
        <f>+IF((PROVEEDORES[[#This Row],[FECHA DE PAGO]]-PROVEEDORES[[#This Row],[FECHA DE FACTURACIÓN]])&gt;PROVEEDORES[[#This Row],[PLAZO Días]],"PAGO VENCIDO")</f>
        <v>0</v>
      </c>
      <c r="C364" s="25">
        <f>+VLOOKUP(PROVEEDORES[[#This Row],[PROVEEDOR]],TERCEROS_INFO[#All],2,FALSE)</f>
        <v>30</v>
      </c>
      <c r="D364" s="30">
        <f>+SUMIFS(PROVEEDORES[Total],PROVEEDORES[PROVEEDOR],PROVEEDORES[[#This Row],[PROVEEDOR]],PROVEEDORES[FECHA DE PAGO],"")</f>
        <v>1645000</v>
      </c>
      <c r="E364" s="30"/>
      <c r="F364" s="73" t="str">
        <f>+VLOOKUP(PROVEEDORES[[#This Row],[PROVEEDOR]],TERCEROS_INFO[[PROVEEDOR]:[CORREO]],5,FALSE)</f>
        <v/>
      </c>
      <c r="G364" s="111">
        <v>44355</v>
      </c>
      <c r="H364" s="31" t="s">
        <v>1070</v>
      </c>
      <c r="I364" s="111">
        <v>44335</v>
      </c>
      <c r="J364" s="48" t="s">
        <v>709</v>
      </c>
      <c r="K364" s="26">
        <v>490000</v>
      </c>
      <c r="L364" s="26"/>
      <c r="M364" s="27">
        <v>0</v>
      </c>
      <c r="N364" s="28"/>
      <c r="O364" s="27">
        <v>0</v>
      </c>
      <c r="P364" s="28">
        <v>0</v>
      </c>
      <c r="Q364" s="27">
        <v>0</v>
      </c>
      <c r="R364" s="26">
        <v>490000</v>
      </c>
      <c r="S364" s="115">
        <f ca="1">IF(PROVEEDORES[[#This Row],[FECHA DE PAGO]]=0,TODAY()-PROVEEDORES[[#This Row],[FECHA DE FACTURACIÓN]]-PROVEEDORES[[#This Row],[PLAZO Días]],0)</f>
        <v>0</v>
      </c>
      <c r="T3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5" spans="1:20" ht="21.9" customHeight="1" x14ac:dyDescent="0.3">
      <c r="A365" s="113" t="str">
        <f>+IF(PROVEEDORES[[#This Row],[FECHA DE PAGO]]=PROVEEDORES[[#This Row],[FECHA DE FACTURACIÓN]],"DE CONTADO","CRÉDITO")</f>
        <v>CRÉDITO</v>
      </c>
      <c r="B365" s="51" t="str">
        <f>+IF((PROVEEDORES[[#This Row],[FECHA DE PAGO]]-PROVEEDORES[[#This Row],[FECHA DE FACTURACIÓN]])&gt;PROVEEDORES[[#This Row],[PLAZO Días]],"PAGO VENCIDO")</f>
        <v>PAGO VENCIDO</v>
      </c>
      <c r="C365" s="25">
        <f>+VLOOKUP(PROVEEDORES[[#This Row],[PROVEEDOR]],TERCEROS_INFO[#All],2,FALSE)</f>
        <v>30</v>
      </c>
      <c r="D365" s="30">
        <f>+SUMIFS(PROVEEDORES[Total],PROVEEDORES[PROVEEDOR],PROVEEDORES[[#This Row],[PROVEEDOR]],PROVEEDORES[FECHA DE PAGO],"")</f>
        <v>0</v>
      </c>
      <c r="E365" s="30"/>
      <c r="F365" s="73" t="str">
        <f>+VLOOKUP(PROVEEDORES[[#This Row],[PROVEEDOR]],TERCEROS_INFO[[PROVEEDOR]:[CORREO]],5,FALSE)</f>
        <v>yermingg@hotmail.com;girlesa.ruiz@servipilas.com;joriescobar64@gmail.com</v>
      </c>
      <c r="G365" s="111">
        <v>44411</v>
      </c>
      <c r="H365" s="31" t="s">
        <v>1085</v>
      </c>
      <c r="I365" s="111">
        <v>44335</v>
      </c>
      <c r="J365" s="48" t="s">
        <v>710</v>
      </c>
      <c r="K365" s="26">
        <v>780000</v>
      </c>
      <c r="L365" s="26"/>
      <c r="M365" s="27">
        <v>0</v>
      </c>
      <c r="N365" s="28"/>
      <c r="O365" s="27">
        <v>0</v>
      </c>
      <c r="P365" s="28">
        <v>0</v>
      </c>
      <c r="Q365" s="27">
        <v>0</v>
      </c>
      <c r="R365" s="26">
        <v>780000</v>
      </c>
      <c r="S365" s="115">
        <f ca="1">IF(PROVEEDORES[[#This Row],[FECHA DE PAGO]]=0,TODAY()-PROVEEDORES[[#This Row],[FECHA DE FACTURACIÓN]]-PROVEEDORES[[#This Row],[PLAZO Días]],0)</f>
        <v>0</v>
      </c>
      <c r="T3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6" spans="1:20" ht="21.9" customHeight="1" x14ac:dyDescent="0.3">
      <c r="A366" s="113" t="str">
        <f>+IF(PROVEEDORES[[#This Row],[FECHA DE PAGO]]=PROVEEDORES[[#This Row],[FECHA DE FACTURACIÓN]],"DE CONTADO","CRÉDITO")</f>
        <v>CRÉDITO</v>
      </c>
      <c r="B366" s="51" t="b">
        <f>+IF((PROVEEDORES[[#This Row],[FECHA DE PAGO]]-PROVEEDORES[[#This Row],[FECHA DE FACTURACIÓN]])&gt;PROVEEDORES[[#This Row],[PLAZO Días]],"PAGO VENCIDO")</f>
        <v>0</v>
      </c>
      <c r="C366" s="25">
        <f>+VLOOKUP(PROVEEDORES[[#This Row],[PROVEEDOR]],TERCEROS_INFO[#All],2,FALSE)</f>
        <v>30</v>
      </c>
      <c r="D366" s="30">
        <f>+SUMIFS(PROVEEDORES[Total],PROVEEDORES[PROVEEDOR],PROVEEDORES[[#This Row],[PROVEEDOR]],PROVEEDORES[FECHA DE PAGO],"")</f>
        <v>0</v>
      </c>
      <c r="E366" s="30"/>
      <c r="F366" s="73" t="str">
        <f>+VLOOKUP(PROVEEDORES[[#This Row],[PROVEEDOR]],TERCEROS_INFO[[PROVEEDOR]:[CORREO]],5,FALSE)</f>
        <v/>
      </c>
      <c r="G366" s="111">
        <v>44336</v>
      </c>
      <c r="H366" s="31" t="s">
        <v>1075</v>
      </c>
      <c r="I366" s="111">
        <v>44335</v>
      </c>
      <c r="J366" s="48">
        <v>628478</v>
      </c>
      <c r="K366" s="26">
        <v>2327596</v>
      </c>
      <c r="L366" s="26"/>
      <c r="M366" s="27">
        <v>0</v>
      </c>
      <c r="N366" s="28"/>
      <c r="O366" s="27">
        <v>0</v>
      </c>
      <c r="P366" s="28">
        <v>0</v>
      </c>
      <c r="Q366" s="27">
        <v>0</v>
      </c>
      <c r="R366" s="26">
        <v>2327596</v>
      </c>
      <c r="S366" s="115">
        <f ca="1">IF(PROVEEDORES[[#This Row],[FECHA DE PAGO]]=0,TODAY()-PROVEEDORES[[#This Row],[FECHA DE FACTURACIÓN]]-PROVEEDORES[[#This Row],[PLAZO Días]],0)</f>
        <v>0</v>
      </c>
      <c r="T36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7" spans="1:20" ht="21.9" customHeight="1" x14ac:dyDescent="0.3">
      <c r="A367" s="113" t="str">
        <f>+IF(PROVEEDORES[[#This Row],[FECHA DE PAGO]]=PROVEEDORES[[#This Row],[FECHA DE FACTURACIÓN]],"DE CONTADO","CRÉDITO")</f>
        <v>DE CONTADO</v>
      </c>
      <c r="B367" s="51" t="b">
        <f>+IF((PROVEEDORES[[#This Row],[FECHA DE PAGO]]-PROVEEDORES[[#This Row],[FECHA DE FACTURACIÓN]])&gt;PROVEEDORES[[#This Row],[PLAZO Días]],"PAGO VENCIDO")</f>
        <v>0</v>
      </c>
      <c r="C367" s="25">
        <f>+VLOOKUP(PROVEEDORES[[#This Row],[PROVEEDOR]],TERCEROS_INFO[#All],2,FALSE)</f>
        <v>30</v>
      </c>
      <c r="D367" s="30">
        <f>+SUMIFS(PROVEEDORES[Total],PROVEEDORES[PROVEEDOR],PROVEEDORES[[#This Row],[PROVEEDOR]],PROVEEDORES[FECHA DE PAGO],"")</f>
        <v>0</v>
      </c>
      <c r="E367" s="30"/>
      <c r="F367" s="73" t="str">
        <f>+VLOOKUP(PROVEEDORES[[#This Row],[PROVEEDOR]],TERCEROS_INFO[[PROVEEDOR]:[CORREO]],5,FALSE)</f>
        <v/>
      </c>
      <c r="G367" s="111">
        <v>44335</v>
      </c>
      <c r="H367" s="31" t="s">
        <v>1007</v>
      </c>
      <c r="I367" s="111">
        <v>44335</v>
      </c>
      <c r="J367" s="48" t="s">
        <v>708</v>
      </c>
      <c r="K367" s="26">
        <v>4819000</v>
      </c>
      <c r="L367" s="26"/>
      <c r="M367" s="27">
        <v>0</v>
      </c>
      <c r="N367" s="28"/>
      <c r="O367" s="27">
        <v>0</v>
      </c>
      <c r="P367" s="28">
        <v>0</v>
      </c>
      <c r="Q367" s="27">
        <v>0</v>
      </c>
      <c r="R367" s="26">
        <v>4819000</v>
      </c>
      <c r="S367" s="115">
        <f ca="1">IF(PROVEEDORES[[#This Row],[FECHA DE PAGO]]=0,TODAY()-PROVEEDORES[[#This Row],[FECHA DE FACTURACIÓN]]-PROVEEDORES[[#This Row],[PLAZO Días]],0)</f>
        <v>0</v>
      </c>
      <c r="T3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8" spans="1:20" ht="21.9" customHeight="1" x14ac:dyDescent="0.3">
      <c r="A368" s="113" t="str">
        <f>+IF(PROVEEDORES[[#This Row],[FECHA DE PAGO]]=PROVEEDORES[[#This Row],[FECHA DE FACTURACIÓN]],"DE CONTADO","CRÉDITO")</f>
        <v>DE CONTADO</v>
      </c>
      <c r="B368" s="51" t="b">
        <f>+IF((PROVEEDORES[[#This Row],[FECHA DE PAGO]]-PROVEEDORES[[#This Row],[FECHA DE FACTURACIÓN]])&gt;PROVEEDORES[[#This Row],[PLAZO Días]],"PAGO VENCIDO")</f>
        <v>0</v>
      </c>
      <c r="C368" s="25">
        <f>+VLOOKUP(PROVEEDORES[[#This Row],[PROVEEDOR]],TERCEROS_INFO[#All],2,FALSE)</f>
        <v>30</v>
      </c>
      <c r="D368" s="30">
        <f>+SUMIFS(PROVEEDORES[Total],PROVEEDORES[PROVEEDOR],PROVEEDORES[[#This Row],[PROVEEDOR]],PROVEEDORES[FECHA DE PAGO],"")</f>
        <v>0</v>
      </c>
      <c r="E368" s="30"/>
      <c r="F368" s="73" t="str">
        <f>+VLOOKUP(PROVEEDORES[[#This Row],[PROVEEDOR]],TERCEROS_INFO[[PROVEEDOR]:[CORREO]],5,FALSE)</f>
        <v/>
      </c>
      <c r="G368" s="111">
        <v>44336</v>
      </c>
      <c r="H368" s="31" t="s">
        <v>1083</v>
      </c>
      <c r="I368" s="111">
        <v>44336</v>
      </c>
      <c r="J368" s="48" t="s">
        <v>713</v>
      </c>
      <c r="K368" s="26">
        <v>91000</v>
      </c>
      <c r="L368" s="26"/>
      <c r="M368" s="27">
        <v>0</v>
      </c>
      <c r="N368" s="28"/>
      <c r="O368" s="27">
        <v>0</v>
      </c>
      <c r="P368" s="28">
        <v>0</v>
      </c>
      <c r="Q368" s="27">
        <v>0</v>
      </c>
      <c r="R368" s="26">
        <v>91000</v>
      </c>
      <c r="S368" s="115">
        <f ca="1">IF(PROVEEDORES[[#This Row],[FECHA DE PAGO]]=0,TODAY()-PROVEEDORES[[#This Row],[FECHA DE FACTURACIÓN]]-PROVEEDORES[[#This Row],[PLAZO Días]],0)</f>
        <v>0</v>
      </c>
      <c r="T3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69" spans="1:20" ht="21.9" customHeight="1" x14ac:dyDescent="0.3">
      <c r="A369" s="113" t="str">
        <f>+IF(PROVEEDORES[[#This Row],[FECHA DE PAGO]]=PROVEEDORES[[#This Row],[FECHA DE FACTURACIÓN]],"DE CONTADO","CRÉDITO")</f>
        <v>DE CONTADO</v>
      </c>
      <c r="B369" s="51" t="b">
        <f>+IF((PROVEEDORES[[#This Row],[FECHA DE PAGO]]-PROVEEDORES[[#This Row],[FECHA DE FACTURACIÓN]])&gt;PROVEEDORES[[#This Row],[PLAZO Días]],"PAGO VENCIDO")</f>
        <v>0</v>
      </c>
      <c r="C369" s="25">
        <f>+VLOOKUP(PROVEEDORES[[#This Row],[PROVEEDOR]],TERCEROS_INFO[#All],2,FALSE)</f>
        <v>30</v>
      </c>
      <c r="D369" s="30">
        <f>+SUMIFS(PROVEEDORES[Total],PROVEEDORES[PROVEEDOR],PROVEEDORES[[#This Row],[PROVEEDOR]],PROVEEDORES[FECHA DE PAGO],"")</f>
        <v>0</v>
      </c>
      <c r="E369" s="30"/>
      <c r="F369" s="73" t="str">
        <f>+VLOOKUP(PROVEEDORES[[#This Row],[PROVEEDOR]],TERCEROS_INFO[[PROVEEDOR]:[CORREO]],5,FALSE)</f>
        <v>Tuspilas.co@gmail.com;girlesa.ruiz@servipilas.com;joriescobar64@gmail.com</v>
      </c>
      <c r="G369" s="111">
        <v>44336</v>
      </c>
      <c r="H369" s="31" t="s">
        <v>43</v>
      </c>
      <c r="I369" s="111">
        <v>44336</v>
      </c>
      <c r="J369" s="48" t="s">
        <v>384</v>
      </c>
      <c r="K369" s="26">
        <v>294454</v>
      </c>
      <c r="L369" s="26"/>
      <c r="M369" s="27">
        <v>55946.26</v>
      </c>
      <c r="N369" s="28"/>
      <c r="O369" s="27">
        <v>0</v>
      </c>
      <c r="P369" s="28">
        <v>0</v>
      </c>
      <c r="Q369" s="27">
        <v>0</v>
      </c>
      <c r="R369" s="26">
        <v>350400.26</v>
      </c>
      <c r="S369" s="115">
        <f ca="1">IF(PROVEEDORES[[#This Row],[FECHA DE PAGO]]=0,TODAY()-PROVEEDORES[[#This Row],[FECHA DE FACTURACIÓN]]-PROVEEDORES[[#This Row],[PLAZO Días]],0)</f>
        <v>0</v>
      </c>
      <c r="T36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0" spans="1:20" ht="21.9" customHeight="1" x14ac:dyDescent="0.3">
      <c r="A370" s="113" t="str">
        <f>+IF(PROVEEDORES[[#This Row],[FECHA DE PAGO]]=PROVEEDORES[[#This Row],[FECHA DE FACTURACIÓN]],"DE CONTADO","CRÉDITO")</f>
        <v>CRÉDITO</v>
      </c>
      <c r="B370" s="51" t="str">
        <f>+IF((PROVEEDORES[[#This Row],[FECHA DE PAGO]]-PROVEEDORES[[#This Row],[FECHA DE FACTURACIÓN]])&gt;PROVEEDORES[[#This Row],[PLAZO Días]],"PAGO VENCIDO")</f>
        <v>PAGO VENCIDO</v>
      </c>
      <c r="C370" s="25">
        <f>+VLOOKUP(PROVEEDORES[[#This Row],[PROVEEDOR]],TERCEROS_INFO[#All],2,FALSE)</f>
        <v>30</v>
      </c>
      <c r="D370" s="30">
        <f>+SUMIFS(PROVEEDORES[Total],PROVEEDORES[PROVEEDOR],PROVEEDORES[[#This Row],[PROVEEDOR]],PROVEEDORES[FECHA DE PAGO],"")</f>
        <v>3320000</v>
      </c>
      <c r="E370" s="30"/>
      <c r="F370" s="73" t="str">
        <f>+VLOOKUP(PROVEEDORES[[#This Row],[PROVEEDOR]],TERCEROS_INFO[[PROVEEDOR]:[CORREO]],5,FALSE)</f>
        <v>Pygimportadora@gmail.com;girlesa.ruiz@servipilas.com;joriescobar64@gmail.com</v>
      </c>
      <c r="G370" s="111">
        <v>44382</v>
      </c>
      <c r="H370" s="31" t="s">
        <v>1068</v>
      </c>
      <c r="I370" s="111">
        <v>44336</v>
      </c>
      <c r="J370" s="48" t="s">
        <v>711</v>
      </c>
      <c r="K370" s="26">
        <v>312000</v>
      </c>
      <c r="L370" s="26"/>
      <c r="M370" s="27">
        <v>0</v>
      </c>
      <c r="N370" s="28"/>
      <c r="O370" s="27">
        <v>0</v>
      </c>
      <c r="P370" s="28">
        <v>0</v>
      </c>
      <c r="Q370" s="27">
        <v>0</v>
      </c>
      <c r="R370" s="26">
        <v>312000</v>
      </c>
      <c r="S370" s="115">
        <f ca="1">IF(PROVEEDORES[[#This Row],[FECHA DE PAGO]]=0,TODAY()-PROVEEDORES[[#This Row],[FECHA DE FACTURACIÓN]]-PROVEEDORES[[#This Row],[PLAZO Días]],0)</f>
        <v>0</v>
      </c>
      <c r="T37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1" spans="1:20" ht="21.9" customHeight="1" x14ac:dyDescent="0.3">
      <c r="A371" s="113" t="str">
        <f>+IF(PROVEEDORES[[#This Row],[FECHA DE PAGO]]=PROVEEDORES[[#This Row],[FECHA DE FACTURACIÓN]],"DE CONTADO","CRÉDITO")</f>
        <v>CRÉDITO</v>
      </c>
      <c r="B371" s="51" t="str">
        <f>+IF((PROVEEDORES[[#This Row],[FECHA DE PAGO]]-PROVEEDORES[[#This Row],[FECHA DE FACTURACIÓN]])&gt;PROVEEDORES[[#This Row],[PLAZO Días]],"PAGO VENCIDO")</f>
        <v>PAGO VENCIDO</v>
      </c>
      <c r="C371" s="25">
        <f>+VLOOKUP(PROVEEDORES[[#This Row],[PROVEEDOR]],TERCEROS_INFO[#All],2,FALSE)</f>
        <v>30</v>
      </c>
      <c r="D371" s="30">
        <f>+SUMIFS(PROVEEDORES[Total],PROVEEDORES[PROVEEDOR],PROVEEDORES[[#This Row],[PROVEEDOR]],PROVEEDORES[FECHA DE PAGO],"")</f>
        <v>0</v>
      </c>
      <c r="E371" s="30"/>
      <c r="F371" s="73" t="str">
        <f>+VLOOKUP(PROVEEDORES[[#This Row],[PROVEEDOR]],TERCEROS_INFO[[PROVEEDOR]:[CORREO]],5,FALSE)</f>
        <v>swizzeraux2@gmail.com;girlesa.ruiz@servipilas.com;joriescobar64@gmail.com</v>
      </c>
      <c r="G371" s="111">
        <v>44408</v>
      </c>
      <c r="H371" s="31" t="s">
        <v>1077</v>
      </c>
      <c r="I371" s="111">
        <v>44336</v>
      </c>
      <c r="J371" s="48" t="s">
        <v>712</v>
      </c>
      <c r="K371" s="26">
        <v>773500</v>
      </c>
      <c r="L371" s="26"/>
      <c r="M371" s="27">
        <v>0</v>
      </c>
      <c r="N371" s="28"/>
      <c r="O371" s="27">
        <v>0</v>
      </c>
      <c r="P371" s="28">
        <v>0</v>
      </c>
      <c r="Q371" s="27">
        <v>0</v>
      </c>
      <c r="R371" s="26">
        <v>773500</v>
      </c>
      <c r="S371" s="115">
        <f ca="1">IF(PROVEEDORES[[#This Row],[FECHA DE PAGO]]=0,TODAY()-PROVEEDORES[[#This Row],[FECHA DE FACTURACIÓN]]-PROVEEDORES[[#This Row],[PLAZO Días]],0)</f>
        <v>0</v>
      </c>
      <c r="T3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2" spans="1:20" ht="21.9" customHeight="1" x14ac:dyDescent="0.3">
      <c r="A372" s="113" t="str">
        <f>+IF(PROVEEDORES[[#This Row],[FECHA DE PAGO]]=PROVEEDORES[[#This Row],[FECHA DE FACTURACIÓN]],"DE CONTADO","CRÉDITO")</f>
        <v>CRÉDITO</v>
      </c>
      <c r="B372" s="51" t="str">
        <f>+IF((PROVEEDORES[[#This Row],[FECHA DE PAGO]]-PROVEEDORES[[#This Row],[FECHA DE FACTURACIÓN]])&gt;PROVEEDORES[[#This Row],[PLAZO Días]],"PAGO VENCIDO")</f>
        <v>PAGO VENCIDO</v>
      </c>
      <c r="C372" s="25">
        <f>+VLOOKUP(PROVEEDORES[[#This Row],[PROVEEDOR]],TERCEROS_INFO[#All],2,FALSE)</f>
        <v>30</v>
      </c>
      <c r="D372" s="30">
        <f>+SUMIFS(PROVEEDORES[Total],PROVEEDORES[PROVEEDOR],PROVEEDORES[[#This Row],[PROVEEDOR]],PROVEEDORES[FECHA DE PAGO],"")</f>
        <v>3355018.0749999997</v>
      </c>
      <c r="E372" s="30"/>
      <c r="F372" s="73" t="str">
        <f>+VLOOKUP(PROVEEDORES[[#This Row],[PROVEEDOR]],TERCEROS_INFO[[PROVEEDOR]:[CORREO]],5,FALSE)</f>
        <v>yermingg@hotmail.com;girlesa.ruiz@servipilas.com;joriescobar64@gmail.com</v>
      </c>
      <c r="G372" s="111">
        <v>44389</v>
      </c>
      <c r="H372" s="31" t="s">
        <v>224</v>
      </c>
      <c r="I372" s="111">
        <v>44336</v>
      </c>
      <c r="J372" s="48">
        <v>272</v>
      </c>
      <c r="K372" s="26">
        <v>993276</v>
      </c>
      <c r="L372" s="26"/>
      <c r="M372" s="27">
        <v>188722.44</v>
      </c>
      <c r="N372" s="28"/>
      <c r="O372" s="27">
        <v>0</v>
      </c>
      <c r="P372" s="28">
        <v>2.5000000000000001E-2</v>
      </c>
      <c r="Q372" s="27">
        <v>24831.9</v>
      </c>
      <c r="R372" s="26">
        <v>1157166.54</v>
      </c>
      <c r="S372" s="115">
        <f ca="1">IF(PROVEEDORES[[#This Row],[FECHA DE PAGO]]=0,TODAY()-PROVEEDORES[[#This Row],[FECHA DE FACTURACIÓN]]-PROVEEDORES[[#This Row],[PLAZO Días]],0)</f>
        <v>0</v>
      </c>
      <c r="T37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3" spans="1:20" ht="21.9" customHeight="1" x14ac:dyDescent="0.3">
      <c r="A373" s="113" t="str">
        <f>+IF(PROVEEDORES[[#This Row],[FECHA DE PAGO]]=PROVEEDORES[[#This Row],[FECHA DE FACTURACIÓN]],"DE CONTADO","CRÉDITO")</f>
        <v>CRÉDITO</v>
      </c>
      <c r="B373" s="51" t="str">
        <f>+IF((PROVEEDORES[[#This Row],[FECHA DE PAGO]]-PROVEEDORES[[#This Row],[FECHA DE FACTURACIÓN]])&gt;PROVEEDORES[[#This Row],[PLAZO Días]],"PAGO VENCIDO")</f>
        <v>PAGO VENCIDO</v>
      </c>
      <c r="C373" s="25">
        <f>+VLOOKUP(PROVEEDORES[[#This Row],[PROVEEDOR]],TERCEROS_INFO[#All],2,FALSE)</f>
        <v>30</v>
      </c>
      <c r="D373" s="30">
        <f>+SUMIFS(PROVEEDORES[Total],PROVEEDORES[PROVEEDOR],PROVEEDORES[[#This Row],[PROVEEDOR]],PROVEEDORES[FECHA DE PAGO],"")</f>
        <v>3400186.8245000001</v>
      </c>
      <c r="E373" s="30"/>
      <c r="F373" s="73" t="str">
        <f>+VLOOKUP(PROVEEDORES[[#This Row],[PROVEEDOR]],TERCEROS_INFO[[PROVEEDOR]:[CORREO]],5,FALSE)</f>
        <v>contabilidad@amgimportadora.com;mcastellanos@amgimportadora.com;girlesa.ruiz@servipilas.com;joriescobar64@gmail.com</v>
      </c>
      <c r="G373" s="111">
        <v>44376</v>
      </c>
      <c r="H373" s="31" t="s">
        <v>20</v>
      </c>
      <c r="I373" s="111">
        <v>44336</v>
      </c>
      <c r="J373" s="48">
        <v>4103</v>
      </c>
      <c r="K373" s="26">
        <v>1203216</v>
      </c>
      <c r="L373" s="26"/>
      <c r="M373" s="27">
        <v>228611.04</v>
      </c>
      <c r="N373" s="28"/>
      <c r="O373" s="27">
        <v>0</v>
      </c>
      <c r="P373" s="28">
        <v>2.5000000000000001E-2</v>
      </c>
      <c r="Q373" s="27">
        <v>30080.400000000001</v>
      </c>
      <c r="R373" s="26">
        <v>1401746.6400000001</v>
      </c>
      <c r="S373" s="115">
        <f ca="1">IF(PROVEEDORES[[#This Row],[FECHA DE PAGO]]=0,TODAY()-PROVEEDORES[[#This Row],[FECHA DE FACTURACIÓN]]-PROVEEDORES[[#This Row],[PLAZO Días]],0)</f>
        <v>0</v>
      </c>
      <c r="T37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4" spans="1:20" ht="21.9" customHeight="1" x14ac:dyDescent="0.3">
      <c r="A374" s="113" t="str">
        <f>+IF(PROVEEDORES[[#This Row],[FECHA DE PAGO]]=PROVEEDORES[[#This Row],[FECHA DE FACTURACIÓN]],"DE CONTADO","CRÉDITO")</f>
        <v>CRÉDITO</v>
      </c>
      <c r="B374" s="51" t="b">
        <f>+IF((PROVEEDORES[[#This Row],[FECHA DE PAGO]]-PROVEEDORES[[#This Row],[FECHA DE FACTURACIÓN]])&gt;PROVEEDORES[[#This Row],[PLAZO Días]],"PAGO VENCIDO")</f>
        <v>0</v>
      </c>
      <c r="C374" s="25">
        <f>+VLOOKUP(PROVEEDORES[[#This Row],[PROVEEDOR]],TERCEROS_INFO[#All],2,FALSE)</f>
        <v>30</v>
      </c>
      <c r="D374" s="30">
        <f>+SUMIFS(PROVEEDORES[Total],PROVEEDORES[PROVEEDOR],PROVEEDORES[[#This Row],[PROVEEDOR]],PROVEEDORES[FECHA DE PAGO],"")</f>
        <v>0</v>
      </c>
      <c r="E374" s="30"/>
      <c r="F374" s="73" t="str">
        <f>+VLOOKUP(PROVEEDORES[[#This Row],[PROVEEDOR]],TERCEROS_INFO[[PROVEEDOR]:[CORREO]],5,FALSE)</f>
        <v xml:space="preserve">asistente@remarcalimitada.com;girlesa.ruiz@servipilas.com;joriescobar64@gmail.com
</v>
      </c>
      <c r="G374" s="111">
        <v>44348</v>
      </c>
      <c r="H374" s="31" t="s">
        <v>378</v>
      </c>
      <c r="I374" s="111">
        <v>44336</v>
      </c>
      <c r="J374" s="48" t="s">
        <v>714</v>
      </c>
      <c r="K374" s="26">
        <v>1500000</v>
      </c>
      <c r="L374" s="26"/>
      <c r="M374" s="27">
        <v>285000</v>
      </c>
      <c r="N374" s="28"/>
      <c r="O374" s="27">
        <v>0</v>
      </c>
      <c r="P374" s="28">
        <v>0.11</v>
      </c>
      <c r="Q374" s="27">
        <v>165000</v>
      </c>
      <c r="R374" s="26">
        <v>1620000</v>
      </c>
      <c r="S374" s="115">
        <f ca="1">IF(PROVEEDORES[[#This Row],[FECHA DE PAGO]]=0,TODAY()-PROVEEDORES[[#This Row],[FECHA DE FACTURACIÓN]]-PROVEEDORES[[#This Row],[PLAZO Días]],0)</f>
        <v>0</v>
      </c>
      <c r="T37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5" spans="1:20" ht="21.9" customHeight="1" x14ac:dyDescent="0.3">
      <c r="A375" s="113" t="str">
        <f>+IF(PROVEEDORES[[#This Row],[FECHA DE PAGO]]=PROVEEDORES[[#This Row],[FECHA DE FACTURACIÓN]],"DE CONTADO","CRÉDITO")</f>
        <v>CRÉDITO</v>
      </c>
      <c r="B375" s="51" t="str">
        <f>+IF((PROVEEDORES[[#This Row],[FECHA DE PAGO]]-PROVEEDORES[[#This Row],[FECHA DE FACTURACIÓN]])&gt;PROVEEDORES[[#This Row],[PLAZO Días]],"PAGO VENCIDO")</f>
        <v>PAGO VENCIDO</v>
      </c>
      <c r="C375" s="25">
        <f>+VLOOKUP(PROVEEDORES[[#This Row],[PROVEEDOR]],TERCEROS_INFO[#All],2,FALSE)</f>
        <v>30</v>
      </c>
      <c r="D375" s="30">
        <f>+SUMIFS(PROVEEDORES[Total],PROVEEDORES[PROVEEDOR],PROVEEDORES[[#This Row],[PROVEEDOR]],PROVEEDORES[FECHA DE PAGO],"")</f>
        <v>10764600</v>
      </c>
      <c r="E375" s="30"/>
      <c r="F375" s="73" t="str">
        <f>+VLOOKUP(PROVEEDORES[[#This Row],[PROVEEDOR]],TERCEROS_INFO[[PROVEEDOR]:[CORREO]],5,FALSE)</f>
        <v>apresupuesto@widexcolombia.com;girlesa.ruiz@servipilas.com;joriescobar64@gmail.com</v>
      </c>
      <c r="G375" s="111">
        <v>44385</v>
      </c>
      <c r="H375" s="31" t="s">
        <v>11</v>
      </c>
      <c r="I375" s="111">
        <v>44336</v>
      </c>
      <c r="J375" s="48" t="s">
        <v>383</v>
      </c>
      <c r="K375" s="26">
        <v>2640000</v>
      </c>
      <c r="L375" s="26"/>
      <c r="M375" s="27">
        <v>501600</v>
      </c>
      <c r="N375" s="28"/>
      <c r="O375" s="27">
        <v>0</v>
      </c>
      <c r="P375" s="28">
        <v>2.5000000000000001E-2</v>
      </c>
      <c r="Q375" s="27">
        <v>66000</v>
      </c>
      <c r="R375" s="26">
        <v>3075600</v>
      </c>
      <c r="S375" s="115">
        <f ca="1">IF(PROVEEDORES[[#This Row],[FECHA DE PAGO]]=0,TODAY()-PROVEEDORES[[#This Row],[FECHA DE FACTURACIÓN]]-PROVEEDORES[[#This Row],[PLAZO Días]],0)</f>
        <v>0</v>
      </c>
      <c r="T37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6" spans="1:20" ht="21.9" customHeight="1" x14ac:dyDescent="0.3">
      <c r="A376" s="113" t="str">
        <f>+IF(PROVEEDORES[[#This Row],[FECHA DE PAGO]]=PROVEEDORES[[#This Row],[FECHA DE FACTURACIÓN]],"DE CONTADO","CRÉDITO")</f>
        <v>CRÉDITO</v>
      </c>
      <c r="B376" s="51" t="str">
        <f>+IF((PROVEEDORES[[#This Row],[FECHA DE PAGO]]-PROVEEDORES[[#This Row],[FECHA DE FACTURACIÓN]])&gt;PROVEEDORES[[#This Row],[PLAZO Días]],"PAGO VENCIDO")</f>
        <v>PAGO VENCIDO</v>
      </c>
      <c r="C376" s="25">
        <f>+VLOOKUP(PROVEEDORES[[#This Row],[PROVEEDOR]],TERCEROS_INFO[#All],2,FALSE)</f>
        <v>30</v>
      </c>
      <c r="D376" s="30">
        <f>+SUMIFS(PROVEEDORES[Total],PROVEEDORES[PROVEEDOR],PROVEEDORES[[#This Row],[PROVEEDOR]],PROVEEDORES[FECHA DE PAGO],"")</f>
        <v>6482443.1751999995</v>
      </c>
      <c r="E376" s="30"/>
      <c r="F376" s="73" t="str">
        <f>+VLOOKUP(PROVEEDORES[[#This Row],[PROVEEDOR]],TERCEROS_INFO[[PROVEEDOR]:[CORREO]],5,FALSE)</f>
        <v>angela.navas@hyrdistribuciones.com;girlesa.ruiz@servipilas.com;joriescobar64@gmail.com</v>
      </c>
      <c r="G376" s="111">
        <v>44376</v>
      </c>
      <c r="H376" s="31" t="s">
        <v>18</v>
      </c>
      <c r="I376" s="111">
        <v>44337</v>
      </c>
      <c r="J376" s="48">
        <v>1038069</v>
      </c>
      <c r="K376" s="26">
        <v>2084580.6</v>
      </c>
      <c r="L376" s="26"/>
      <c r="M376" s="27">
        <v>396070.31400000001</v>
      </c>
      <c r="N376" s="28"/>
      <c r="O376" s="27">
        <v>0</v>
      </c>
      <c r="P376" s="28">
        <v>2.5000000000000001E-2</v>
      </c>
      <c r="Q376" s="27">
        <v>52114.515000000007</v>
      </c>
      <c r="R376" s="26">
        <v>2428536.3989999997</v>
      </c>
      <c r="S376" s="115">
        <f ca="1">IF(PROVEEDORES[[#This Row],[FECHA DE PAGO]]=0,TODAY()-PROVEEDORES[[#This Row],[FECHA DE FACTURACIÓN]]-PROVEEDORES[[#This Row],[PLAZO Días]],0)</f>
        <v>0</v>
      </c>
      <c r="T3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7" spans="1:20" ht="21.9" customHeight="1" x14ac:dyDescent="0.3">
      <c r="A377" s="113" t="str">
        <f>+IF(PROVEEDORES[[#This Row],[FECHA DE PAGO]]=PROVEEDORES[[#This Row],[FECHA DE FACTURACIÓN]],"DE CONTADO","CRÉDITO")</f>
        <v>CRÉDITO</v>
      </c>
      <c r="B377" s="51" t="str">
        <f>+IF((PROVEEDORES[[#This Row],[FECHA DE PAGO]]-PROVEEDORES[[#This Row],[FECHA DE FACTURACIÓN]])&gt;PROVEEDORES[[#This Row],[PLAZO Días]],"PAGO VENCIDO")</f>
        <v>PAGO VENCIDO</v>
      </c>
      <c r="C377" s="25">
        <f>+VLOOKUP(PROVEEDORES[[#This Row],[PROVEEDOR]],TERCEROS_INFO[#All],2,FALSE)</f>
        <v>30</v>
      </c>
      <c r="D377" s="30">
        <f>+SUMIFS(PROVEEDORES[Total],PROVEEDORES[PROVEEDOR],PROVEEDORES[[#This Row],[PROVEEDOR]],PROVEEDORES[FECHA DE PAGO],"")</f>
        <v>-30345</v>
      </c>
      <c r="E377" s="30"/>
      <c r="F377" s="73" t="str">
        <f>+VLOOKUP(PROVEEDORES[[#This Row],[PROVEEDOR]],TERCEROS_INFO[[PROVEEDOR]:[CORREO]],5,FALSE)</f>
        <v>ventasmegamundo@yahoo.es;girlesa.ruiz@servipilas.com;joriescobar64@gmail.com</v>
      </c>
      <c r="G377" s="111">
        <v>44389</v>
      </c>
      <c r="H377" s="31" t="s">
        <v>1146</v>
      </c>
      <c r="I377" s="111">
        <v>44337</v>
      </c>
      <c r="J377" s="48">
        <v>1205</v>
      </c>
      <c r="K377" s="26">
        <v>2181344.5299999998</v>
      </c>
      <c r="L377" s="26"/>
      <c r="M377" s="27">
        <v>414455.46069999994</v>
      </c>
      <c r="N377" s="28"/>
      <c r="O377" s="27">
        <v>0</v>
      </c>
      <c r="P377" s="28">
        <v>2.5000000000000001E-2</v>
      </c>
      <c r="Q377" s="27">
        <v>54533.613249999995</v>
      </c>
      <c r="R377" s="26">
        <v>2541266.37745</v>
      </c>
      <c r="S377" s="115">
        <f ca="1">IF(PROVEEDORES[[#This Row],[FECHA DE PAGO]]=0,TODAY()-PROVEEDORES[[#This Row],[FECHA DE FACTURACIÓN]]-PROVEEDORES[[#This Row],[PLAZO Días]],0)</f>
        <v>0</v>
      </c>
      <c r="T3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8" spans="1:20" ht="21.9" customHeight="1" x14ac:dyDescent="0.3">
      <c r="A378" s="113" t="str">
        <f>+IF(PROVEEDORES[[#This Row],[FECHA DE PAGO]]=PROVEEDORES[[#This Row],[FECHA DE FACTURACIÓN]],"DE CONTADO","CRÉDITO")</f>
        <v>CRÉDITO</v>
      </c>
      <c r="B378" s="51" t="b">
        <f>+IF((PROVEEDORES[[#This Row],[FECHA DE PAGO]]-PROVEEDORES[[#This Row],[FECHA DE FACTURACIÓN]])&gt;PROVEEDORES[[#This Row],[PLAZO Días]],"PAGO VENCIDO")</f>
        <v>0</v>
      </c>
      <c r="C378" s="25">
        <f>+VLOOKUP(PROVEEDORES[[#This Row],[PROVEEDOR]],TERCEROS_INFO[#All],2,FALSE)</f>
        <v>90</v>
      </c>
      <c r="D378" s="30">
        <f>+SUMIFS(PROVEEDORES[Total],PROVEEDORES[PROVEEDOR],PROVEEDORES[[#This Row],[PROVEEDOR]],PROVEEDORES[FECHA DE PAGO],"")</f>
        <v>26364243.66155</v>
      </c>
      <c r="E378" s="30"/>
      <c r="F378" s="73" t="str">
        <f>+VLOOKUP(PROVEEDORES[[#This Row],[PROVEEDOR]],TERCEROS_INFO[[PROVEEDOR]:[CORREO]],5,FALSE)</f>
        <v>javiergomez_72@hotmail.com ;girlesa.ruiz@servipilas.com;joriescobar64@gmail.com</v>
      </c>
      <c r="G378" s="111">
        <v>44351</v>
      </c>
      <c r="H378" s="31" t="s">
        <v>12</v>
      </c>
      <c r="I378" s="111">
        <v>44338</v>
      </c>
      <c r="J378" s="48" t="s">
        <v>715</v>
      </c>
      <c r="K378" s="26">
        <v>-8403361.3445378151</v>
      </c>
      <c r="L378" s="26"/>
      <c r="M378" s="27">
        <v>-1596638.6554621849</v>
      </c>
      <c r="N378" s="28"/>
      <c r="O378" s="27">
        <v>0</v>
      </c>
      <c r="P378" s="28">
        <v>0</v>
      </c>
      <c r="Q378" s="27">
        <v>0</v>
      </c>
      <c r="R378" s="26">
        <v>-10000000</v>
      </c>
      <c r="S378" s="115">
        <f ca="1">IF(PROVEEDORES[[#This Row],[FECHA DE PAGO]]=0,TODAY()-PROVEEDORES[[#This Row],[FECHA DE FACTURACIÓN]]-PROVEEDORES[[#This Row],[PLAZO Días]],0)</f>
        <v>0</v>
      </c>
      <c r="T37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79" spans="1:20" ht="21.9" customHeight="1" x14ac:dyDescent="0.3">
      <c r="A379" s="113" t="str">
        <f>+IF(PROVEEDORES[[#This Row],[FECHA DE PAGO]]=PROVEEDORES[[#This Row],[FECHA DE FACTURACIÓN]],"DE CONTADO","CRÉDITO")</f>
        <v>DE CONTADO</v>
      </c>
      <c r="B379" s="51" t="b">
        <f>+IF((PROVEEDORES[[#This Row],[FECHA DE PAGO]]-PROVEEDORES[[#This Row],[FECHA DE FACTURACIÓN]])&gt;PROVEEDORES[[#This Row],[PLAZO Días]],"PAGO VENCIDO")</f>
        <v>0</v>
      </c>
      <c r="C379" s="25">
        <f>+VLOOKUP(PROVEEDORES[[#This Row],[PROVEEDOR]],TERCEROS_INFO[#All],2,FALSE)</f>
        <v>30</v>
      </c>
      <c r="D379" s="30">
        <f>+SUMIFS(PROVEEDORES[Total],PROVEEDORES[PROVEEDOR],PROVEEDORES[[#This Row],[PROVEEDOR]],PROVEEDORES[FECHA DE PAGO],"")</f>
        <v>0</v>
      </c>
      <c r="E379" s="30"/>
      <c r="F379" s="73" t="str">
        <f>+VLOOKUP(PROVEEDORES[[#This Row],[PROVEEDOR]],TERCEROS_INFO[[PROVEEDOR]:[CORREO]],5,FALSE)</f>
        <v/>
      </c>
      <c r="G379" s="111">
        <v>44338</v>
      </c>
      <c r="H379" s="31" t="s">
        <v>1052</v>
      </c>
      <c r="I379" s="111">
        <v>44338</v>
      </c>
      <c r="J379" s="48"/>
      <c r="K379" s="26">
        <v>600000</v>
      </c>
      <c r="L379" s="26"/>
      <c r="M379" s="27">
        <v>0</v>
      </c>
      <c r="N379" s="28"/>
      <c r="O379" s="27">
        <v>0</v>
      </c>
      <c r="P379" s="28">
        <v>0</v>
      </c>
      <c r="Q379" s="27">
        <v>0</v>
      </c>
      <c r="R379" s="26">
        <v>600000</v>
      </c>
      <c r="S379" s="115">
        <f ca="1">IF(PROVEEDORES[[#This Row],[FECHA DE PAGO]]=0,TODAY()-PROVEEDORES[[#This Row],[FECHA DE FACTURACIÓN]]-PROVEEDORES[[#This Row],[PLAZO Días]],0)</f>
        <v>0</v>
      </c>
      <c r="T3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0" spans="1:20" ht="21.9" customHeight="1" x14ac:dyDescent="0.3">
      <c r="A380" s="113" t="str">
        <f>+IF(PROVEEDORES[[#This Row],[FECHA DE PAGO]]=PROVEEDORES[[#This Row],[FECHA DE FACTURACIÓN]],"DE CONTADO","CRÉDITO")</f>
        <v>CRÉDITO</v>
      </c>
      <c r="B380" s="51" t="str">
        <f>+IF((PROVEEDORES[[#This Row],[FECHA DE PAGO]]-PROVEEDORES[[#This Row],[FECHA DE FACTURACIÓN]])&gt;PROVEEDORES[[#This Row],[PLAZO Días]],"PAGO VENCIDO")</f>
        <v>PAGO VENCIDO</v>
      </c>
      <c r="C380" s="25">
        <f>+VLOOKUP(PROVEEDORES[[#This Row],[PROVEEDOR]],TERCEROS_INFO[#All],2,FALSE)</f>
        <v>30</v>
      </c>
      <c r="D380" s="30">
        <f>+SUMIFS(PROVEEDORES[Total],PROVEEDORES[PROVEEDOR],PROVEEDORES[[#This Row],[PROVEEDOR]],PROVEEDORES[FECHA DE PAGO],"")</f>
        <v>21832129.73</v>
      </c>
      <c r="E380" s="30"/>
      <c r="F380" s="73" t="str">
        <f>+VLOOKUP(PROVEEDORES[[#This Row],[PROVEEDOR]],TERCEROS_INFO[[PROVEEDOR]:[CORREO]],5,FALSE)</f>
        <v>cartera1@grupostatur.com;girlesa.ruiz@servipilas.com;joriescobar64@gmail.com</v>
      </c>
      <c r="G380" s="111">
        <v>44376</v>
      </c>
      <c r="H380" s="31" t="s">
        <v>9</v>
      </c>
      <c r="I380" s="111">
        <v>44338</v>
      </c>
      <c r="J380" s="48">
        <v>70032</v>
      </c>
      <c r="K380" s="26">
        <v>2022230</v>
      </c>
      <c r="L380" s="26"/>
      <c r="M380" s="27">
        <v>384223.7</v>
      </c>
      <c r="N380" s="28"/>
      <c r="O380" s="27">
        <v>0</v>
      </c>
      <c r="P380" s="28">
        <v>2.5000000000000001E-2</v>
      </c>
      <c r="Q380" s="27">
        <v>50555.75</v>
      </c>
      <c r="R380" s="26">
        <v>2355897.9500000002</v>
      </c>
      <c r="S380" s="115">
        <f ca="1">IF(PROVEEDORES[[#This Row],[FECHA DE PAGO]]=0,TODAY()-PROVEEDORES[[#This Row],[FECHA DE FACTURACIÓN]]-PROVEEDORES[[#This Row],[PLAZO Días]],0)</f>
        <v>0</v>
      </c>
      <c r="T3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1" spans="1:20" ht="21.9" customHeight="1" x14ac:dyDescent="0.3">
      <c r="A381" s="113" t="str">
        <f>+IF(PROVEEDORES[[#This Row],[FECHA DE PAGO]]=PROVEEDORES[[#This Row],[FECHA DE FACTURACIÓN]],"DE CONTADO","CRÉDITO")</f>
        <v>CRÉDITO</v>
      </c>
      <c r="B381" s="51" t="b">
        <f>+IF((PROVEEDORES[[#This Row],[FECHA DE PAGO]]-PROVEEDORES[[#This Row],[FECHA DE FACTURACIÓN]])&gt;PROVEEDORES[[#This Row],[PLAZO Días]],"PAGO VENCIDO")</f>
        <v>0</v>
      </c>
      <c r="C381" s="25">
        <f>+VLOOKUP(PROVEEDORES[[#This Row],[PROVEEDOR]],TERCEROS_INFO[#All],2,FALSE)</f>
        <v>30</v>
      </c>
      <c r="D381" s="30">
        <f>+SUMIFS(PROVEEDORES[Total],PROVEEDORES[PROVEEDOR],PROVEEDORES[[#This Row],[PROVEEDOR]],PROVEEDORES[FECHA DE PAGO],"")</f>
        <v>0</v>
      </c>
      <c r="E381" s="30"/>
      <c r="F381" s="73" t="str">
        <f>+VLOOKUP(PROVEEDORES[[#This Row],[PROVEEDOR]],TERCEROS_INFO[[PROVEEDOR]:[CORREO]],5,FALSE)</f>
        <v>CARLOSARCILAMENSAJERIA@gmail.com;girlesa.ruiz@servipilas.com;joriescobar64@gmail.com</v>
      </c>
      <c r="G381" s="111">
        <v>44341</v>
      </c>
      <c r="H381" s="31" t="s">
        <v>143</v>
      </c>
      <c r="I381" s="111">
        <v>44339</v>
      </c>
      <c r="J381" s="48">
        <v>102</v>
      </c>
      <c r="K381" s="26">
        <v>637000</v>
      </c>
      <c r="L381" s="26"/>
      <c r="M381" s="27">
        <v>121030</v>
      </c>
      <c r="N381" s="28"/>
      <c r="O381" s="27">
        <v>0</v>
      </c>
      <c r="P381" s="28">
        <v>0.01</v>
      </c>
      <c r="Q381" s="27">
        <v>6370</v>
      </c>
      <c r="R381" s="26">
        <v>751660</v>
      </c>
      <c r="S381" s="115">
        <f ca="1">IF(PROVEEDORES[[#This Row],[FECHA DE PAGO]]=0,TODAY()-PROVEEDORES[[#This Row],[FECHA DE FACTURACIÓN]]-PROVEEDORES[[#This Row],[PLAZO Días]],0)</f>
        <v>0</v>
      </c>
      <c r="T3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2" spans="1:20" ht="21.9" customHeight="1" x14ac:dyDescent="0.3">
      <c r="A382" s="113" t="str">
        <f>+IF(PROVEEDORES[[#This Row],[FECHA DE PAGO]]=PROVEEDORES[[#This Row],[FECHA DE FACTURACIÓN]],"DE CONTADO","CRÉDITO")</f>
        <v>CRÉDITO</v>
      </c>
      <c r="B382" s="51" t="b">
        <f>+IF((PROVEEDORES[[#This Row],[FECHA DE PAGO]]-PROVEEDORES[[#This Row],[FECHA DE FACTURACIÓN]])&gt;PROVEEDORES[[#This Row],[PLAZO Días]],"PAGO VENCIDO")</f>
        <v>0</v>
      </c>
      <c r="C382" s="25">
        <f>+VLOOKUP(PROVEEDORES[[#This Row],[PROVEEDOR]],TERCEROS_INFO[#All],2,FALSE)</f>
        <v>30</v>
      </c>
      <c r="D382" s="30">
        <f>+SUMIFS(PROVEEDORES[Total],PROVEEDORES[PROVEEDOR],PROVEEDORES[[#This Row],[PROVEEDOR]],PROVEEDORES[FECHA DE PAGO],"")</f>
        <v>0</v>
      </c>
      <c r="E382" s="30"/>
      <c r="F382" s="73" t="str">
        <f>+VLOOKUP(PROVEEDORES[[#This Row],[PROVEEDOR]],TERCEROS_INFO[[PROVEEDOR]:[CORREO]],5,FALSE)</f>
        <v>girlesa.ruiz@servipilas.com;joriescobar64@gmail.com</v>
      </c>
      <c r="G382" s="111">
        <v>44341</v>
      </c>
      <c r="H382" s="31" t="s">
        <v>339</v>
      </c>
      <c r="I382" s="111">
        <v>44340</v>
      </c>
      <c r="J382" s="48" t="s">
        <v>927</v>
      </c>
      <c r="K382" s="26">
        <v>-36000</v>
      </c>
      <c r="L382" s="26"/>
      <c r="M382" s="27">
        <v>0</v>
      </c>
      <c r="N382" s="28"/>
      <c r="O382" s="27">
        <v>0</v>
      </c>
      <c r="P382" s="28">
        <v>0</v>
      </c>
      <c r="Q382" s="27">
        <v>0</v>
      </c>
      <c r="R382" s="26">
        <v>-36000</v>
      </c>
      <c r="S382" s="115">
        <f ca="1">IF(PROVEEDORES[[#This Row],[FECHA DE PAGO]]=0,TODAY()-PROVEEDORES[[#This Row],[FECHA DE FACTURACIÓN]]-PROVEEDORES[[#This Row],[PLAZO Días]],0)</f>
        <v>0</v>
      </c>
      <c r="T38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3" spans="1:20" ht="21.9" customHeight="1" x14ac:dyDescent="0.3">
      <c r="A383" s="113" t="str">
        <f>+IF(PROVEEDORES[[#This Row],[FECHA DE PAGO]]=PROVEEDORES[[#This Row],[FECHA DE FACTURACIÓN]],"DE CONTADO","CRÉDITO")</f>
        <v>CRÉDITO</v>
      </c>
      <c r="B383" s="51" t="str">
        <f>+IF((PROVEEDORES[[#This Row],[FECHA DE PAGO]]-PROVEEDORES[[#This Row],[FECHA DE FACTURACIÓN]])&gt;PROVEEDORES[[#This Row],[PLAZO Días]],"PAGO VENCIDO")</f>
        <v>PAGO VENCIDO</v>
      </c>
      <c r="C383" s="25">
        <f>+VLOOKUP(PROVEEDORES[[#This Row],[PROVEEDOR]],TERCEROS_INFO[#All],2,FALSE)</f>
        <v>30</v>
      </c>
      <c r="D383" s="30">
        <f>+SUMIFS(PROVEEDORES[Total],PROVEEDORES[PROVEEDOR],PROVEEDORES[[#This Row],[PROVEEDOR]],PROVEEDORES[FECHA DE PAGO],"")</f>
        <v>0</v>
      </c>
      <c r="E383" s="30"/>
      <c r="F383" s="73" t="str">
        <f>+VLOOKUP(PROVEEDORES[[#This Row],[PROVEEDOR]],TERCEROS_INFO[[PROVEEDOR]:[CORREO]],5,FALSE)</f>
        <v>variedades.sfg@gmail.com;girlesa.ruiz@servipilas.com;joriescobar64@gmail.com</v>
      </c>
      <c r="G383" s="111">
        <v>44382</v>
      </c>
      <c r="H383" s="31" t="s">
        <v>988</v>
      </c>
      <c r="I383" s="111">
        <v>44340</v>
      </c>
      <c r="J383" s="48" t="s">
        <v>716</v>
      </c>
      <c r="K383" s="26">
        <v>565000</v>
      </c>
      <c r="L383" s="26"/>
      <c r="M383" s="27">
        <v>0</v>
      </c>
      <c r="N383" s="28"/>
      <c r="O383" s="27">
        <v>0</v>
      </c>
      <c r="P383" s="28">
        <v>0</v>
      </c>
      <c r="Q383" s="27">
        <v>0</v>
      </c>
      <c r="R383" s="26">
        <v>565000</v>
      </c>
      <c r="S383" s="115">
        <f ca="1">IF(PROVEEDORES[[#This Row],[FECHA DE PAGO]]=0,TODAY()-PROVEEDORES[[#This Row],[FECHA DE FACTURACIÓN]]-PROVEEDORES[[#This Row],[PLAZO Días]],0)</f>
        <v>0</v>
      </c>
      <c r="T38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4" spans="1:20" ht="21.9" customHeight="1" x14ac:dyDescent="0.3">
      <c r="A384" s="113" t="str">
        <f>+IF(PROVEEDORES[[#This Row],[FECHA DE PAGO]]=PROVEEDORES[[#This Row],[FECHA DE FACTURACIÓN]],"DE CONTADO","CRÉDITO")</f>
        <v>CRÉDITO</v>
      </c>
      <c r="B384" s="51" t="str">
        <f>+IF((PROVEEDORES[[#This Row],[FECHA DE PAGO]]-PROVEEDORES[[#This Row],[FECHA DE FACTURACIÓN]])&gt;PROVEEDORES[[#This Row],[PLAZO Días]],"PAGO VENCIDO")</f>
        <v>PAGO VENCIDO</v>
      </c>
      <c r="C384" s="25">
        <f>+VLOOKUP(PROVEEDORES[[#This Row],[PROVEEDOR]],TERCEROS_INFO[#All],2,FALSE)</f>
        <v>30</v>
      </c>
      <c r="D384" s="30">
        <f>+SUMIFS(PROVEEDORES[Total],PROVEEDORES[PROVEEDOR],PROVEEDORES[[#This Row],[PROVEEDOR]],PROVEEDORES[FECHA DE PAGO],"")</f>
        <v>7458000</v>
      </c>
      <c r="E384" s="30"/>
      <c r="F384" s="73" t="str">
        <f>+VLOOKUP(PROVEEDORES[[#This Row],[PROVEEDOR]],TERCEROS_INFO[[PROVEEDOR]:[CORREO]],5,FALSE)</f>
        <v/>
      </c>
      <c r="G384" s="111">
        <v>44382</v>
      </c>
      <c r="H384" s="31" t="s">
        <v>1049</v>
      </c>
      <c r="I384" s="111">
        <v>44340</v>
      </c>
      <c r="J384" s="48" t="s">
        <v>717</v>
      </c>
      <c r="K384" s="26">
        <v>2732000</v>
      </c>
      <c r="L384" s="26"/>
      <c r="M384" s="27">
        <v>0</v>
      </c>
      <c r="N384" s="28"/>
      <c r="O384" s="27">
        <v>0</v>
      </c>
      <c r="P384" s="28">
        <v>0</v>
      </c>
      <c r="Q384" s="27">
        <v>0</v>
      </c>
      <c r="R384" s="26">
        <v>2732000</v>
      </c>
      <c r="S384" s="115">
        <f ca="1">IF(PROVEEDORES[[#This Row],[FECHA DE PAGO]]=0,TODAY()-PROVEEDORES[[#This Row],[FECHA DE FACTURACIÓN]]-PROVEEDORES[[#This Row],[PLAZO Días]],0)</f>
        <v>0</v>
      </c>
      <c r="T3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5" spans="1:20" ht="21.9" customHeight="1" x14ac:dyDescent="0.3">
      <c r="A385" s="113" t="str">
        <f>+IF(PROVEEDORES[[#This Row],[FECHA DE PAGO]]=PROVEEDORES[[#This Row],[FECHA DE FACTURACIÓN]],"DE CONTADO","CRÉDITO")</f>
        <v>CRÉDITO</v>
      </c>
      <c r="B385" s="51" t="str">
        <f>+IF((PROVEEDORES[[#This Row],[FECHA DE PAGO]]-PROVEEDORES[[#This Row],[FECHA DE FACTURACIÓN]])&gt;PROVEEDORES[[#This Row],[PLAZO Días]],"PAGO VENCIDO")</f>
        <v>PAGO VENCIDO</v>
      </c>
      <c r="C385" s="25">
        <f>+VLOOKUP(PROVEEDORES[[#This Row],[PROVEEDOR]],TERCEROS_INFO[#All],2,FALSE)</f>
        <v>30</v>
      </c>
      <c r="D385" s="30">
        <f>+SUMIFS(PROVEEDORES[Total],PROVEEDORES[PROVEEDOR],PROVEEDORES[[#This Row],[PROVEEDOR]],PROVEEDORES[FECHA DE PAGO],"")</f>
        <v>-30345</v>
      </c>
      <c r="E385" s="30"/>
      <c r="F385" s="73" t="str">
        <f>+VLOOKUP(PROVEEDORES[[#This Row],[PROVEEDOR]],TERCEROS_INFO[[PROVEEDOR]:[CORREO]],5,FALSE)</f>
        <v>ventasmegamundo@yahoo.es;girlesa.ruiz@servipilas.com;joriescobar64@gmail.com</v>
      </c>
      <c r="G385" s="111">
        <v>44389</v>
      </c>
      <c r="H385" s="31" t="s">
        <v>1146</v>
      </c>
      <c r="I385" s="111">
        <v>44341</v>
      </c>
      <c r="J385" s="48">
        <v>1216</v>
      </c>
      <c r="K385" s="26">
        <v>182352.94</v>
      </c>
      <c r="L385" s="26"/>
      <c r="M385" s="27">
        <v>34647.058600000004</v>
      </c>
      <c r="N385" s="28"/>
      <c r="O385" s="27">
        <v>0</v>
      </c>
      <c r="P385" s="28">
        <v>0</v>
      </c>
      <c r="Q385" s="27">
        <v>0</v>
      </c>
      <c r="R385" s="26">
        <v>216999.99859999999</v>
      </c>
      <c r="S385" s="115">
        <f ca="1">IF(PROVEEDORES[[#This Row],[FECHA DE PAGO]]=0,TODAY()-PROVEEDORES[[#This Row],[FECHA DE FACTURACIÓN]]-PROVEEDORES[[#This Row],[PLAZO Días]],0)</f>
        <v>0</v>
      </c>
      <c r="T38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6" spans="1:20" ht="21.9" customHeight="1" x14ac:dyDescent="0.3">
      <c r="A386" s="113" t="str">
        <f>+IF(PROVEEDORES[[#This Row],[FECHA DE PAGO]]=PROVEEDORES[[#This Row],[FECHA DE FACTURACIÓN]],"DE CONTADO","CRÉDITO")</f>
        <v>CRÉDITO</v>
      </c>
      <c r="B386" s="51" t="b">
        <f>+IF((PROVEEDORES[[#This Row],[FECHA DE PAGO]]-PROVEEDORES[[#This Row],[FECHA DE FACTURACIÓN]])&gt;PROVEEDORES[[#This Row],[PLAZO Días]],"PAGO VENCIDO")</f>
        <v>0</v>
      </c>
      <c r="C386" s="25">
        <f>+VLOOKUP(PROVEEDORES[[#This Row],[PROVEEDOR]],TERCEROS_INFO[#All],2,FALSE)</f>
        <v>10</v>
      </c>
      <c r="D386" s="30">
        <f>+SUMIFS(PROVEEDORES[Total],PROVEEDORES[PROVEEDOR],PROVEEDORES[[#This Row],[PROVEEDOR]],PROVEEDORES[FECHA DE PAGO],"")</f>
        <v>0</v>
      </c>
      <c r="E386" s="30"/>
      <c r="F386" s="73" t="str">
        <f>+VLOOKUP(PROVEEDORES[[#This Row],[PROVEEDOR]],TERCEROS_INFO[[PROVEEDOR]:[CORREO]],5,FALSE)</f>
        <v/>
      </c>
      <c r="G386" s="111">
        <v>44342</v>
      </c>
      <c r="H386" s="31" t="s">
        <v>23</v>
      </c>
      <c r="I386" s="111">
        <v>44341</v>
      </c>
      <c r="J386" s="48">
        <v>282538</v>
      </c>
      <c r="K386" s="26">
        <v>7810900</v>
      </c>
      <c r="L386" s="26"/>
      <c r="M386" s="27">
        <v>0</v>
      </c>
      <c r="N386" s="28"/>
      <c r="O386" s="27">
        <v>0</v>
      </c>
      <c r="P386" s="28">
        <v>0</v>
      </c>
      <c r="Q386" s="27">
        <v>0</v>
      </c>
      <c r="R386" s="26">
        <v>7810900</v>
      </c>
      <c r="S386" s="115">
        <f ca="1">IF(PROVEEDORES[[#This Row],[FECHA DE PAGO]]=0,TODAY()-PROVEEDORES[[#This Row],[FECHA DE FACTURACIÓN]]-PROVEEDORES[[#This Row],[PLAZO Días]],0)</f>
        <v>0</v>
      </c>
      <c r="T38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7" spans="1:20" ht="21.9" customHeight="1" x14ac:dyDescent="0.3">
      <c r="A387" s="113" t="str">
        <f>+IF(PROVEEDORES[[#This Row],[FECHA DE PAGO]]=PROVEEDORES[[#This Row],[FECHA DE FACTURACIÓN]],"DE CONTADO","CRÉDITO")</f>
        <v>DE CONTADO</v>
      </c>
      <c r="B387" s="51" t="b">
        <f>+IF((PROVEEDORES[[#This Row],[FECHA DE PAGO]]-PROVEEDORES[[#This Row],[FECHA DE FACTURACIÓN]])&gt;PROVEEDORES[[#This Row],[PLAZO Días]],"PAGO VENCIDO")</f>
        <v>0</v>
      </c>
      <c r="C387" s="25">
        <f>+VLOOKUP(PROVEEDORES[[#This Row],[PROVEEDOR]],TERCEROS_INFO[#All],2,FALSE)</f>
        <v>30</v>
      </c>
      <c r="D387" s="30">
        <f>+SUMIFS(PROVEEDORES[Total],PROVEEDORES[PROVEEDOR],PROVEEDORES[[#This Row],[PROVEEDOR]],PROVEEDORES[FECHA DE PAGO],"")</f>
        <v>0</v>
      </c>
      <c r="E387" s="30"/>
      <c r="F387" s="73" t="str">
        <f>+VLOOKUP(PROVEEDORES[[#This Row],[PROVEEDOR]],TERCEROS_INFO[[PROVEEDOR]:[CORREO]],5,FALSE)</f>
        <v/>
      </c>
      <c r="G387" s="111">
        <v>44342</v>
      </c>
      <c r="H387" s="31" t="s">
        <v>1066</v>
      </c>
      <c r="I387" s="111">
        <v>44342</v>
      </c>
      <c r="J387" s="48" t="s">
        <v>719</v>
      </c>
      <c r="K387" s="26">
        <v>228000</v>
      </c>
      <c r="L387" s="26"/>
      <c r="M387" s="27">
        <v>0</v>
      </c>
      <c r="N387" s="28"/>
      <c r="O387" s="27">
        <v>0</v>
      </c>
      <c r="P387" s="28">
        <v>0</v>
      </c>
      <c r="Q387" s="27">
        <v>0</v>
      </c>
      <c r="R387" s="26">
        <v>228000</v>
      </c>
      <c r="S387" s="115">
        <f ca="1">IF(PROVEEDORES[[#This Row],[FECHA DE PAGO]]=0,TODAY()-PROVEEDORES[[#This Row],[FECHA DE FACTURACIÓN]]-PROVEEDORES[[#This Row],[PLAZO Días]],0)</f>
        <v>0</v>
      </c>
      <c r="T3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8" spans="1:20" ht="21.9" customHeight="1" x14ac:dyDescent="0.3">
      <c r="A388" s="113" t="str">
        <f>+IF(PROVEEDORES[[#This Row],[FECHA DE PAGO]]=PROVEEDORES[[#This Row],[FECHA DE FACTURACIÓN]],"DE CONTADO","CRÉDITO")</f>
        <v>CRÉDITO</v>
      </c>
      <c r="B388" s="51" t="str">
        <f>+IF((PROVEEDORES[[#This Row],[FECHA DE PAGO]]-PROVEEDORES[[#This Row],[FECHA DE FACTURACIÓN]])&gt;PROVEEDORES[[#This Row],[PLAZO Días]],"PAGO VENCIDO")</f>
        <v>PAGO VENCIDO</v>
      </c>
      <c r="C388" s="25">
        <f>+VLOOKUP(PROVEEDORES[[#This Row],[PROVEEDOR]],TERCEROS_INFO[#All],2,FALSE)</f>
        <v>30</v>
      </c>
      <c r="D388" s="30">
        <f>+SUMIFS(PROVEEDORES[Total],PROVEEDORES[PROVEEDOR],PROVEEDORES[[#This Row],[PROVEEDOR]],PROVEEDORES[FECHA DE PAGO],"")</f>
        <v>0</v>
      </c>
      <c r="E388" s="30"/>
      <c r="F388" s="73" t="str">
        <f>+VLOOKUP(PROVEEDORES[[#This Row],[PROVEEDOR]],TERCEROS_INFO[[PROVEEDOR]:[CORREO]],5,FALSE)</f>
        <v>juan.suarez@cosostenible.com;girlesa.ruiz@servipilas.com;joriescobar64@gmail.com</v>
      </c>
      <c r="G388" s="111">
        <v>44385</v>
      </c>
      <c r="H388" s="31" t="s">
        <v>50</v>
      </c>
      <c r="I388" s="111">
        <v>44342</v>
      </c>
      <c r="J388" s="48">
        <v>2568</v>
      </c>
      <c r="K388" s="26">
        <v>1134453</v>
      </c>
      <c r="L388" s="26"/>
      <c r="M388" s="27">
        <v>215546.07</v>
      </c>
      <c r="N388" s="28"/>
      <c r="O388" s="27">
        <v>0</v>
      </c>
      <c r="P388" s="28">
        <v>2.5000000000000001E-2</v>
      </c>
      <c r="Q388" s="27">
        <v>28361.325000000001</v>
      </c>
      <c r="R388" s="26">
        <v>1321637.7450000001</v>
      </c>
      <c r="S388" s="115">
        <f ca="1">IF(PROVEEDORES[[#This Row],[FECHA DE PAGO]]=0,TODAY()-PROVEEDORES[[#This Row],[FECHA DE FACTURACIÓN]]-PROVEEDORES[[#This Row],[PLAZO Días]],0)</f>
        <v>0</v>
      </c>
      <c r="T3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89" spans="1:20" ht="21.9" customHeight="1" x14ac:dyDescent="0.3">
      <c r="A389" s="113" t="str">
        <f>+IF(PROVEEDORES[[#This Row],[FECHA DE PAGO]]=PROVEEDORES[[#This Row],[FECHA DE FACTURACIÓN]],"DE CONTADO","CRÉDITO")</f>
        <v>CRÉDITO</v>
      </c>
      <c r="B389" s="51" t="str">
        <f>+IF((PROVEEDORES[[#This Row],[FECHA DE PAGO]]-PROVEEDORES[[#This Row],[FECHA DE FACTURACIÓN]])&gt;PROVEEDORES[[#This Row],[PLAZO Días]],"PAGO VENCIDO")</f>
        <v>PAGO VENCIDO</v>
      </c>
      <c r="C389" s="25">
        <f>+VLOOKUP(PROVEEDORES[[#This Row],[PROVEEDOR]],TERCEROS_INFO[#All],2,FALSE)</f>
        <v>30</v>
      </c>
      <c r="D389" s="30">
        <f>+SUMIFS(PROVEEDORES[Total],PROVEEDORES[PROVEEDOR],PROVEEDORES[[#This Row],[PROVEEDOR]],PROVEEDORES[FECHA DE PAGO],"")</f>
        <v>3750700</v>
      </c>
      <c r="E389" s="30"/>
      <c r="F389" s="73" t="str">
        <f>+VLOOKUP(PROVEEDORES[[#This Row],[PROVEEDOR]],TERCEROS_INFO[[PROVEEDOR]:[CORREO]],5,FALSE)</f>
        <v/>
      </c>
      <c r="G389" s="111">
        <v>44376</v>
      </c>
      <c r="H389" s="31" t="s">
        <v>996</v>
      </c>
      <c r="I389" s="111">
        <v>44342</v>
      </c>
      <c r="J389" s="48" t="s">
        <v>718</v>
      </c>
      <c r="K389" s="26">
        <v>1880000</v>
      </c>
      <c r="L389" s="26"/>
      <c r="M389" s="27">
        <v>0</v>
      </c>
      <c r="N389" s="28"/>
      <c r="O389" s="27">
        <v>0</v>
      </c>
      <c r="P389" s="28">
        <v>0</v>
      </c>
      <c r="Q389" s="27">
        <v>0</v>
      </c>
      <c r="R389" s="26">
        <v>1880000</v>
      </c>
      <c r="S389" s="115">
        <f ca="1">IF(PROVEEDORES[[#This Row],[FECHA DE PAGO]]=0,TODAY()-PROVEEDORES[[#This Row],[FECHA DE FACTURACIÓN]]-PROVEEDORES[[#This Row],[PLAZO Días]],0)</f>
        <v>0</v>
      </c>
      <c r="T3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0" spans="1:20" ht="21.9" customHeight="1" x14ac:dyDescent="0.3">
      <c r="A390" s="113" t="str">
        <f>+IF(PROVEEDORES[[#This Row],[FECHA DE PAGO]]=PROVEEDORES[[#This Row],[FECHA DE FACTURACIÓN]],"DE CONTADO","CRÉDITO")</f>
        <v>CRÉDITO</v>
      </c>
      <c r="B390" s="51" t="str">
        <f>+IF((PROVEEDORES[[#This Row],[FECHA DE PAGO]]-PROVEEDORES[[#This Row],[FECHA DE FACTURACIÓN]])&gt;PROVEEDORES[[#This Row],[PLAZO Días]],"PAGO VENCIDO")</f>
        <v>PAGO VENCIDO</v>
      </c>
      <c r="C390" s="25">
        <f>+VLOOKUP(PROVEEDORES[[#This Row],[PROVEEDOR]],TERCEROS_INFO[#All],2,FALSE)</f>
        <v>30</v>
      </c>
      <c r="D390" s="30">
        <f>+SUMIFS(PROVEEDORES[Total],PROVEEDORES[PROVEEDOR],PROVEEDORES[[#This Row],[PROVEEDOR]],PROVEEDORES[FECHA DE PAGO],"")</f>
        <v>2324514.0150000001</v>
      </c>
      <c r="E390" s="30"/>
      <c r="F390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390" s="111">
        <v>44385</v>
      </c>
      <c r="H390" s="31" t="s">
        <v>24</v>
      </c>
      <c r="I390" s="111">
        <v>44342</v>
      </c>
      <c r="J390" s="48" t="s">
        <v>385</v>
      </c>
      <c r="K390" s="26">
        <v>1976100</v>
      </c>
      <c r="L390" s="26"/>
      <c r="M390" s="27">
        <v>375459</v>
      </c>
      <c r="N390" s="28"/>
      <c r="O390" s="27">
        <v>0</v>
      </c>
      <c r="P390" s="28">
        <v>2.5000000000000001E-2</v>
      </c>
      <c r="Q390" s="27">
        <v>49402.5</v>
      </c>
      <c r="R390" s="26">
        <v>2302156.5</v>
      </c>
      <c r="S390" s="115">
        <f ca="1">IF(PROVEEDORES[[#This Row],[FECHA DE PAGO]]=0,TODAY()-PROVEEDORES[[#This Row],[FECHA DE FACTURACIÓN]]-PROVEEDORES[[#This Row],[PLAZO Días]],0)</f>
        <v>0</v>
      </c>
      <c r="T3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1" spans="1:20" ht="21.9" customHeight="1" x14ac:dyDescent="0.3">
      <c r="A391" s="113" t="str">
        <f>+IF(PROVEEDORES[[#This Row],[FECHA DE PAGO]]=PROVEEDORES[[#This Row],[FECHA DE FACTURACIÓN]],"DE CONTADO","CRÉDITO")</f>
        <v>CRÉDITO</v>
      </c>
      <c r="B391" s="51" t="str">
        <f>+IF((PROVEEDORES[[#This Row],[FECHA DE PAGO]]-PROVEEDORES[[#This Row],[FECHA DE FACTURACIÓN]])&gt;PROVEEDORES[[#This Row],[PLAZO Días]],"PAGO VENCIDO")</f>
        <v>PAGO VENCIDO</v>
      </c>
      <c r="C391" s="25">
        <f>+VLOOKUP(PROVEEDORES[[#This Row],[PROVEEDOR]],TERCEROS_INFO[#All],2,FALSE)</f>
        <v>30</v>
      </c>
      <c r="D391" s="30">
        <f>+SUMIFS(PROVEEDORES[Total],PROVEEDORES[PROVEEDOR],PROVEEDORES[[#This Row],[PROVEEDOR]],PROVEEDORES[FECHA DE PAGO],"")</f>
        <v>4078650.6</v>
      </c>
      <c r="E391" s="30"/>
      <c r="F391" s="73" t="str">
        <f>+VLOOKUP(PROVEEDORES[[#This Row],[PROVEEDOR]],TERCEROS_INFO[[PROVEEDOR]:[CORREO]],5,FALSE)</f>
        <v>financiera@nalpicentral.com;girlesa.ruiz@servipilas.com;joriescobar64@gmail.com</v>
      </c>
      <c r="G391" s="111">
        <v>44389</v>
      </c>
      <c r="H391" s="31" t="s">
        <v>1095</v>
      </c>
      <c r="I391" s="111">
        <v>44343</v>
      </c>
      <c r="J391" s="48">
        <v>7562</v>
      </c>
      <c r="K391" s="26">
        <v>444000</v>
      </c>
      <c r="L391" s="26"/>
      <c r="M391" s="27">
        <v>84360</v>
      </c>
      <c r="N391" s="28"/>
      <c r="O391" s="27">
        <v>0</v>
      </c>
      <c r="P391" s="28">
        <v>0</v>
      </c>
      <c r="Q391" s="27">
        <v>0</v>
      </c>
      <c r="R391" s="26">
        <v>528360</v>
      </c>
      <c r="S391" s="115">
        <f ca="1">IF(PROVEEDORES[[#This Row],[FECHA DE PAGO]]=0,TODAY()-PROVEEDORES[[#This Row],[FECHA DE FACTURACIÓN]]-PROVEEDORES[[#This Row],[PLAZO Días]],0)</f>
        <v>0</v>
      </c>
      <c r="T3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2" spans="1:20" ht="21.9" customHeight="1" x14ac:dyDescent="0.3">
      <c r="A392" s="113" t="str">
        <f>+IF(PROVEEDORES[[#This Row],[FECHA DE PAGO]]=PROVEEDORES[[#This Row],[FECHA DE FACTURACIÓN]],"DE CONTADO","CRÉDITO")</f>
        <v>DE CONTADO</v>
      </c>
      <c r="B392" s="51" t="b">
        <f>+IF((PROVEEDORES[[#This Row],[FECHA DE PAGO]]-PROVEEDORES[[#This Row],[FECHA DE FACTURACIÓN]])&gt;PROVEEDORES[[#This Row],[PLAZO Días]],"PAGO VENCIDO")</f>
        <v>0</v>
      </c>
      <c r="C392" s="25">
        <f>+VLOOKUP(PROVEEDORES[[#This Row],[PROVEEDOR]],TERCEROS_INFO[#All],2,FALSE)</f>
        <v>30</v>
      </c>
      <c r="D392" s="30">
        <f>+SUMIFS(PROVEEDORES[Total],PROVEEDORES[PROVEEDOR],PROVEEDORES[[#This Row],[PROVEEDOR]],PROVEEDORES[FECHA DE PAGO],"")</f>
        <v>0</v>
      </c>
      <c r="E392" s="30"/>
      <c r="F392" s="73" t="str">
        <f>+VLOOKUP(PROVEEDORES[[#This Row],[PROVEEDOR]],TERCEROS_INFO[[PROVEEDOR]:[CORREO]],5,FALSE)</f>
        <v/>
      </c>
      <c r="G392" s="111">
        <v>44343</v>
      </c>
      <c r="H392" s="31" t="s">
        <v>1052</v>
      </c>
      <c r="I392" s="111">
        <v>44343</v>
      </c>
      <c r="J392" s="48"/>
      <c r="K392" s="26">
        <v>600000</v>
      </c>
      <c r="L392" s="26"/>
      <c r="M392" s="27">
        <v>0</v>
      </c>
      <c r="N392" s="28"/>
      <c r="O392" s="27">
        <v>0</v>
      </c>
      <c r="P392" s="28">
        <v>0</v>
      </c>
      <c r="Q392" s="27">
        <v>0</v>
      </c>
      <c r="R392" s="26">
        <v>600000</v>
      </c>
      <c r="S392" s="115">
        <f ca="1">IF(PROVEEDORES[[#This Row],[FECHA DE PAGO]]=0,TODAY()-PROVEEDORES[[#This Row],[FECHA DE FACTURACIÓN]]-PROVEEDORES[[#This Row],[PLAZO Días]],0)</f>
        <v>0</v>
      </c>
      <c r="T3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3" spans="1:20" ht="21.9" customHeight="1" x14ac:dyDescent="0.3">
      <c r="A393" s="113" t="str">
        <f>+IF(PROVEEDORES[[#This Row],[FECHA DE PAGO]]=PROVEEDORES[[#This Row],[FECHA DE FACTURACIÓN]],"DE CONTADO","CRÉDITO")</f>
        <v>CRÉDITO</v>
      </c>
      <c r="B393" s="51" t="str">
        <f>+IF((PROVEEDORES[[#This Row],[FECHA DE PAGO]]-PROVEEDORES[[#This Row],[FECHA DE FACTURACIÓN]])&gt;PROVEEDORES[[#This Row],[PLAZO Días]],"PAGO VENCIDO")</f>
        <v>PAGO VENCIDO</v>
      </c>
      <c r="C393" s="25">
        <f>+VLOOKUP(PROVEEDORES[[#This Row],[PROVEEDOR]],TERCEROS_INFO[#All],2,FALSE)</f>
        <v>30</v>
      </c>
      <c r="D393" s="30">
        <f>+SUMIFS(PROVEEDORES[Total],PROVEEDORES[PROVEEDOR],PROVEEDORES[[#This Row],[PROVEEDOR]],PROVEEDORES[FECHA DE PAGO],"")</f>
        <v>0</v>
      </c>
      <c r="E393" s="30"/>
      <c r="F393" s="73" t="str">
        <f>+VLOOKUP(PROVEEDORES[[#This Row],[PROVEEDOR]],TERCEROS_INFO[[PROVEEDOR]:[CORREO]],5,FALSE)</f>
        <v>juan.suarez@cosostenible.com;girlesa.ruiz@servipilas.com;joriescobar64@gmail.com</v>
      </c>
      <c r="G393" s="111">
        <v>44385</v>
      </c>
      <c r="H393" s="31" t="s">
        <v>50</v>
      </c>
      <c r="I393" s="111">
        <v>44343</v>
      </c>
      <c r="J393" s="48">
        <v>2575</v>
      </c>
      <c r="K393" s="26">
        <v>1080000</v>
      </c>
      <c r="L393" s="26"/>
      <c r="M393" s="27">
        <v>205200</v>
      </c>
      <c r="N393" s="28"/>
      <c r="O393" s="27">
        <v>0</v>
      </c>
      <c r="P393" s="28">
        <v>2.5000000000000001E-2</v>
      </c>
      <c r="Q393" s="27">
        <v>27000</v>
      </c>
      <c r="R393" s="26">
        <v>1258200</v>
      </c>
      <c r="S393" s="115">
        <f ca="1">IF(PROVEEDORES[[#This Row],[FECHA DE PAGO]]=0,TODAY()-PROVEEDORES[[#This Row],[FECHA DE FACTURACIÓN]]-PROVEEDORES[[#This Row],[PLAZO Días]],0)</f>
        <v>0</v>
      </c>
      <c r="T3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4" spans="1:20" ht="21.9" customHeight="1" x14ac:dyDescent="0.3">
      <c r="A394" s="113" t="str">
        <f>+IF(PROVEEDORES[[#This Row],[FECHA DE PAGO]]=PROVEEDORES[[#This Row],[FECHA DE FACTURACIÓN]],"DE CONTADO","CRÉDITO")</f>
        <v>CRÉDITO</v>
      </c>
      <c r="B394" s="51" t="str">
        <f>+IF((PROVEEDORES[[#This Row],[FECHA DE PAGO]]-PROVEEDORES[[#This Row],[FECHA DE FACTURACIÓN]])&gt;PROVEEDORES[[#This Row],[PLAZO Días]],"PAGO VENCIDO")</f>
        <v>PAGO VENCIDO</v>
      </c>
      <c r="C394" s="25">
        <f>+VLOOKUP(PROVEEDORES[[#This Row],[PROVEEDOR]],TERCEROS_INFO[#All],2,FALSE)</f>
        <v>30</v>
      </c>
      <c r="D394" s="30">
        <f>+SUMIFS(PROVEEDORES[Total],PROVEEDORES[PROVEEDOR],PROVEEDORES[[#This Row],[PROVEEDOR]],PROVEEDORES[FECHA DE PAGO],"")</f>
        <v>1451823</v>
      </c>
      <c r="E394" s="30"/>
      <c r="F394" s="73" t="str">
        <f>+VLOOKUP(PROVEEDORES[[#This Row],[PROVEEDOR]],TERCEROS_INFO[[PROVEEDOR]:[CORREO]],5,FALSE)</f>
        <v>cartera@ienewline.com;andres.arroyave@ienewline.com;girlesa.ruiz@servipilas.com;joriescobar64@gmail.com</v>
      </c>
      <c r="G394" s="111">
        <v>44389</v>
      </c>
      <c r="H394" s="31" t="s">
        <v>1131</v>
      </c>
      <c r="I394" s="111">
        <v>44343</v>
      </c>
      <c r="J394" s="48">
        <v>17710</v>
      </c>
      <c r="K394" s="26">
        <v>12588000</v>
      </c>
      <c r="L394" s="26"/>
      <c r="M394" s="27">
        <v>2391720</v>
      </c>
      <c r="N394" s="28"/>
      <c r="O394" s="27">
        <v>0</v>
      </c>
      <c r="P394" s="28">
        <v>2.5000000000000001E-2</v>
      </c>
      <c r="Q394" s="27">
        <v>314700</v>
      </c>
      <c r="R394" s="26">
        <v>14665020</v>
      </c>
      <c r="S394" s="115">
        <f ca="1">IF(PROVEEDORES[[#This Row],[FECHA DE PAGO]]=0,TODAY()-PROVEEDORES[[#This Row],[FECHA DE FACTURACIÓN]]-PROVEEDORES[[#This Row],[PLAZO Días]],0)</f>
        <v>0</v>
      </c>
      <c r="T3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5" spans="1:20" ht="21.9" customHeight="1" x14ac:dyDescent="0.3">
      <c r="A395" s="113" t="str">
        <f>+IF(PROVEEDORES[[#This Row],[FECHA DE PAGO]]=PROVEEDORES[[#This Row],[FECHA DE FACTURACIÓN]],"DE CONTADO","CRÉDITO")</f>
        <v>CRÉDITO</v>
      </c>
      <c r="B395" s="51" t="b">
        <f>+IF((PROVEEDORES[[#This Row],[FECHA DE PAGO]]-PROVEEDORES[[#This Row],[FECHA DE FACTURACIÓN]])&gt;PROVEEDORES[[#This Row],[PLAZO Días]],"PAGO VENCIDO")</f>
        <v>0</v>
      </c>
      <c r="C395" s="25">
        <f>+VLOOKUP(PROVEEDORES[[#This Row],[PROVEEDOR]],TERCEROS_INFO[#All],2,FALSE)</f>
        <v>30</v>
      </c>
      <c r="D395" s="30">
        <f>+SUMIFS(PROVEEDORES[Total],PROVEEDORES[PROVEEDOR],PROVEEDORES[[#This Row],[PROVEEDOR]],PROVEEDORES[FECHA DE PAGO],"")</f>
        <v>-30345</v>
      </c>
      <c r="E395" s="30"/>
      <c r="F395" s="73" t="str">
        <f>+VLOOKUP(PROVEEDORES[[#This Row],[PROVEEDOR]],TERCEROS_INFO[[PROVEEDOR]:[CORREO]],5,FALSE)</f>
        <v>ventasmegamundo@yahoo.es;girlesa.ruiz@servipilas.com;joriescobar64@gmail.com</v>
      </c>
      <c r="G395" s="111">
        <v>44328</v>
      </c>
      <c r="H395" s="31" t="s">
        <v>1146</v>
      </c>
      <c r="I395" s="111">
        <v>44344</v>
      </c>
      <c r="J395" s="48">
        <v>23</v>
      </c>
      <c r="K395" s="26">
        <v>-100842</v>
      </c>
      <c r="L395" s="26"/>
      <c r="M395" s="27">
        <v>-19159.98</v>
      </c>
      <c r="N395" s="28"/>
      <c r="O395" s="27">
        <v>0</v>
      </c>
      <c r="P395" s="28">
        <v>0</v>
      </c>
      <c r="Q395" s="27">
        <v>0</v>
      </c>
      <c r="R395" s="26">
        <v>-120001.98</v>
      </c>
      <c r="S395" s="115">
        <f ca="1">IF(PROVEEDORES[[#This Row],[FECHA DE PAGO]]=0,TODAY()-PROVEEDORES[[#This Row],[FECHA DE FACTURACIÓN]]-PROVEEDORES[[#This Row],[PLAZO Días]],0)</f>
        <v>0</v>
      </c>
      <c r="T3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6" spans="1:20" ht="21.9" customHeight="1" x14ac:dyDescent="0.3">
      <c r="A396" s="113" t="str">
        <f>+IF(PROVEEDORES[[#This Row],[FECHA DE PAGO]]=PROVEEDORES[[#This Row],[FECHA DE FACTURACIÓN]],"DE CONTADO","CRÉDITO")</f>
        <v>DE CONTADO</v>
      </c>
      <c r="B396" s="51" t="b">
        <f>+IF((PROVEEDORES[[#This Row],[FECHA DE PAGO]]-PROVEEDORES[[#This Row],[FECHA DE FACTURACIÓN]])&gt;PROVEEDORES[[#This Row],[PLAZO Días]],"PAGO VENCIDO")</f>
        <v>0</v>
      </c>
      <c r="C396" s="25">
        <f>+VLOOKUP(PROVEEDORES[[#This Row],[PROVEEDOR]],TERCEROS_INFO[#All],2,FALSE)</f>
        <v>30</v>
      </c>
      <c r="D396" s="30">
        <f>+SUMIFS(PROVEEDORES[Total],PROVEEDORES[PROVEEDOR],PROVEEDORES[[#This Row],[PROVEEDOR]],PROVEEDORES[FECHA DE PAGO],"")</f>
        <v>0</v>
      </c>
      <c r="E396" s="30"/>
      <c r="F396" s="73" t="str">
        <f>+VLOOKUP(PROVEEDORES[[#This Row],[PROVEEDOR]],TERCEROS_INFO[[PROVEEDOR]:[CORREO]],5,FALSE)</f>
        <v/>
      </c>
      <c r="G396" s="111">
        <v>44347</v>
      </c>
      <c r="H396" s="31" t="s">
        <v>1016</v>
      </c>
      <c r="I396" s="111">
        <v>44347</v>
      </c>
      <c r="J396" s="48" t="s">
        <v>944</v>
      </c>
      <c r="K396" s="26">
        <v>0</v>
      </c>
      <c r="L396" s="26"/>
      <c r="M396" s="27">
        <v>0</v>
      </c>
      <c r="N396" s="28"/>
      <c r="O396" s="27">
        <v>0</v>
      </c>
      <c r="P396" s="28">
        <v>0</v>
      </c>
      <c r="Q396" s="27">
        <v>0</v>
      </c>
      <c r="R396" s="26">
        <v>0</v>
      </c>
      <c r="S396" s="115">
        <f ca="1">IF(PROVEEDORES[[#This Row],[FECHA DE PAGO]]=0,TODAY()-PROVEEDORES[[#This Row],[FECHA DE FACTURACIÓN]]-PROVEEDORES[[#This Row],[PLAZO Días]],0)</f>
        <v>0</v>
      </c>
      <c r="T39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7" spans="1:20" ht="21.9" customHeight="1" x14ac:dyDescent="0.3">
      <c r="A397" s="113" t="str">
        <f>+IF(PROVEEDORES[[#This Row],[FECHA DE PAGO]]=PROVEEDORES[[#This Row],[FECHA DE FACTURACIÓN]],"DE CONTADO","CRÉDITO")</f>
        <v>CRÉDITO</v>
      </c>
      <c r="B397" s="51" t="b">
        <f>+IF((PROVEEDORES[[#This Row],[FECHA DE PAGO]]-PROVEEDORES[[#This Row],[FECHA DE FACTURACIÓN]])&gt;PROVEEDORES[[#This Row],[PLAZO Días]],"PAGO VENCIDO")</f>
        <v>0</v>
      </c>
      <c r="C397" s="25">
        <f>+VLOOKUP(PROVEEDORES[[#This Row],[PROVEEDOR]],TERCEROS_INFO[#All],2,FALSE)</f>
        <v>30</v>
      </c>
      <c r="D397" s="30">
        <f>+SUMIFS(PROVEEDORES[Total],PROVEEDORES[PROVEEDOR],PROVEEDORES[[#This Row],[PROVEEDOR]],PROVEEDORES[FECHA DE PAGO],"")</f>
        <v>0</v>
      </c>
      <c r="E397" s="30"/>
      <c r="F397" s="73" t="str">
        <f>+VLOOKUP(PROVEEDORES[[#This Row],[PROVEEDOR]],TERCEROS_INFO[[PROVEEDOR]:[CORREO]],5,FALSE)</f>
        <v>senalizacionyavisos@gmail.com;girlesa.ruiz@servipilas.com;joriescobar64@gmail.com</v>
      </c>
      <c r="G397" s="111">
        <v>44351</v>
      </c>
      <c r="H397" s="31" t="s">
        <v>341</v>
      </c>
      <c r="I397" s="111">
        <v>44347</v>
      </c>
      <c r="J397" s="48">
        <v>559</v>
      </c>
      <c r="K397" s="26">
        <v>250000</v>
      </c>
      <c r="L397" s="26"/>
      <c r="M397" s="27">
        <v>47500</v>
      </c>
      <c r="N397" s="28"/>
      <c r="O397" s="27">
        <v>0</v>
      </c>
      <c r="P397" s="28">
        <v>0</v>
      </c>
      <c r="Q397" s="27">
        <v>0</v>
      </c>
      <c r="R397" s="26">
        <v>297500</v>
      </c>
      <c r="S397" s="115">
        <f ca="1">IF(PROVEEDORES[[#This Row],[FECHA DE PAGO]]=0,TODAY()-PROVEEDORES[[#This Row],[FECHA DE FACTURACIÓN]]-PROVEEDORES[[#This Row],[PLAZO Días]],0)</f>
        <v>0</v>
      </c>
      <c r="T39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8" spans="1:20" ht="21.9" customHeight="1" x14ac:dyDescent="0.3">
      <c r="A398" s="113" t="str">
        <f>+IF(PROVEEDORES[[#This Row],[FECHA DE PAGO]]=PROVEEDORES[[#This Row],[FECHA DE FACTURACIÓN]],"DE CONTADO","CRÉDITO")</f>
        <v>DE CONTADO</v>
      </c>
      <c r="B398" s="51" t="b">
        <f>+IF((PROVEEDORES[[#This Row],[FECHA DE PAGO]]-PROVEEDORES[[#This Row],[FECHA DE FACTURACIÓN]])&gt;PROVEEDORES[[#This Row],[PLAZO Días]],"PAGO VENCIDO")</f>
        <v>0</v>
      </c>
      <c r="C398" s="25">
        <f>+VLOOKUP(PROVEEDORES[[#This Row],[PROVEEDOR]],TERCEROS_INFO[#All],2,FALSE)</f>
        <v>30</v>
      </c>
      <c r="D398" s="30">
        <f>+SUMIFS(PROVEEDORES[Total],PROVEEDORES[PROVEEDOR],PROVEEDORES[[#This Row],[PROVEEDOR]],PROVEEDORES[FECHA DE PAGO],"")</f>
        <v>0</v>
      </c>
      <c r="E398" s="30"/>
      <c r="F398" s="73" t="str">
        <f>+VLOOKUP(PROVEEDORES[[#This Row],[PROVEEDOR]],TERCEROS_INFO[[PROVEEDOR]:[CORREO]],5,FALSE)</f>
        <v/>
      </c>
      <c r="G398" s="111">
        <v>44347</v>
      </c>
      <c r="H398" s="31" t="s">
        <v>1037</v>
      </c>
      <c r="I398" s="111">
        <v>44347</v>
      </c>
      <c r="J398" s="48" t="s">
        <v>720</v>
      </c>
      <c r="K398" s="26">
        <v>384000</v>
      </c>
      <c r="L398" s="26"/>
      <c r="M398" s="27">
        <v>0</v>
      </c>
      <c r="N398" s="28"/>
      <c r="O398" s="27">
        <v>0</v>
      </c>
      <c r="P398" s="28">
        <v>0</v>
      </c>
      <c r="Q398" s="27">
        <v>0</v>
      </c>
      <c r="R398" s="26">
        <v>384000</v>
      </c>
      <c r="S398" s="115">
        <f ca="1">IF(PROVEEDORES[[#This Row],[FECHA DE PAGO]]=0,TODAY()-PROVEEDORES[[#This Row],[FECHA DE FACTURACIÓN]]-PROVEEDORES[[#This Row],[PLAZO Días]],0)</f>
        <v>0</v>
      </c>
      <c r="T3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399" spans="1:20" ht="21.9" customHeight="1" x14ac:dyDescent="0.3">
      <c r="A399" s="113" t="str">
        <f>+IF(PROVEEDORES[[#This Row],[FECHA DE PAGO]]=PROVEEDORES[[#This Row],[FECHA DE FACTURACIÓN]],"DE CONTADO","CRÉDITO")</f>
        <v>DE CONTADO</v>
      </c>
      <c r="B399" s="51" t="b">
        <f>+IF((PROVEEDORES[[#This Row],[FECHA DE PAGO]]-PROVEEDORES[[#This Row],[FECHA DE FACTURACIÓN]])&gt;PROVEEDORES[[#This Row],[PLAZO Días]],"PAGO VENCIDO")</f>
        <v>0</v>
      </c>
      <c r="C399" s="25">
        <f>+VLOOKUP(PROVEEDORES[[#This Row],[PROVEEDOR]],TERCEROS_INFO[#All],2,FALSE)</f>
        <v>30</v>
      </c>
      <c r="D399" s="30">
        <f>+SUMIFS(PROVEEDORES[Total],PROVEEDORES[PROVEEDOR],PROVEEDORES[[#This Row],[PROVEEDOR]],PROVEEDORES[FECHA DE PAGO],"")</f>
        <v>0</v>
      </c>
      <c r="E399" s="30"/>
      <c r="F399" s="73" t="str">
        <f>+VLOOKUP(PROVEEDORES[[#This Row],[PROVEEDOR]],TERCEROS_INFO[[PROVEEDOR]:[CORREO]],5,FALSE)</f>
        <v/>
      </c>
      <c r="G399" s="111">
        <v>44347</v>
      </c>
      <c r="H399" s="31" t="s">
        <v>1052</v>
      </c>
      <c r="I399" s="111">
        <v>44347</v>
      </c>
      <c r="J399" s="48"/>
      <c r="K399" s="26">
        <v>600000</v>
      </c>
      <c r="L399" s="26"/>
      <c r="M399" s="27">
        <v>0</v>
      </c>
      <c r="N399" s="28"/>
      <c r="O399" s="27">
        <v>0</v>
      </c>
      <c r="P399" s="28">
        <v>0</v>
      </c>
      <c r="Q399" s="27">
        <v>0</v>
      </c>
      <c r="R399" s="26">
        <v>600000</v>
      </c>
      <c r="S399" s="115">
        <f ca="1">IF(PROVEEDORES[[#This Row],[FECHA DE PAGO]]=0,TODAY()-PROVEEDORES[[#This Row],[FECHA DE FACTURACIÓN]]-PROVEEDORES[[#This Row],[PLAZO Días]],0)</f>
        <v>0</v>
      </c>
      <c r="T3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0" spans="1:20" ht="21.9" customHeight="1" x14ac:dyDescent="0.3">
      <c r="A400" s="113" t="str">
        <f>+IF(PROVEEDORES[[#This Row],[FECHA DE PAGO]]=PROVEEDORES[[#This Row],[FECHA DE FACTURACIÓN]],"DE CONTADO","CRÉDITO")</f>
        <v>DE CONTADO</v>
      </c>
      <c r="B400" s="51" t="b">
        <f>+IF((PROVEEDORES[[#This Row],[FECHA DE PAGO]]-PROVEEDORES[[#This Row],[FECHA DE FACTURACIÓN]])&gt;PROVEEDORES[[#This Row],[PLAZO Días]],"PAGO VENCIDO")</f>
        <v>0</v>
      </c>
      <c r="C400" s="25">
        <f>+VLOOKUP(PROVEEDORES[[#This Row],[PROVEEDOR]],TERCEROS_INFO[#All],2,FALSE)</f>
        <v>30</v>
      </c>
      <c r="D400" s="30">
        <f>+SUMIFS(PROVEEDORES[Total],PROVEEDORES[PROVEEDOR],PROVEEDORES[[#This Row],[PROVEEDOR]],PROVEEDORES[FECHA DE PAGO],"")</f>
        <v>0</v>
      </c>
      <c r="E400" s="30"/>
      <c r="F400" s="73" t="str">
        <f>+VLOOKUP(PROVEEDORES[[#This Row],[PROVEEDOR]],TERCEROS_INFO[[PROVEEDOR]:[CORREO]],5,FALSE)</f>
        <v/>
      </c>
      <c r="G400" s="111">
        <v>44347</v>
      </c>
      <c r="H400" s="31" t="s">
        <v>1016</v>
      </c>
      <c r="I400" s="111">
        <v>44347</v>
      </c>
      <c r="J400" s="48" t="s">
        <v>182</v>
      </c>
      <c r="K400" s="26">
        <v>709000</v>
      </c>
      <c r="L400" s="26"/>
      <c r="M400" s="27">
        <v>0</v>
      </c>
      <c r="N400" s="28"/>
      <c r="O400" s="27">
        <v>0</v>
      </c>
      <c r="P400" s="28">
        <v>0</v>
      </c>
      <c r="Q400" s="27">
        <v>0</v>
      </c>
      <c r="R400" s="26">
        <v>709000</v>
      </c>
      <c r="S400" s="115">
        <f ca="1">IF(PROVEEDORES[[#This Row],[FECHA DE PAGO]]=0,TODAY()-PROVEEDORES[[#This Row],[FECHA DE FACTURACIÓN]]-PROVEEDORES[[#This Row],[PLAZO Días]],0)</f>
        <v>0</v>
      </c>
      <c r="T40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1" spans="1:20" ht="21.9" customHeight="1" x14ac:dyDescent="0.3">
      <c r="A401" s="113" t="str">
        <f>+IF(PROVEEDORES[[#This Row],[FECHA DE PAGO]]=PROVEEDORES[[#This Row],[FECHA DE FACTURACIÓN]],"DE CONTADO","CRÉDITO")</f>
        <v>DE CONTADO</v>
      </c>
      <c r="B401" s="51" t="b">
        <f>+IF((PROVEEDORES[[#This Row],[FECHA DE PAGO]]-PROVEEDORES[[#This Row],[FECHA DE FACTURACIÓN]])&gt;PROVEEDORES[[#This Row],[PLAZO Días]],"PAGO VENCIDO")</f>
        <v>0</v>
      </c>
      <c r="C401" s="25">
        <f>+VLOOKUP(PROVEEDORES[[#This Row],[PROVEEDOR]],TERCEROS_INFO[#All],2,FALSE)</f>
        <v>30</v>
      </c>
      <c r="D401" s="30">
        <f>+SUMIFS(PROVEEDORES[Total],PROVEEDORES[PROVEEDOR],PROVEEDORES[[#This Row],[PROVEEDOR]],PROVEEDORES[FECHA DE PAGO],"")</f>
        <v>0</v>
      </c>
      <c r="E401" s="30"/>
      <c r="F401" s="73" t="str">
        <f>+VLOOKUP(PROVEEDORES[[#This Row],[PROVEEDOR]],TERCEROS_INFO[[PROVEEDOR]:[CORREO]],5,FALSE)</f>
        <v/>
      </c>
      <c r="G401" s="111">
        <v>44347</v>
      </c>
      <c r="H401" s="31" t="s">
        <v>1016</v>
      </c>
      <c r="I401" s="111">
        <v>44347</v>
      </c>
      <c r="J401" s="48" t="s">
        <v>945</v>
      </c>
      <c r="K401" s="26">
        <v>1095000</v>
      </c>
      <c r="L401" s="26"/>
      <c r="M401" s="27">
        <v>0</v>
      </c>
      <c r="N401" s="28"/>
      <c r="O401" s="27">
        <v>0</v>
      </c>
      <c r="P401" s="28">
        <v>0</v>
      </c>
      <c r="Q401" s="27">
        <v>0</v>
      </c>
      <c r="R401" s="26">
        <v>1095000</v>
      </c>
      <c r="S401" s="115">
        <f ca="1">IF(PROVEEDORES[[#This Row],[FECHA DE PAGO]]=0,TODAY()-PROVEEDORES[[#This Row],[FECHA DE FACTURACIÓN]]-PROVEEDORES[[#This Row],[PLAZO Días]],0)</f>
        <v>0</v>
      </c>
      <c r="T4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2" spans="1:20" ht="21.9" customHeight="1" x14ac:dyDescent="0.3">
      <c r="A402" s="113" t="str">
        <f>+IF(PROVEEDORES[[#This Row],[FECHA DE PAGO]]=PROVEEDORES[[#This Row],[FECHA DE FACTURACIÓN]],"DE CONTADO","CRÉDITO")</f>
        <v>CRÉDITO</v>
      </c>
      <c r="B402" s="51" t="str">
        <f>+IF((PROVEEDORES[[#This Row],[FECHA DE PAGO]]-PROVEEDORES[[#This Row],[FECHA DE FACTURACIÓN]])&gt;PROVEEDORES[[#This Row],[PLAZO Días]],"PAGO VENCIDO")</f>
        <v>PAGO VENCIDO</v>
      </c>
      <c r="C402" s="25">
        <f>+VLOOKUP(PROVEEDORES[[#This Row],[PROVEEDOR]],TERCEROS_INFO[#All],2,FALSE)</f>
        <v>30</v>
      </c>
      <c r="D402" s="30">
        <f>+SUMIFS(PROVEEDORES[Total],PROVEEDORES[PROVEEDOR],PROVEEDORES[[#This Row],[PROVEEDOR]],PROVEEDORES[FECHA DE PAGO],"")</f>
        <v>1119790</v>
      </c>
      <c r="E402" s="30"/>
      <c r="F402" s="73" t="str">
        <f>+VLOOKUP(PROVEEDORES[[#This Row],[PROVEEDOR]],TERCEROS_INFO[[PROVEEDOR]:[CORREO]],5,FALSE)</f>
        <v>MVALENCIA@mps.com.co;girlesa.ruiz@servipilas.com;joriescobar64@gmail.com</v>
      </c>
      <c r="G402" s="111">
        <v>44385</v>
      </c>
      <c r="H402" s="31" t="s">
        <v>17</v>
      </c>
      <c r="I402" s="111">
        <v>44347</v>
      </c>
      <c r="J402" s="48">
        <v>1771481</v>
      </c>
      <c r="K402" s="26">
        <v>1750330</v>
      </c>
      <c r="L402" s="26"/>
      <c r="M402" s="27">
        <v>0</v>
      </c>
      <c r="N402" s="28"/>
      <c r="O402" s="27">
        <v>0</v>
      </c>
      <c r="P402" s="28">
        <v>0</v>
      </c>
      <c r="Q402" s="27">
        <v>0</v>
      </c>
      <c r="R402" s="26">
        <v>1750330</v>
      </c>
      <c r="S402" s="115">
        <f ca="1">IF(PROVEEDORES[[#This Row],[FECHA DE PAGO]]=0,TODAY()-PROVEEDORES[[#This Row],[FECHA DE FACTURACIÓN]]-PROVEEDORES[[#This Row],[PLAZO Días]],0)</f>
        <v>0</v>
      </c>
      <c r="T4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3" spans="1:20" ht="21.9" customHeight="1" x14ac:dyDescent="0.3">
      <c r="A403" s="113" t="str">
        <f>+IF(PROVEEDORES[[#This Row],[FECHA DE PAGO]]=PROVEEDORES[[#This Row],[FECHA DE FACTURACIÓN]],"DE CONTADO","CRÉDITO")</f>
        <v>CRÉDITO</v>
      </c>
      <c r="B403" s="51" t="str">
        <f>+IF((PROVEEDORES[[#This Row],[FECHA DE PAGO]]-PROVEEDORES[[#This Row],[FECHA DE FACTURACIÓN]])&gt;PROVEEDORES[[#This Row],[PLAZO Días]],"PAGO VENCIDO")</f>
        <v>PAGO VENCIDO</v>
      </c>
      <c r="C403" s="25">
        <f>+VLOOKUP(PROVEEDORES[[#This Row],[PROVEEDOR]],TERCEROS_INFO[#All],2,FALSE)</f>
        <v>30</v>
      </c>
      <c r="D403" s="30">
        <f>+SUMIFS(PROVEEDORES[Total],PROVEEDORES[PROVEEDOR],PROVEEDORES[[#This Row],[PROVEEDOR]],PROVEEDORES[FECHA DE PAGO],"")</f>
        <v>1064947.47</v>
      </c>
      <c r="E403" s="30"/>
      <c r="F403" s="73" t="str">
        <f>+VLOOKUP(PROVEEDORES[[#This Row],[PROVEEDOR]],TERCEROS_INFO[[PROVEEDOR]:[CORREO]],5,FALSE)</f>
        <v>supervisorventasbridge@gmail.com;newtimewatches1@gmail.com;girlesa.ruiz@servipilas.com;joriescobar64@gmail.com</v>
      </c>
      <c r="G403" s="111">
        <v>44396</v>
      </c>
      <c r="H403" s="31" t="s">
        <v>137</v>
      </c>
      <c r="I403" s="111">
        <v>44347</v>
      </c>
      <c r="J403" s="48">
        <v>34</v>
      </c>
      <c r="K403" s="26">
        <v>2163521</v>
      </c>
      <c r="L403" s="26">
        <v>349434</v>
      </c>
      <c r="M403" s="27">
        <v>344676.53</v>
      </c>
      <c r="N403" s="28"/>
      <c r="O403" s="27">
        <v>0</v>
      </c>
      <c r="P403" s="28">
        <v>2.5000000000000001E-2</v>
      </c>
      <c r="Q403" s="27">
        <v>45352.175000000003</v>
      </c>
      <c r="R403" s="26">
        <v>2113411.3550000004</v>
      </c>
      <c r="S403" s="115">
        <f ca="1">IF(PROVEEDORES[[#This Row],[FECHA DE PAGO]]=0,TODAY()-PROVEEDORES[[#This Row],[FECHA DE FACTURACIÓN]]-PROVEEDORES[[#This Row],[PLAZO Días]],0)</f>
        <v>0</v>
      </c>
      <c r="T4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4" spans="1:20" ht="21.9" customHeight="1" x14ac:dyDescent="0.3">
      <c r="A404" s="113" t="str">
        <f>+IF(PROVEEDORES[[#This Row],[FECHA DE PAGO]]=PROVEEDORES[[#This Row],[FECHA DE FACTURACIÓN]],"DE CONTADO","CRÉDITO")</f>
        <v>DE CONTADO</v>
      </c>
      <c r="B404" s="51" t="b">
        <f>+IF((PROVEEDORES[[#This Row],[FECHA DE PAGO]]-PROVEEDORES[[#This Row],[FECHA DE FACTURACIÓN]])&gt;PROVEEDORES[[#This Row],[PLAZO Días]],"PAGO VENCIDO")</f>
        <v>0</v>
      </c>
      <c r="C404" s="25">
        <f>+VLOOKUP(PROVEEDORES[[#This Row],[PROVEEDOR]],TERCEROS_INFO[#All],2,FALSE)</f>
        <v>30</v>
      </c>
      <c r="D404" s="30">
        <f>+SUMIFS(PROVEEDORES[Total],PROVEEDORES[PROVEEDOR],PROVEEDORES[[#This Row],[PROVEEDOR]],PROVEEDORES[FECHA DE PAGO],"")</f>
        <v>0</v>
      </c>
      <c r="E404" s="30"/>
      <c r="F404" s="73" t="str">
        <f>+VLOOKUP(PROVEEDORES[[#This Row],[PROVEEDOR]],TERCEROS_INFO[[PROVEEDOR]:[CORREO]],5,FALSE)</f>
        <v/>
      </c>
      <c r="G404" s="111">
        <v>44347</v>
      </c>
      <c r="H404" s="31" t="s">
        <v>1016</v>
      </c>
      <c r="I404" s="111">
        <v>44347</v>
      </c>
      <c r="J404" s="48" t="s">
        <v>946</v>
      </c>
      <c r="K404" s="26">
        <v>2264200</v>
      </c>
      <c r="L404" s="26"/>
      <c r="M404" s="27">
        <v>0</v>
      </c>
      <c r="N404" s="28"/>
      <c r="O404" s="27">
        <v>0</v>
      </c>
      <c r="P404" s="28">
        <v>0</v>
      </c>
      <c r="Q404" s="27">
        <v>0</v>
      </c>
      <c r="R404" s="26">
        <v>2264200</v>
      </c>
      <c r="S404" s="115">
        <f ca="1">IF(PROVEEDORES[[#This Row],[FECHA DE PAGO]]=0,TODAY()-PROVEEDORES[[#This Row],[FECHA DE FACTURACIÓN]]-PROVEEDORES[[#This Row],[PLAZO Días]],0)</f>
        <v>0</v>
      </c>
      <c r="T4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5" spans="1:20" ht="21.9" customHeight="1" x14ac:dyDescent="0.3">
      <c r="A405" s="113" t="str">
        <f>+IF(PROVEEDORES[[#This Row],[FECHA DE PAGO]]=PROVEEDORES[[#This Row],[FECHA DE FACTURACIÓN]],"DE CONTADO","CRÉDITO")</f>
        <v>CRÉDITO</v>
      </c>
      <c r="B405" s="51" t="b">
        <f>+IF((PROVEEDORES[[#This Row],[FECHA DE PAGO]]-PROVEEDORES[[#This Row],[FECHA DE FACTURACIÓN]])&gt;PROVEEDORES[[#This Row],[PLAZO Días]],"PAGO VENCIDO")</f>
        <v>0</v>
      </c>
      <c r="C405" s="25">
        <f>+VLOOKUP(PROVEEDORES[[#This Row],[PROVEEDOR]],TERCEROS_INFO[#All],2,FALSE)</f>
        <v>20</v>
      </c>
      <c r="D405" s="30">
        <f>+SUMIFS(PROVEEDORES[Total],PROVEEDORES[PROVEEDOR],PROVEEDORES[[#This Row],[PROVEEDOR]],PROVEEDORES[FECHA DE PAGO],"")</f>
        <v>0</v>
      </c>
      <c r="E405" s="30"/>
      <c r="F405" s="73" t="str">
        <f>+VLOOKUP(PROVEEDORES[[#This Row],[PROVEEDOR]],TERCEROS_INFO[[PROVEEDOR]:[CORREO]],5,FALSE)</f>
        <v>bog.fa1@pressex.co;bog.fm1@pressex.co;kbaumgartner@pressex.co;girlesa.ruiz@servipilas.com;joriescobar64@gmail.com</v>
      </c>
      <c r="G405" s="111">
        <v>44351</v>
      </c>
      <c r="H405" s="31" t="s">
        <v>377</v>
      </c>
      <c r="I405" s="111">
        <v>44347</v>
      </c>
      <c r="J405" s="48" t="s">
        <v>497</v>
      </c>
      <c r="K405" s="26">
        <v>2629762.6722689075</v>
      </c>
      <c r="L405" s="26"/>
      <c r="M405" s="27">
        <v>499654.90773109242</v>
      </c>
      <c r="N405" s="28"/>
      <c r="O405" s="27">
        <v>0</v>
      </c>
      <c r="P405" s="28">
        <v>0.04</v>
      </c>
      <c r="Q405" s="27">
        <v>17929</v>
      </c>
      <c r="R405" s="26">
        <v>3111488.58</v>
      </c>
      <c r="S405" s="115">
        <f ca="1">IF(PROVEEDORES[[#This Row],[FECHA DE PAGO]]=0,TODAY()-PROVEEDORES[[#This Row],[FECHA DE FACTURACIÓN]]-PROVEEDORES[[#This Row],[PLAZO Días]],0)</f>
        <v>0</v>
      </c>
      <c r="T40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6" spans="1:20" ht="21.9" customHeight="1" x14ac:dyDescent="0.3">
      <c r="A406" s="113" t="str">
        <f>+IF(PROVEEDORES[[#This Row],[FECHA DE PAGO]]=PROVEEDORES[[#This Row],[FECHA DE FACTURACIÓN]],"DE CONTADO","CRÉDITO")</f>
        <v>DE CONTADO</v>
      </c>
      <c r="B406" s="51" t="b">
        <f>+IF((PROVEEDORES[[#This Row],[FECHA DE PAGO]]-PROVEEDORES[[#This Row],[FECHA DE FACTURACIÓN]])&gt;PROVEEDORES[[#This Row],[PLAZO Días]],"PAGO VENCIDO")</f>
        <v>0</v>
      </c>
      <c r="C406" s="25">
        <f>+VLOOKUP(PROVEEDORES[[#This Row],[PROVEEDOR]],TERCEROS_INFO[#All],2,FALSE)</f>
        <v>30</v>
      </c>
      <c r="D406" s="30">
        <f>+SUMIFS(PROVEEDORES[Total],PROVEEDORES[PROVEEDOR],PROVEEDORES[[#This Row],[PROVEEDOR]],PROVEEDORES[FECHA DE PAGO],"")</f>
        <v>0</v>
      </c>
      <c r="E406" s="30"/>
      <c r="F406" s="73" t="str">
        <f>+VLOOKUP(PROVEEDORES[[#This Row],[PROVEEDOR]],TERCEROS_INFO[[PROVEEDOR]:[CORREO]],5,FALSE)</f>
        <v/>
      </c>
      <c r="G406" s="111">
        <v>44347</v>
      </c>
      <c r="H406" s="31" t="s">
        <v>1016</v>
      </c>
      <c r="I406" s="111">
        <v>44347</v>
      </c>
      <c r="J406" s="48" t="s">
        <v>943</v>
      </c>
      <c r="K406" s="26">
        <v>2835922</v>
      </c>
      <c r="L406" s="26"/>
      <c r="M406" s="27">
        <v>0</v>
      </c>
      <c r="N406" s="28"/>
      <c r="O406" s="27">
        <v>0</v>
      </c>
      <c r="P406" s="28">
        <v>0</v>
      </c>
      <c r="Q406" s="27">
        <v>0</v>
      </c>
      <c r="R406" s="26">
        <v>2835922</v>
      </c>
      <c r="S406" s="115">
        <f ca="1">IF(PROVEEDORES[[#This Row],[FECHA DE PAGO]]=0,TODAY()-PROVEEDORES[[#This Row],[FECHA DE FACTURACIÓN]]-PROVEEDORES[[#This Row],[PLAZO Días]],0)</f>
        <v>0</v>
      </c>
      <c r="T40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7" spans="1:20" ht="21.9" customHeight="1" x14ac:dyDescent="0.3">
      <c r="A407" s="113" t="str">
        <f>+IF(PROVEEDORES[[#This Row],[FECHA DE PAGO]]=PROVEEDORES[[#This Row],[FECHA DE FACTURACIÓN]],"DE CONTADO","CRÉDITO")</f>
        <v>CRÉDITO</v>
      </c>
      <c r="B407" s="51" t="b">
        <f>+IF((PROVEEDORES[[#This Row],[FECHA DE PAGO]]-PROVEEDORES[[#This Row],[FECHA DE FACTURACIÓN]])&gt;PROVEEDORES[[#This Row],[PLAZO Días]],"PAGO VENCIDO")</f>
        <v>0</v>
      </c>
      <c r="C407" s="25">
        <f>+VLOOKUP(PROVEEDORES[[#This Row],[PROVEEDOR]],TERCEROS_INFO[#All],2,FALSE)</f>
        <v>30</v>
      </c>
      <c r="D407" s="30">
        <f>+SUMIFS(PROVEEDORES[Total],PROVEEDORES[PROVEEDOR],PROVEEDORES[[#This Row],[PROVEEDOR]],PROVEEDORES[FECHA DE PAGO],"")</f>
        <v>0</v>
      </c>
      <c r="E407" s="30"/>
      <c r="F407" s="73" t="str">
        <f>+VLOOKUP(PROVEEDORES[[#This Row],[PROVEEDOR]],TERCEROS_INFO[[PROVEEDOR]:[CORREO]],5,FALSE)</f>
        <v>facturacion@losmolinos.com.co</v>
      </c>
      <c r="G407" s="111">
        <v>44365</v>
      </c>
      <c r="H407" s="31" t="s">
        <v>345</v>
      </c>
      <c r="I407" s="111">
        <v>44348</v>
      </c>
      <c r="J407" s="48">
        <v>63100</v>
      </c>
      <c r="K407" s="26">
        <v>302625</v>
      </c>
      <c r="L407" s="26"/>
      <c r="M407" s="27">
        <v>0</v>
      </c>
      <c r="N407" s="28"/>
      <c r="O407" s="27">
        <v>67752</v>
      </c>
      <c r="P407" s="28">
        <v>0</v>
      </c>
      <c r="Q407" s="27">
        <v>0</v>
      </c>
      <c r="R407" s="26">
        <v>234873</v>
      </c>
      <c r="S407" s="115">
        <f ca="1">IF(PROVEEDORES[[#This Row],[FECHA DE PAGO]]=0,TODAY()-PROVEEDORES[[#This Row],[FECHA DE FACTURACIÓN]]-PROVEEDORES[[#This Row],[PLAZO Días]],0)</f>
        <v>0</v>
      </c>
      <c r="T40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8" spans="1:20" ht="21.9" customHeight="1" x14ac:dyDescent="0.3">
      <c r="A408" s="113" t="str">
        <f>+IF(PROVEEDORES[[#This Row],[FECHA DE PAGO]]=PROVEEDORES[[#This Row],[FECHA DE FACTURACIÓN]],"DE CONTADO","CRÉDITO")</f>
        <v>CRÉDITO</v>
      </c>
      <c r="B408" s="51" t="b">
        <f>+IF((PROVEEDORES[[#This Row],[FECHA DE PAGO]]-PROVEEDORES[[#This Row],[FECHA DE FACTURACIÓN]])&gt;PROVEEDORES[[#This Row],[PLAZO Días]],"PAGO VENCIDO")</f>
        <v>0</v>
      </c>
      <c r="C408" s="25">
        <f>+VLOOKUP(PROVEEDORES[[#This Row],[PROVEEDOR]],TERCEROS_INFO[#All],2,FALSE)</f>
        <v>20</v>
      </c>
      <c r="D408" s="30">
        <f>+SUMIFS(PROVEEDORES[Total],PROVEEDORES[PROVEEDOR],PROVEEDORES[[#This Row],[PROVEEDOR]],PROVEEDORES[FECHA DE PAGO],"")</f>
        <v>0</v>
      </c>
      <c r="E408" s="30"/>
      <c r="F408" s="73" t="str">
        <f>+VLOOKUP(PROVEEDORES[[#This Row],[PROVEEDOR]],TERCEROS_INFO[[PROVEEDOR]:[CORREO]],5,FALSE)</f>
        <v>pse</v>
      </c>
      <c r="G408" s="111">
        <v>44365</v>
      </c>
      <c r="H408" s="31" t="s">
        <v>373</v>
      </c>
      <c r="I408" s="111">
        <v>44348</v>
      </c>
      <c r="J408" s="48"/>
      <c r="K408" s="26">
        <v>326232</v>
      </c>
      <c r="L408" s="26"/>
      <c r="M408" s="27">
        <v>0</v>
      </c>
      <c r="N408" s="28"/>
      <c r="O408" s="27">
        <v>0</v>
      </c>
      <c r="P408" s="28">
        <v>0</v>
      </c>
      <c r="Q408" s="27">
        <v>0</v>
      </c>
      <c r="R408" s="26">
        <v>326232</v>
      </c>
      <c r="S408" s="115">
        <f ca="1">IF(PROVEEDORES[[#This Row],[FECHA DE PAGO]]=0,TODAY()-PROVEEDORES[[#This Row],[FECHA DE FACTURACIÓN]]-PROVEEDORES[[#This Row],[PLAZO Días]],0)</f>
        <v>0</v>
      </c>
      <c r="T4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09" spans="1:20" ht="21.9" customHeight="1" x14ac:dyDescent="0.3">
      <c r="A409" s="113" t="str">
        <f>+IF(PROVEEDORES[[#This Row],[FECHA DE PAGO]]=PROVEEDORES[[#This Row],[FECHA DE FACTURACIÓN]],"DE CONTADO","CRÉDITO")</f>
        <v>CRÉDITO</v>
      </c>
      <c r="B409" s="51" t="str">
        <f>+IF((PROVEEDORES[[#This Row],[FECHA DE PAGO]]-PROVEEDORES[[#This Row],[FECHA DE FACTURACIÓN]])&gt;PROVEEDORES[[#This Row],[PLAZO Días]],"PAGO VENCIDO")</f>
        <v>PAGO VENCIDO</v>
      </c>
      <c r="C409" s="25">
        <f>+VLOOKUP(PROVEEDORES[[#This Row],[PROVEEDOR]],TERCEROS_INFO[#All],2,FALSE)</f>
        <v>45</v>
      </c>
      <c r="D409" s="30">
        <f>+SUMIFS(PROVEEDORES[Total],PROVEEDORES[PROVEEDOR],PROVEEDORES[[#This Row],[PROVEEDOR]],PROVEEDORES[FECHA DE PAGO],"")</f>
        <v>1070024.2</v>
      </c>
      <c r="E409" s="30"/>
      <c r="F409" s="73" t="str">
        <f>+VLOOKUP(PROVEEDORES[[#This Row],[PROVEEDOR]],TERCEROS_INFO[[PROVEEDOR]:[CORREO]],5,FALSE)</f>
        <v>libardopineda@tronex.com;girlesa.ruiz@servipilas.com;joriescobar64@gmail.com</v>
      </c>
      <c r="G409" s="111">
        <v>44411</v>
      </c>
      <c r="H409" s="31" t="s">
        <v>10</v>
      </c>
      <c r="I409" s="111">
        <v>44348</v>
      </c>
      <c r="J409" s="48" t="s">
        <v>390</v>
      </c>
      <c r="K409" s="26">
        <v>495000</v>
      </c>
      <c r="L409" s="26"/>
      <c r="M409" s="27">
        <v>94050</v>
      </c>
      <c r="N409" s="28"/>
      <c r="O409" s="27">
        <v>0</v>
      </c>
      <c r="P409" s="28">
        <v>0</v>
      </c>
      <c r="Q409" s="27">
        <v>0</v>
      </c>
      <c r="R409" s="26">
        <v>589050</v>
      </c>
      <c r="S409" s="115">
        <f ca="1">IF(PROVEEDORES[[#This Row],[FECHA DE PAGO]]=0,TODAY()-PROVEEDORES[[#This Row],[FECHA DE FACTURACIÓN]]-PROVEEDORES[[#This Row],[PLAZO Días]],0)</f>
        <v>0</v>
      </c>
      <c r="T40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0" spans="1:20" ht="21.9" customHeight="1" x14ac:dyDescent="0.3">
      <c r="A410" s="113" t="str">
        <f>+IF(PROVEEDORES[[#This Row],[FECHA DE PAGO]]=PROVEEDORES[[#This Row],[FECHA DE FACTURACIÓN]],"DE CONTADO","CRÉDITO")</f>
        <v>CRÉDITO</v>
      </c>
      <c r="B410" s="51" t="b">
        <f>+IF((PROVEEDORES[[#This Row],[FECHA DE PAGO]]-PROVEEDORES[[#This Row],[FECHA DE FACTURACIÓN]])&gt;PROVEEDORES[[#This Row],[PLAZO Días]],"PAGO VENCIDO")</f>
        <v>0</v>
      </c>
      <c r="C410" s="25">
        <f>+VLOOKUP(PROVEEDORES[[#This Row],[PROVEEDOR]],TERCEROS_INFO[#All],2,FALSE)</f>
        <v>30</v>
      </c>
      <c r="D410" s="30">
        <f>+SUMIFS(PROVEEDORES[Total],PROVEEDORES[PROVEEDOR],PROVEEDORES[[#This Row],[PROVEEDOR]],PROVEEDORES[FECHA DE PAGO],"")</f>
        <v>0</v>
      </c>
      <c r="E410" s="30"/>
      <c r="F410" s="73">
        <f>+VLOOKUP(PROVEEDORES[[#This Row],[PROVEEDOR]],TERCEROS_INFO[[PROVEEDOR]:[CORREO]],5,FALSE)</f>
        <v>0</v>
      </c>
      <c r="G410" s="111">
        <v>44357</v>
      </c>
      <c r="H410" s="31" t="s">
        <v>1019</v>
      </c>
      <c r="I410" s="111">
        <v>44348</v>
      </c>
      <c r="J410" s="48" t="s">
        <v>721</v>
      </c>
      <c r="K410" s="26">
        <v>675000</v>
      </c>
      <c r="L410" s="26"/>
      <c r="M410" s="27">
        <v>0</v>
      </c>
      <c r="N410" s="28"/>
      <c r="O410" s="27">
        <v>0</v>
      </c>
      <c r="P410" s="28">
        <v>0</v>
      </c>
      <c r="Q410" s="27">
        <v>0</v>
      </c>
      <c r="R410" s="26">
        <v>675000</v>
      </c>
      <c r="S410" s="115">
        <f ca="1">IF(PROVEEDORES[[#This Row],[FECHA DE PAGO]]=0,TODAY()-PROVEEDORES[[#This Row],[FECHA DE FACTURACIÓN]]-PROVEEDORES[[#This Row],[PLAZO Días]],0)</f>
        <v>0</v>
      </c>
      <c r="T4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1" spans="1:20" ht="21.9" customHeight="1" x14ac:dyDescent="0.3">
      <c r="A411" s="113" t="str">
        <f>+IF(PROVEEDORES[[#This Row],[FECHA DE PAGO]]=PROVEEDORES[[#This Row],[FECHA DE FACTURACIÓN]],"DE CONTADO","CRÉDITO")</f>
        <v>CRÉDITO</v>
      </c>
      <c r="B411" s="51" t="b">
        <f>+IF((PROVEEDORES[[#This Row],[FECHA DE PAGO]]-PROVEEDORES[[#This Row],[FECHA DE FACTURACIÓN]])&gt;PROVEEDORES[[#This Row],[PLAZO Días]],"PAGO VENCIDO")</f>
        <v>0</v>
      </c>
      <c r="C411" s="25">
        <f>+VLOOKUP(PROVEEDORES[[#This Row],[PROVEEDOR]],TERCEROS_INFO[#All],2,FALSE)</f>
        <v>30</v>
      </c>
      <c r="D411" s="30">
        <f>+SUMIFS(PROVEEDORES[Total],PROVEEDORES[PROVEEDOR],PROVEEDORES[[#This Row],[PROVEEDOR]],PROVEEDORES[FECHA DE PAGO],"")</f>
        <v>4862586.33</v>
      </c>
      <c r="E411" s="30"/>
      <c r="F411" s="73" t="str">
        <f>+VLOOKUP(PROVEEDORES[[#This Row],[PROVEEDOR]],TERCEROS_INFO[[PROVEEDOR]:[CORREO]],5,FALSE)</f>
        <v>cartera@conbienes.com;girlesa.ruiz@servipilas.com;joriescobar64@gmail.com</v>
      </c>
      <c r="G411" s="111">
        <v>44369</v>
      </c>
      <c r="H411" s="31" t="s">
        <v>348</v>
      </c>
      <c r="I411" s="111">
        <v>44348</v>
      </c>
      <c r="J411" s="48" t="s">
        <v>580</v>
      </c>
      <c r="K411" s="26">
        <v>716544</v>
      </c>
      <c r="L411" s="26"/>
      <c r="M411" s="27">
        <v>136143.36000000002</v>
      </c>
      <c r="N411" s="28"/>
      <c r="O411" s="27">
        <v>0</v>
      </c>
      <c r="P411" s="28">
        <v>0</v>
      </c>
      <c r="Q411" s="27">
        <v>0</v>
      </c>
      <c r="R411" s="26">
        <v>852687.35999999999</v>
      </c>
      <c r="S411" s="115">
        <f ca="1">IF(PROVEEDORES[[#This Row],[FECHA DE PAGO]]=0,TODAY()-PROVEEDORES[[#This Row],[FECHA DE FACTURACIÓN]]-PROVEEDORES[[#This Row],[PLAZO Días]],0)</f>
        <v>0</v>
      </c>
      <c r="T4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2" spans="1:20" ht="21.9" customHeight="1" x14ac:dyDescent="0.3">
      <c r="A412" s="113" t="str">
        <f>+IF(PROVEEDORES[[#This Row],[FECHA DE PAGO]]=PROVEEDORES[[#This Row],[FECHA DE FACTURACIÓN]],"DE CONTADO","CRÉDITO")</f>
        <v>CRÉDITO</v>
      </c>
      <c r="B412" s="51" t="b">
        <f>+IF((PROVEEDORES[[#This Row],[FECHA DE PAGO]]-PROVEEDORES[[#This Row],[FECHA DE FACTURACIÓN]])&gt;PROVEEDORES[[#This Row],[PLAZO Días]],"PAGO VENCIDO")</f>
        <v>0</v>
      </c>
      <c r="C412" s="25">
        <f>+VLOOKUP(PROVEEDORES[[#This Row],[PROVEEDOR]],TERCEROS_INFO[#All],2,FALSE)</f>
        <v>30</v>
      </c>
      <c r="D412" s="30">
        <f>+SUMIFS(PROVEEDORES[Total],PROVEEDORES[PROVEEDOR],PROVEEDORES[[#This Row],[PROVEEDOR]],PROVEEDORES[FECHA DE PAGO],"")</f>
        <v>0</v>
      </c>
      <c r="E412" s="30"/>
      <c r="F412" s="73" t="str">
        <f>+VLOOKUP(PROVEEDORES[[#This Row],[PROVEEDOR]],TERCEROS_INFO[[PROVEEDOR]:[CORREO]],5,FALSE)</f>
        <v>PSE</v>
      </c>
      <c r="G412" s="111">
        <v>44368</v>
      </c>
      <c r="H412" s="31" t="s">
        <v>353</v>
      </c>
      <c r="I412" s="111">
        <v>44348</v>
      </c>
      <c r="J412" s="48" t="s">
        <v>354</v>
      </c>
      <c r="K412" s="26">
        <v>727051</v>
      </c>
      <c r="L412" s="26"/>
      <c r="M412" s="27">
        <v>0</v>
      </c>
      <c r="N412" s="28"/>
      <c r="O412" s="27">
        <v>0</v>
      </c>
      <c r="P412" s="28">
        <v>0</v>
      </c>
      <c r="Q412" s="27">
        <v>0</v>
      </c>
      <c r="R412" s="26">
        <v>727051</v>
      </c>
      <c r="S412" s="115">
        <f ca="1">IF(PROVEEDORES[[#This Row],[FECHA DE PAGO]]=0,TODAY()-PROVEEDORES[[#This Row],[FECHA DE FACTURACIÓN]]-PROVEEDORES[[#This Row],[PLAZO Días]],0)</f>
        <v>0</v>
      </c>
      <c r="T4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3" spans="1:20" ht="21.9" customHeight="1" x14ac:dyDescent="0.3">
      <c r="A413" s="113" t="str">
        <f>+IF(PROVEEDORES[[#This Row],[FECHA DE PAGO]]=PROVEEDORES[[#This Row],[FECHA DE FACTURACIÓN]],"DE CONTADO","CRÉDITO")</f>
        <v>CRÉDITO</v>
      </c>
      <c r="B413" s="51" t="b">
        <f>+IF((PROVEEDORES[[#This Row],[FECHA DE PAGO]]-PROVEEDORES[[#This Row],[FECHA DE FACTURACIÓN]])&gt;PROVEEDORES[[#This Row],[PLAZO Días]],"PAGO VENCIDO")</f>
        <v>0</v>
      </c>
      <c r="C413" s="25">
        <f>+VLOOKUP(PROVEEDORES[[#This Row],[PROVEEDOR]],TERCEROS_INFO[#All],2,FALSE)</f>
        <v>30</v>
      </c>
      <c r="D413" s="30">
        <f>+SUMIFS(PROVEEDORES[Total],PROVEEDORES[PROVEEDOR],PROVEEDORES[[#This Row],[PROVEEDOR]],PROVEEDORES[FECHA DE PAGO],"")</f>
        <v>0</v>
      </c>
      <c r="E413" s="30"/>
      <c r="F413" s="73" t="str">
        <f>+VLOOKUP(PROVEEDORES[[#This Row],[PROVEEDOR]],TERCEROS_INFO[[PROVEEDOR]:[CORREO]],5,FALSE)</f>
        <v>PSE</v>
      </c>
      <c r="G413" s="111">
        <v>44368</v>
      </c>
      <c r="H413" s="31" t="s">
        <v>353</v>
      </c>
      <c r="I413" s="111">
        <v>44348</v>
      </c>
      <c r="J413" s="48" t="s">
        <v>355</v>
      </c>
      <c r="K413" s="26">
        <v>743959</v>
      </c>
      <c r="L413" s="26"/>
      <c r="M413" s="27">
        <v>0</v>
      </c>
      <c r="N413" s="28"/>
      <c r="O413" s="27">
        <v>0</v>
      </c>
      <c r="P413" s="28">
        <v>0</v>
      </c>
      <c r="Q413" s="27">
        <v>0</v>
      </c>
      <c r="R413" s="26">
        <v>743959</v>
      </c>
      <c r="S413" s="115">
        <f ca="1">IF(PROVEEDORES[[#This Row],[FECHA DE PAGO]]=0,TODAY()-PROVEEDORES[[#This Row],[FECHA DE FACTURACIÓN]]-PROVEEDORES[[#This Row],[PLAZO Días]],0)</f>
        <v>0</v>
      </c>
      <c r="T4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4" spans="1:20" ht="21.9" customHeight="1" x14ac:dyDescent="0.3">
      <c r="A414" s="113" t="str">
        <f>+IF(PROVEEDORES[[#This Row],[FECHA DE PAGO]]=PROVEEDORES[[#This Row],[FECHA DE FACTURACIÓN]],"DE CONTADO","CRÉDITO")</f>
        <v>CRÉDITO</v>
      </c>
      <c r="B414" s="51" t="b">
        <f>+IF((PROVEEDORES[[#This Row],[FECHA DE PAGO]]-PROVEEDORES[[#This Row],[FECHA DE FACTURACIÓN]])&gt;PROVEEDORES[[#This Row],[PLAZO Días]],"PAGO VENCIDO")</f>
        <v>0</v>
      </c>
      <c r="C414" s="25">
        <f>+VLOOKUP(PROVEEDORES[[#This Row],[PROVEEDOR]],TERCEROS_INFO[#All],2,FALSE)</f>
        <v>20</v>
      </c>
      <c r="D414" s="30">
        <f>+SUMIFS(PROVEEDORES[Total],PROVEEDORES[PROVEEDOR],PROVEEDORES[[#This Row],[PROVEEDOR]],PROVEEDORES[FECHA DE PAGO],"")</f>
        <v>0</v>
      </c>
      <c r="E414" s="30"/>
      <c r="F414" s="73" t="str">
        <f>+VLOOKUP(PROVEEDORES[[#This Row],[PROVEEDOR]],TERCEROS_INFO[[PROVEEDOR]:[CORREO]],5,FALSE)</f>
        <v>pse</v>
      </c>
      <c r="G414" s="111">
        <v>44365</v>
      </c>
      <c r="H414" s="31" t="s">
        <v>374</v>
      </c>
      <c r="I414" s="111">
        <v>44348</v>
      </c>
      <c r="J414" s="48"/>
      <c r="K414" s="26">
        <v>871998</v>
      </c>
      <c r="L414" s="26"/>
      <c r="M414" s="27">
        <v>0</v>
      </c>
      <c r="N414" s="28"/>
      <c r="O414" s="27">
        <v>0</v>
      </c>
      <c r="P414" s="28">
        <v>0</v>
      </c>
      <c r="Q414" s="27">
        <v>0</v>
      </c>
      <c r="R414" s="26">
        <v>871998</v>
      </c>
      <c r="S414" s="115">
        <f ca="1">IF(PROVEEDORES[[#This Row],[FECHA DE PAGO]]=0,TODAY()-PROVEEDORES[[#This Row],[FECHA DE FACTURACIÓN]]-PROVEEDORES[[#This Row],[PLAZO Días]],0)</f>
        <v>0</v>
      </c>
      <c r="T4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5" spans="1:20" ht="21.9" customHeight="1" x14ac:dyDescent="0.3">
      <c r="A415" s="113" t="str">
        <f>+IF(PROVEEDORES[[#This Row],[FECHA DE PAGO]]=PROVEEDORES[[#This Row],[FECHA DE FACTURACIÓN]],"DE CONTADO","CRÉDITO")</f>
        <v>CRÉDITO</v>
      </c>
      <c r="B415" s="51" t="str">
        <f>+IF((PROVEEDORES[[#This Row],[FECHA DE PAGO]]-PROVEEDORES[[#This Row],[FECHA DE FACTURACIÓN]])&gt;PROVEEDORES[[#This Row],[PLAZO Días]],"PAGO VENCIDO")</f>
        <v>PAGO VENCIDO</v>
      </c>
      <c r="C415" s="25">
        <f>+VLOOKUP(PROVEEDORES[[#This Row],[PROVEEDOR]],TERCEROS_INFO[#All],2,FALSE)</f>
        <v>30</v>
      </c>
      <c r="D415" s="30">
        <f>+SUMIFS(PROVEEDORES[Total],PROVEEDORES[PROVEEDOR],PROVEEDORES[[#This Row],[PROVEEDOR]],PROVEEDORES[FECHA DE PAGO],"")</f>
        <v>3320000</v>
      </c>
      <c r="E415" s="30"/>
      <c r="F415" s="73" t="str">
        <f>+VLOOKUP(PROVEEDORES[[#This Row],[PROVEEDOR]],TERCEROS_INFO[[PROVEEDOR]:[CORREO]],5,FALSE)</f>
        <v>Pygimportadora@gmail.com;girlesa.ruiz@servipilas.com;joriescobar64@gmail.com</v>
      </c>
      <c r="G415" s="111">
        <v>44392</v>
      </c>
      <c r="H415" s="31" t="s">
        <v>1068</v>
      </c>
      <c r="I415" s="111">
        <v>44348</v>
      </c>
      <c r="J415" s="48" t="s">
        <v>723</v>
      </c>
      <c r="K415" s="26">
        <v>900000</v>
      </c>
      <c r="L415" s="26"/>
      <c r="M415" s="27">
        <v>0</v>
      </c>
      <c r="N415" s="28"/>
      <c r="O415" s="27">
        <v>0</v>
      </c>
      <c r="P415" s="28">
        <v>0</v>
      </c>
      <c r="Q415" s="27">
        <v>0</v>
      </c>
      <c r="R415" s="26">
        <v>900000</v>
      </c>
      <c r="S415" s="115">
        <f ca="1">IF(PROVEEDORES[[#This Row],[FECHA DE PAGO]]=0,TODAY()-PROVEEDORES[[#This Row],[FECHA DE FACTURACIÓN]]-PROVEEDORES[[#This Row],[PLAZO Días]],0)</f>
        <v>0</v>
      </c>
      <c r="T4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6" spans="1:20" ht="21.9" customHeight="1" x14ac:dyDescent="0.3">
      <c r="A416" s="113" t="str">
        <f>+IF(PROVEEDORES[[#This Row],[FECHA DE PAGO]]=PROVEEDORES[[#This Row],[FECHA DE FACTURACIÓN]],"DE CONTADO","CRÉDITO")</f>
        <v>CRÉDITO</v>
      </c>
      <c r="B416" s="51" t="b">
        <f>+IF((PROVEEDORES[[#This Row],[FECHA DE PAGO]]-PROVEEDORES[[#This Row],[FECHA DE FACTURACIÓN]])&gt;PROVEEDORES[[#This Row],[PLAZO Días]],"PAGO VENCIDO")</f>
        <v>0</v>
      </c>
      <c r="C416" s="25">
        <f>+VLOOKUP(PROVEEDORES[[#This Row],[PROVEEDOR]],TERCEROS_INFO[#All],2,FALSE)</f>
        <v>30</v>
      </c>
      <c r="D416" s="30">
        <f>+SUMIFS(PROVEEDORES[Total],PROVEEDORES[PROVEEDOR],PROVEEDORES[[#This Row],[PROVEEDOR]],PROVEEDORES[FECHA DE PAGO],"")</f>
        <v>1856492</v>
      </c>
      <c r="E416" s="30"/>
      <c r="F416" s="73" t="str">
        <f>+VLOOKUP(PROVEEDORES[[#This Row],[PROVEEDOR]],TERCEROS_INFO[[PROVEEDOR]:[CORREO]],5,FALSE)</f>
        <v>PSE</v>
      </c>
      <c r="G416" s="111">
        <v>44368</v>
      </c>
      <c r="H416" s="31" t="s">
        <v>337</v>
      </c>
      <c r="I416" s="111">
        <v>44348</v>
      </c>
      <c r="J416" s="48" t="s">
        <v>320</v>
      </c>
      <c r="K416" s="26">
        <v>1235279</v>
      </c>
      <c r="L416" s="26"/>
      <c r="M416" s="27">
        <v>0</v>
      </c>
      <c r="N416" s="28"/>
      <c r="O416" s="27">
        <v>0</v>
      </c>
      <c r="P416" s="28">
        <v>0</v>
      </c>
      <c r="Q416" s="27">
        <v>0</v>
      </c>
      <c r="R416" s="26">
        <v>1235279</v>
      </c>
      <c r="S416" s="115">
        <f ca="1">IF(PROVEEDORES[[#This Row],[FECHA DE PAGO]]=0,TODAY()-PROVEEDORES[[#This Row],[FECHA DE FACTURACIÓN]]-PROVEEDORES[[#This Row],[PLAZO Días]],0)</f>
        <v>0</v>
      </c>
      <c r="T4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7" spans="1:20" ht="21.9" customHeight="1" x14ac:dyDescent="0.3">
      <c r="A417" s="113" t="str">
        <f>+IF(PROVEEDORES[[#This Row],[FECHA DE PAGO]]=PROVEEDORES[[#This Row],[FECHA DE FACTURACIÓN]],"DE CONTADO","CRÉDITO")</f>
        <v>CRÉDITO</v>
      </c>
      <c r="B417" s="51" t="str">
        <f>+IF((PROVEEDORES[[#This Row],[FECHA DE PAGO]]-PROVEEDORES[[#This Row],[FECHA DE FACTURACIÓN]])&gt;PROVEEDORES[[#This Row],[PLAZO Días]],"PAGO VENCIDO")</f>
        <v>PAGO VENCIDO</v>
      </c>
      <c r="C417" s="25">
        <f>+VLOOKUP(PROVEEDORES[[#This Row],[PROVEEDOR]],TERCEROS_INFO[#All],2,FALSE)</f>
        <v>45</v>
      </c>
      <c r="D417" s="30">
        <f>+SUMIFS(PROVEEDORES[Total],PROVEEDORES[PROVEEDOR],PROVEEDORES[[#This Row],[PROVEEDOR]],PROVEEDORES[FECHA DE PAGO],"")</f>
        <v>1070024.2</v>
      </c>
      <c r="E417" s="30"/>
      <c r="F417" s="73" t="str">
        <f>+VLOOKUP(PROVEEDORES[[#This Row],[PROVEEDOR]],TERCEROS_INFO[[PROVEEDOR]:[CORREO]],5,FALSE)</f>
        <v>libardopineda@tronex.com;girlesa.ruiz@servipilas.com;joriescobar64@gmail.com</v>
      </c>
      <c r="G417" s="111">
        <v>44411</v>
      </c>
      <c r="H417" s="31" t="s">
        <v>10</v>
      </c>
      <c r="I417" s="111">
        <v>44348</v>
      </c>
      <c r="J417" s="48" t="s">
        <v>387</v>
      </c>
      <c r="K417" s="26">
        <v>1381000</v>
      </c>
      <c r="L417" s="26"/>
      <c r="M417" s="27">
        <v>262390</v>
      </c>
      <c r="N417" s="28"/>
      <c r="O417" s="27">
        <v>0</v>
      </c>
      <c r="P417" s="28">
        <v>0</v>
      </c>
      <c r="Q417" s="27">
        <v>0</v>
      </c>
      <c r="R417" s="26">
        <v>1643390</v>
      </c>
      <c r="S417" s="115">
        <f ca="1">IF(PROVEEDORES[[#This Row],[FECHA DE PAGO]]=0,TODAY()-PROVEEDORES[[#This Row],[FECHA DE FACTURACIÓN]]-PROVEEDORES[[#This Row],[PLAZO Días]],0)</f>
        <v>0</v>
      </c>
      <c r="T4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8" spans="1:20" ht="21.9" customHeight="1" x14ac:dyDescent="0.3">
      <c r="A418" s="113" t="str">
        <f>+IF(PROVEEDORES[[#This Row],[FECHA DE PAGO]]=PROVEEDORES[[#This Row],[FECHA DE FACTURACIÓN]],"DE CONTADO","CRÉDITO")</f>
        <v>CRÉDITO</v>
      </c>
      <c r="B418" s="51" t="b">
        <f>+IF((PROVEEDORES[[#This Row],[FECHA DE PAGO]]-PROVEEDORES[[#This Row],[FECHA DE FACTURACIÓN]])&gt;PROVEEDORES[[#This Row],[PLAZO Días]],"PAGO VENCIDO")</f>
        <v>0</v>
      </c>
      <c r="C418" s="25">
        <f>+VLOOKUP(PROVEEDORES[[#This Row],[PROVEEDOR]],TERCEROS_INFO[#All],2,FALSE)</f>
        <v>30</v>
      </c>
      <c r="D418" s="30">
        <f>+SUMIFS(PROVEEDORES[Total],PROVEEDORES[PROVEEDOR],PROVEEDORES[[#This Row],[PROVEEDOR]],PROVEEDORES[FECHA DE PAGO],"")</f>
        <v>1296896</v>
      </c>
      <c r="E418" s="30"/>
      <c r="F418" s="73" t="str">
        <f>+VLOOKUP(PROVEEDORES[[#This Row],[PROVEEDOR]],TERCEROS_INFO[[PROVEEDOR]:[CORREO]],5,FALSE)</f>
        <v>tesoreria@lacentral.com.co;girlesa.ruiz@servipilas.com;joriescobar64@gmail.com</v>
      </c>
      <c r="G418" s="111">
        <v>44370</v>
      </c>
      <c r="H418" s="31" t="s">
        <v>335</v>
      </c>
      <c r="I418" s="111">
        <v>44348</v>
      </c>
      <c r="J418" s="48">
        <v>8322</v>
      </c>
      <c r="K418" s="26">
        <v>1516048</v>
      </c>
      <c r="L418" s="26"/>
      <c r="M418" s="27">
        <v>0</v>
      </c>
      <c r="N418" s="28"/>
      <c r="O418" s="27">
        <v>150421</v>
      </c>
      <c r="P418" s="28">
        <v>0</v>
      </c>
      <c r="Q418" s="27">
        <v>0</v>
      </c>
      <c r="R418" s="26">
        <v>1365627</v>
      </c>
      <c r="S418" s="115">
        <f ca="1">IF(PROVEEDORES[[#This Row],[FECHA DE PAGO]]=0,TODAY()-PROVEEDORES[[#This Row],[FECHA DE FACTURACIÓN]]-PROVEEDORES[[#This Row],[PLAZO Días]],0)</f>
        <v>0</v>
      </c>
      <c r="T4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19" spans="1:20" ht="21.9" customHeight="1" x14ac:dyDescent="0.3">
      <c r="A419" s="113" t="str">
        <f>+IF(PROVEEDORES[[#This Row],[FECHA DE PAGO]]=PROVEEDORES[[#This Row],[FECHA DE FACTURACIÓN]],"DE CONTADO","CRÉDITO")</f>
        <v>CRÉDITO</v>
      </c>
      <c r="B419" s="51" t="str">
        <f>+IF((PROVEEDORES[[#This Row],[FECHA DE PAGO]]-PROVEEDORES[[#This Row],[FECHA DE FACTURACIÓN]])&gt;PROVEEDORES[[#This Row],[PLAZO Días]],"PAGO VENCIDO")</f>
        <v>PAGO VENCIDO</v>
      </c>
      <c r="C419" s="25">
        <f>+VLOOKUP(PROVEEDORES[[#This Row],[PROVEEDOR]],TERCEROS_INFO[#All],2,FALSE)</f>
        <v>30</v>
      </c>
      <c r="D419" s="30">
        <f>+SUMIFS(PROVEEDORES[Total],PROVEEDORES[PROVEEDOR],PROVEEDORES[[#This Row],[PROVEEDOR]],PROVEEDORES[FECHA DE PAGO],"")</f>
        <v>10764600</v>
      </c>
      <c r="E419" s="30"/>
      <c r="F419" s="73" t="str">
        <f>+VLOOKUP(PROVEEDORES[[#This Row],[PROVEEDOR]],TERCEROS_INFO[[PROVEEDOR]:[CORREO]],5,FALSE)</f>
        <v>apresupuesto@widexcolombia.com;girlesa.ruiz@servipilas.com;joriescobar64@gmail.com</v>
      </c>
      <c r="G419" s="111">
        <v>44385</v>
      </c>
      <c r="H419" s="31" t="s">
        <v>11</v>
      </c>
      <c r="I419" s="111">
        <v>44348</v>
      </c>
      <c r="J419" s="48" t="s">
        <v>386</v>
      </c>
      <c r="K419" s="26">
        <v>2106050</v>
      </c>
      <c r="L419" s="26"/>
      <c r="M419" s="27">
        <v>400149.5</v>
      </c>
      <c r="N419" s="28"/>
      <c r="O419" s="27">
        <v>0</v>
      </c>
      <c r="P419" s="28">
        <v>2.5000000000000001E-2</v>
      </c>
      <c r="Q419" s="27">
        <v>52651.25</v>
      </c>
      <c r="R419" s="26">
        <v>2453548.25</v>
      </c>
      <c r="S419" s="115">
        <f ca="1">IF(PROVEEDORES[[#This Row],[FECHA DE PAGO]]=0,TODAY()-PROVEEDORES[[#This Row],[FECHA DE FACTURACIÓN]]-PROVEEDORES[[#This Row],[PLAZO Días]],0)</f>
        <v>0</v>
      </c>
      <c r="T4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0" spans="1:20" ht="21.9" customHeight="1" x14ac:dyDescent="0.3">
      <c r="A420" s="113" t="str">
        <f>+IF(PROVEEDORES[[#This Row],[FECHA DE PAGO]]=PROVEEDORES[[#This Row],[FECHA DE FACTURACIÓN]],"DE CONTADO","CRÉDITO")</f>
        <v>CRÉDITO</v>
      </c>
      <c r="B420" s="51" t="b">
        <f>+IF((PROVEEDORES[[#This Row],[FECHA DE PAGO]]-PROVEEDORES[[#This Row],[FECHA DE FACTURACIÓN]])&gt;PROVEEDORES[[#This Row],[PLAZO Días]],"PAGO VENCIDO")</f>
        <v>0</v>
      </c>
      <c r="C420" s="25">
        <f>+VLOOKUP(PROVEEDORES[[#This Row],[PROVEEDOR]],TERCEROS_INFO[#All],2,FALSE)</f>
        <v>90</v>
      </c>
      <c r="D420" s="30">
        <f>+SUMIFS(PROVEEDORES[Total],PROVEEDORES[PROVEEDOR],PROVEEDORES[[#This Row],[PROVEEDOR]],PROVEEDORES[FECHA DE PAGO],"")</f>
        <v>0</v>
      </c>
      <c r="E420" s="30"/>
      <c r="F420" s="73" t="str">
        <f>+VLOOKUP(PROVEEDORES[[#This Row],[PROVEEDOR]],TERCEROS_INFO[[PROVEEDOR]:[CORREO]],5,FALSE)</f>
        <v/>
      </c>
      <c r="G420" s="111">
        <v>44411</v>
      </c>
      <c r="H420" s="31" t="s">
        <v>1024</v>
      </c>
      <c r="I420" s="111">
        <v>44348</v>
      </c>
      <c r="J420" s="48" t="s">
        <v>722</v>
      </c>
      <c r="K420" s="26">
        <v>2462500</v>
      </c>
      <c r="L420" s="26"/>
      <c r="M420" s="27">
        <v>0</v>
      </c>
      <c r="N420" s="28"/>
      <c r="O420" s="27">
        <v>0</v>
      </c>
      <c r="P420" s="28">
        <v>0</v>
      </c>
      <c r="Q420" s="27">
        <v>0</v>
      </c>
      <c r="R420" s="26">
        <v>2462500</v>
      </c>
      <c r="S420" s="115">
        <f ca="1">IF(PROVEEDORES[[#This Row],[FECHA DE PAGO]]=0,TODAY()-PROVEEDORES[[#This Row],[FECHA DE FACTURACIÓN]]-PROVEEDORES[[#This Row],[PLAZO Días]],0)</f>
        <v>0</v>
      </c>
      <c r="T4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1" spans="1:20" ht="21.9" customHeight="1" x14ac:dyDescent="0.3">
      <c r="A421" s="113" t="str">
        <f>+IF(PROVEEDORES[[#This Row],[FECHA DE PAGO]]=PROVEEDORES[[#This Row],[FECHA DE FACTURACIÓN]],"DE CONTADO","CRÉDITO")</f>
        <v>CRÉDITO</v>
      </c>
      <c r="B421" s="51" t="str">
        <f>+IF((PROVEEDORES[[#This Row],[FECHA DE PAGO]]-PROVEEDORES[[#This Row],[FECHA DE FACTURACIÓN]])&gt;PROVEEDORES[[#This Row],[PLAZO Días]],"PAGO VENCIDO")</f>
        <v>PAGO VENCIDO</v>
      </c>
      <c r="C421" s="25">
        <f>+VLOOKUP(PROVEEDORES[[#This Row],[PROVEEDOR]],TERCEROS_INFO[#All],2,FALSE)</f>
        <v>45</v>
      </c>
      <c r="D421" s="30">
        <f>+SUMIFS(PROVEEDORES[Total],PROVEEDORES[PROVEEDOR],PROVEEDORES[[#This Row],[PROVEEDOR]],PROVEEDORES[FECHA DE PAGO],"")</f>
        <v>1070024.2</v>
      </c>
      <c r="E421" s="30"/>
      <c r="F421" s="73" t="str">
        <f>+VLOOKUP(PROVEEDORES[[#This Row],[PROVEEDOR]],TERCEROS_INFO[[PROVEEDOR]:[CORREO]],5,FALSE)</f>
        <v>libardopineda@tronex.com;girlesa.ruiz@servipilas.com;joriescobar64@gmail.com</v>
      </c>
      <c r="G421" s="111">
        <v>44411</v>
      </c>
      <c r="H421" s="31" t="s">
        <v>10</v>
      </c>
      <c r="I421" s="111">
        <v>44348</v>
      </c>
      <c r="J421" s="48" t="s">
        <v>389</v>
      </c>
      <c r="K421" s="26">
        <v>2682000</v>
      </c>
      <c r="L421" s="26"/>
      <c r="M421" s="27">
        <v>509580</v>
      </c>
      <c r="N421" s="28"/>
      <c r="O421" s="27">
        <v>0</v>
      </c>
      <c r="P421" s="28">
        <v>0</v>
      </c>
      <c r="Q421" s="27">
        <v>0</v>
      </c>
      <c r="R421" s="26">
        <v>3191580</v>
      </c>
      <c r="S421" s="115">
        <f ca="1">IF(PROVEEDORES[[#This Row],[FECHA DE PAGO]]=0,TODAY()-PROVEEDORES[[#This Row],[FECHA DE FACTURACIÓN]]-PROVEEDORES[[#This Row],[PLAZO Días]],0)</f>
        <v>0</v>
      </c>
      <c r="T4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2" spans="1:20" ht="21.9" customHeight="1" x14ac:dyDescent="0.3">
      <c r="A422" s="113" t="str">
        <f>+IF(PROVEEDORES[[#This Row],[FECHA DE PAGO]]=PROVEEDORES[[#This Row],[FECHA DE FACTURACIÓN]],"DE CONTADO","CRÉDITO")</f>
        <v>CRÉDITO</v>
      </c>
      <c r="B422" s="51" t="b">
        <f>+IF((PROVEEDORES[[#This Row],[FECHA DE PAGO]]-PROVEEDORES[[#This Row],[FECHA DE FACTURACIÓN]])&gt;PROVEEDORES[[#This Row],[PLAZO Días]],"PAGO VENCIDO")</f>
        <v>0</v>
      </c>
      <c r="C422" s="25">
        <f>+VLOOKUP(PROVEEDORES[[#This Row],[PROVEEDOR]],TERCEROS_INFO[#All],2,FALSE)</f>
        <v>30</v>
      </c>
      <c r="D422" s="30">
        <f>+SUMIFS(PROVEEDORES[Total],PROVEEDORES[PROVEEDOR],PROVEEDORES[[#This Row],[PROVEEDOR]],PROVEEDORES[FECHA DE PAGO],"")</f>
        <v>0</v>
      </c>
      <c r="E422" s="30"/>
      <c r="F422" s="73" t="str">
        <f>+VLOOKUP(PROVEEDORES[[#This Row],[PROVEEDOR]],TERCEROS_INFO[[PROVEEDOR]:[CORREO]],5,FALSE)</f>
        <v>propertymarketingsas@hotmail.com;girlesa.ruiz@servipilas.com;joriescobar64@gmail.com</v>
      </c>
      <c r="G422" s="111">
        <v>44369</v>
      </c>
      <c r="H422" s="31" t="s">
        <v>486</v>
      </c>
      <c r="I422" s="111">
        <v>44348</v>
      </c>
      <c r="J422" s="48" t="s">
        <v>724</v>
      </c>
      <c r="K422" s="26">
        <v>2789636</v>
      </c>
      <c r="L422" s="26"/>
      <c r="M422" s="27">
        <v>0</v>
      </c>
      <c r="N422" s="28"/>
      <c r="O422" s="27">
        <v>0</v>
      </c>
      <c r="P422" s="28">
        <v>3.5000000000000003E-2</v>
      </c>
      <c r="Q422" s="27">
        <v>97637.260000000009</v>
      </c>
      <c r="R422" s="26">
        <v>2691998.74</v>
      </c>
      <c r="S422" s="115">
        <f ca="1">IF(PROVEEDORES[[#This Row],[FECHA DE PAGO]]=0,TODAY()-PROVEEDORES[[#This Row],[FECHA DE FACTURACIÓN]]-PROVEEDORES[[#This Row],[PLAZO Días]],0)</f>
        <v>0</v>
      </c>
      <c r="T4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3" spans="1:20" ht="21.9" customHeight="1" x14ac:dyDescent="0.3">
      <c r="A423" s="113" t="str">
        <f>+IF(PROVEEDORES[[#This Row],[FECHA DE PAGO]]=PROVEEDORES[[#This Row],[FECHA DE FACTURACIÓN]],"DE CONTADO","CRÉDITO")</f>
        <v>CRÉDITO</v>
      </c>
      <c r="B423" s="51" t="b">
        <f>+IF((PROVEEDORES[[#This Row],[FECHA DE PAGO]]-PROVEEDORES[[#This Row],[FECHA DE FACTURACIÓN]])&gt;PROVEEDORES[[#This Row],[PLAZO Días]],"PAGO VENCIDO")</f>
        <v>0</v>
      </c>
      <c r="C423" s="25">
        <f>+VLOOKUP(PROVEEDORES[[#This Row],[PROVEEDOR]],TERCEROS_INFO[#All],2,FALSE)</f>
        <v>30</v>
      </c>
      <c r="D423" s="30">
        <f>+SUMIFS(PROVEEDORES[Total],PROVEEDORES[PROVEEDOR],PROVEEDORES[[#This Row],[PROVEEDOR]],PROVEEDORES[FECHA DE PAGO],"")</f>
        <v>0</v>
      </c>
      <c r="E423" s="30"/>
      <c r="F423" s="73" t="str">
        <f>+VLOOKUP(PROVEEDORES[[#This Row],[PROVEEDOR]],TERCEROS_INFO[[PROVEEDOR]:[CORREO]],5,FALSE)</f>
        <v>girlesa.ruiz@servipilas.com;joriescobar64@gmail.com</v>
      </c>
      <c r="G423" s="111">
        <v>44369</v>
      </c>
      <c r="H423" s="31" t="s">
        <v>339</v>
      </c>
      <c r="I423" s="111">
        <v>44348</v>
      </c>
      <c r="J423" s="48" t="s">
        <v>928</v>
      </c>
      <c r="K423" s="26">
        <v>3023387</v>
      </c>
      <c r="L423" s="26"/>
      <c r="M423" s="27">
        <v>0</v>
      </c>
      <c r="N423" s="28"/>
      <c r="O423" s="27">
        <v>0</v>
      </c>
      <c r="P423" s="28">
        <v>3.5000000000000003E-2</v>
      </c>
      <c r="Q423" s="27">
        <v>105818.54500000001</v>
      </c>
      <c r="R423" s="26">
        <v>2917568.4550000001</v>
      </c>
      <c r="S423" s="115">
        <f ca="1">IF(PROVEEDORES[[#This Row],[FECHA DE PAGO]]=0,TODAY()-PROVEEDORES[[#This Row],[FECHA DE FACTURACIÓN]]-PROVEEDORES[[#This Row],[PLAZO Días]],0)</f>
        <v>0</v>
      </c>
      <c r="T4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4" spans="1:20" ht="21.9" customHeight="1" x14ac:dyDescent="0.3">
      <c r="A424" s="113" t="str">
        <f>+IF(PROVEEDORES[[#This Row],[FECHA DE PAGO]]=PROVEEDORES[[#This Row],[FECHA DE FACTURACIÓN]],"DE CONTADO","CRÉDITO")</f>
        <v>CRÉDITO</v>
      </c>
      <c r="B424" s="51" t="b">
        <f>+IF((PROVEEDORES[[#This Row],[FECHA DE PAGO]]-PROVEEDORES[[#This Row],[FECHA DE FACTURACIÓN]])&gt;PROVEEDORES[[#This Row],[PLAZO Días]],"PAGO VENCIDO")</f>
        <v>0</v>
      </c>
      <c r="C424" s="25">
        <f>+VLOOKUP(PROVEEDORES[[#This Row],[PROVEEDOR]],TERCEROS_INFO[#All],2,FALSE)</f>
        <v>30</v>
      </c>
      <c r="D424" s="30">
        <f>+SUMIFS(PROVEEDORES[Total],PROVEEDORES[PROVEEDOR],PROVEEDORES[[#This Row],[PROVEEDOR]],PROVEEDORES[FECHA DE PAGO],"")</f>
        <v>4862586.33</v>
      </c>
      <c r="E424" s="30"/>
      <c r="F424" s="73" t="str">
        <f>+VLOOKUP(PROVEEDORES[[#This Row],[PROVEEDOR]],TERCEROS_INFO[[PROVEEDOR]:[CORREO]],5,FALSE)</f>
        <v>cartera@conbienes.com;girlesa.ruiz@servipilas.com;joriescobar64@gmail.com</v>
      </c>
      <c r="G424" s="111">
        <v>44369</v>
      </c>
      <c r="H424" s="31" t="s">
        <v>348</v>
      </c>
      <c r="I424" s="111">
        <v>44348</v>
      </c>
      <c r="J424" s="48" t="s">
        <v>581</v>
      </c>
      <c r="K424" s="26">
        <v>3061166</v>
      </c>
      <c r="L424" s="26"/>
      <c r="M424" s="27">
        <v>581621.54</v>
      </c>
      <c r="N424" s="28"/>
      <c r="O424" s="27">
        <v>0</v>
      </c>
      <c r="P424" s="28">
        <v>0</v>
      </c>
      <c r="Q424" s="27">
        <v>0</v>
      </c>
      <c r="R424" s="26">
        <v>3642787.54</v>
      </c>
      <c r="S424" s="115">
        <f ca="1">IF(PROVEEDORES[[#This Row],[FECHA DE PAGO]]=0,TODAY()-PROVEEDORES[[#This Row],[FECHA DE FACTURACIÓN]]-PROVEEDORES[[#This Row],[PLAZO Días]],0)</f>
        <v>0</v>
      </c>
      <c r="T4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5" spans="1:20" ht="21.9" customHeight="1" x14ac:dyDescent="0.3">
      <c r="A425" s="113" t="str">
        <f>+IF(PROVEEDORES[[#This Row],[FECHA DE PAGO]]=PROVEEDORES[[#This Row],[FECHA DE FACTURACIÓN]],"DE CONTADO","CRÉDITO")</f>
        <v>CRÉDITO</v>
      </c>
      <c r="B425" s="51" t="b">
        <f>+IF((PROVEEDORES[[#This Row],[FECHA DE PAGO]]-PROVEEDORES[[#This Row],[FECHA DE FACTURACIÓN]])&gt;PROVEEDORES[[#This Row],[PLAZO Días]],"PAGO VENCIDO")</f>
        <v>0</v>
      </c>
      <c r="C425" s="25">
        <f>+VLOOKUP(PROVEEDORES[[#This Row],[PROVEEDOR]],TERCEROS_INFO[#All],2,FALSE)</f>
        <v>30</v>
      </c>
      <c r="D425" s="30">
        <f>+SUMIFS(PROVEEDORES[Total],PROVEEDORES[PROVEEDOR],PROVEEDORES[[#This Row],[PROVEEDOR]],PROVEEDORES[FECHA DE PAGO],"")</f>
        <v>5060410.5999999996</v>
      </c>
      <c r="E425" s="30"/>
      <c r="F425" s="73" t="str">
        <f>+VLOOKUP(PROVEEDORES[[#This Row],[PROVEEDOR]],TERCEROS_INFO[[PROVEEDOR]:[CORREO]],5,FALSE)</f>
        <v>CBastidas@vyp.com.co;girlesa.ruiz@servipilas.com;joriescobar64@gmail.com</v>
      </c>
      <c r="G425" s="111">
        <v>44369</v>
      </c>
      <c r="H425" s="31" t="s">
        <v>347</v>
      </c>
      <c r="I425" s="111">
        <v>44348</v>
      </c>
      <c r="J425" s="48">
        <v>39353</v>
      </c>
      <c r="K425" s="26">
        <v>3765500</v>
      </c>
      <c r="L425" s="26"/>
      <c r="M425" s="27">
        <v>715445</v>
      </c>
      <c r="N425" s="28"/>
      <c r="O425" s="27">
        <v>0</v>
      </c>
      <c r="P425" s="28">
        <v>3.5000000000000003E-2</v>
      </c>
      <c r="Q425" s="27">
        <v>131792.5</v>
      </c>
      <c r="R425" s="26">
        <v>4349152.5</v>
      </c>
      <c r="S425" s="115">
        <f ca="1">IF(PROVEEDORES[[#This Row],[FECHA DE PAGO]]=0,TODAY()-PROVEEDORES[[#This Row],[FECHA DE FACTURACIÓN]]-PROVEEDORES[[#This Row],[PLAZO Días]],0)</f>
        <v>0</v>
      </c>
      <c r="T42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6" spans="1:20" ht="21.9" customHeight="1" x14ac:dyDescent="0.3">
      <c r="A426" s="113" t="str">
        <f>+IF(PROVEEDORES[[#This Row],[FECHA DE PAGO]]=PROVEEDORES[[#This Row],[FECHA DE FACTURACIÓN]],"DE CONTADO","CRÉDITO")</f>
        <v>CRÉDITO</v>
      </c>
      <c r="B426" s="51" t="str">
        <f>+IF((PROVEEDORES[[#This Row],[FECHA DE PAGO]]-PROVEEDORES[[#This Row],[FECHA DE FACTURACIÓN]])&gt;PROVEEDORES[[#This Row],[PLAZO Días]],"PAGO VENCIDO")</f>
        <v>PAGO VENCIDO</v>
      </c>
      <c r="C426" s="25">
        <f>+VLOOKUP(PROVEEDORES[[#This Row],[PROVEEDOR]],TERCEROS_INFO[#All],2,FALSE)</f>
        <v>30</v>
      </c>
      <c r="D426" s="30">
        <f>+SUMIFS(PROVEEDORES[Total],PROVEEDORES[PROVEEDOR],PROVEEDORES[[#This Row],[PROVEEDOR]],PROVEEDORES[FECHA DE PAGO],"")</f>
        <v>1119790</v>
      </c>
      <c r="E426" s="30"/>
      <c r="F426" s="73" t="str">
        <f>+VLOOKUP(PROVEEDORES[[#This Row],[PROVEEDOR]],TERCEROS_INFO[[PROVEEDOR]:[CORREO]],5,FALSE)</f>
        <v>MVALENCIA@mps.com.co;girlesa.ruiz@servipilas.com;joriescobar64@gmail.com</v>
      </c>
      <c r="G426" s="111">
        <v>44385</v>
      </c>
      <c r="H426" s="31" t="s">
        <v>17</v>
      </c>
      <c r="I426" s="111">
        <v>44350</v>
      </c>
      <c r="J426" s="48">
        <v>1771451</v>
      </c>
      <c r="K426" s="26">
        <v>485101</v>
      </c>
      <c r="L426" s="26"/>
      <c r="M426" s="27">
        <v>0</v>
      </c>
      <c r="N426" s="28"/>
      <c r="O426" s="27">
        <v>0</v>
      </c>
      <c r="P426" s="28">
        <v>0</v>
      </c>
      <c r="Q426" s="27">
        <v>0</v>
      </c>
      <c r="R426" s="26">
        <v>485101</v>
      </c>
      <c r="S426" s="115">
        <f ca="1">IF(PROVEEDORES[[#This Row],[FECHA DE PAGO]]=0,TODAY()-PROVEEDORES[[#This Row],[FECHA DE FACTURACIÓN]]-PROVEEDORES[[#This Row],[PLAZO Días]],0)</f>
        <v>0</v>
      </c>
      <c r="T42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7" spans="1:20" ht="21.9" customHeight="1" x14ac:dyDescent="0.3">
      <c r="A427" s="113" t="str">
        <f>+IF(PROVEEDORES[[#This Row],[FECHA DE PAGO]]=PROVEEDORES[[#This Row],[FECHA DE FACTURACIÓN]],"DE CONTADO","CRÉDITO")</f>
        <v>DE CONTADO</v>
      </c>
      <c r="B427" s="51" t="b">
        <f>+IF((PROVEEDORES[[#This Row],[FECHA DE PAGO]]-PROVEEDORES[[#This Row],[FECHA DE FACTURACIÓN]])&gt;PROVEEDORES[[#This Row],[PLAZO Días]],"PAGO VENCIDO")</f>
        <v>0</v>
      </c>
      <c r="C427" s="25">
        <f>+VLOOKUP(PROVEEDORES[[#This Row],[PROVEEDOR]],TERCEROS_INFO[#All],2,FALSE)</f>
        <v>30</v>
      </c>
      <c r="D427" s="30">
        <f>+SUMIFS(PROVEEDORES[Total],PROVEEDORES[PROVEEDOR],PROVEEDORES[[#This Row],[PROVEEDOR]],PROVEEDORES[FECHA DE PAGO],"")</f>
        <v>0</v>
      </c>
      <c r="E427" s="30"/>
      <c r="F427" s="73" t="str">
        <f>+VLOOKUP(PROVEEDORES[[#This Row],[PROVEEDOR]],TERCEROS_INFO[[PROVEEDOR]:[CORREO]],5,FALSE)</f>
        <v/>
      </c>
      <c r="G427" s="111">
        <v>44350</v>
      </c>
      <c r="H427" s="31" t="s">
        <v>1003</v>
      </c>
      <c r="I427" s="111">
        <v>44350</v>
      </c>
      <c r="J427" s="48" t="s">
        <v>725</v>
      </c>
      <c r="K427" s="26">
        <v>510000</v>
      </c>
      <c r="L427" s="26"/>
      <c r="M427" s="27">
        <v>0</v>
      </c>
      <c r="N427" s="28"/>
      <c r="O427" s="27">
        <v>0</v>
      </c>
      <c r="P427" s="28">
        <v>0</v>
      </c>
      <c r="Q427" s="27">
        <v>0</v>
      </c>
      <c r="R427" s="26">
        <v>510000</v>
      </c>
      <c r="S427" s="115">
        <f ca="1">IF(PROVEEDORES[[#This Row],[FECHA DE PAGO]]=0,TODAY()-PROVEEDORES[[#This Row],[FECHA DE FACTURACIÓN]]-PROVEEDORES[[#This Row],[PLAZO Días]],0)</f>
        <v>0</v>
      </c>
      <c r="T4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8" spans="1:20" ht="21.9" customHeight="1" x14ac:dyDescent="0.3">
      <c r="A428" s="113" t="str">
        <f>+IF(PROVEEDORES[[#This Row],[FECHA DE PAGO]]=PROVEEDORES[[#This Row],[FECHA DE FACTURACIÓN]],"DE CONTADO","CRÉDITO")</f>
        <v>CRÉDITO</v>
      </c>
      <c r="B428" s="51" t="str">
        <f>+IF((PROVEEDORES[[#This Row],[FECHA DE PAGO]]-PROVEEDORES[[#This Row],[FECHA DE FACTURACIÓN]])&gt;PROVEEDORES[[#This Row],[PLAZO Días]],"PAGO VENCIDO")</f>
        <v>PAGO VENCIDO</v>
      </c>
      <c r="C428" s="25">
        <f>+VLOOKUP(PROVEEDORES[[#This Row],[PROVEEDOR]],TERCEROS_INFO[#All],2,FALSE)</f>
        <v>45</v>
      </c>
      <c r="D428" s="30">
        <f>+SUMIFS(PROVEEDORES[Total],PROVEEDORES[PROVEEDOR],PROVEEDORES[[#This Row],[PROVEEDOR]],PROVEEDORES[FECHA DE PAGO],"")</f>
        <v>1070024.2</v>
      </c>
      <c r="E428" s="30"/>
      <c r="F428" s="73" t="str">
        <f>+VLOOKUP(PROVEEDORES[[#This Row],[PROVEEDOR]],TERCEROS_INFO[[PROVEEDOR]:[CORREO]],5,FALSE)</f>
        <v>libardopineda@tronex.com;girlesa.ruiz@servipilas.com;joriescobar64@gmail.com</v>
      </c>
      <c r="G428" s="111">
        <v>44414</v>
      </c>
      <c r="H428" s="31" t="s">
        <v>10</v>
      </c>
      <c r="I428" s="111">
        <v>44350</v>
      </c>
      <c r="J428" s="48" t="s">
        <v>388</v>
      </c>
      <c r="K428" s="26">
        <v>1200000</v>
      </c>
      <c r="L428" s="26"/>
      <c r="M428" s="27">
        <v>228000</v>
      </c>
      <c r="N428" s="28"/>
      <c r="O428" s="27">
        <v>0</v>
      </c>
      <c r="P428" s="28">
        <v>0</v>
      </c>
      <c r="Q428" s="27">
        <v>0</v>
      </c>
      <c r="R428" s="26">
        <v>1428000</v>
      </c>
      <c r="S428" s="115">
        <f ca="1">IF(PROVEEDORES[[#This Row],[FECHA DE PAGO]]=0,TODAY()-PROVEEDORES[[#This Row],[FECHA DE FACTURACIÓN]]-PROVEEDORES[[#This Row],[PLAZO Días]],0)</f>
        <v>0</v>
      </c>
      <c r="T42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29" spans="1:20" ht="21.9" customHeight="1" x14ac:dyDescent="0.3">
      <c r="A429" s="113" t="str">
        <f>+IF(PROVEEDORES[[#This Row],[FECHA DE PAGO]]=PROVEEDORES[[#This Row],[FECHA DE FACTURACIÓN]],"DE CONTADO","CRÉDITO")</f>
        <v>CRÉDITO</v>
      </c>
      <c r="B429" s="51" t="str">
        <f>+IF((PROVEEDORES[[#This Row],[FECHA DE PAGO]]-PROVEEDORES[[#This Row],[FECHA DE FACTURACIÓN]])&gt;PROVEEDORES[[#This Row],[PLAZO Días]],"PAGO VENCIDO")</f>
        <v>PAGO VENCIDO</v>
      </c>
      <c r="C429" s="25">
        <f>+VLOOKUP(PROVEEDORES[[#This Row],[PROVEEDOR]],TERCEROS_INFO[#All],2,FALSE)</f>
        <v>30</v>
      </c>
      <c r="D429" s="30">
        <f>+SUMIFS(PROVEEDORES[Total],PROVEEDORES[PROVEEDOR],PROVEEDORES[[#This Row],[PROVEEDOR]],PROVEEDORES[FECHA DE PAGO],"")</f>
        <v>4078650.6</v>
      </c>
      <c r="E429" s="30"/>
      <c r="F429" s="73" t="str">
        <f>+VLOOKUP(PROVEEDORES[[#This Row],[PROVEEDOR]],TERCEROS_INFO[[PROVEEDOR]:[CORREO]],5,FALSE)</f>
        <v>financiera@nalpicentral.com;girlesa.ruiz@servipilas.com;joriescobar64@gmail.com</v>
      </c>
      <c r="G429" s="111">
        <v>44418</v>
      </c>
      <c r="H429" s="31" t="s">
        <v>1095</v>
      </c>
      <c r="I429" s="111">
        <v>44350</v>
      </c>
      <c r="J429" s="48">
        <v>21170</v>
      </c>
      <c r="K429" s="26">
        <v>1354078</v>
      </c>
      <c r="L429" s="26">
        <v>22198</v>
      </c>
      <c r="M429" s="27">
        <v>253057.2</v>
      </c>
      <c r="N429" s="28"/>
      <c r="O429" s="27">
        <v>0</v>
      </c>
      <c r="P429" s="28">
        <v>2.5000000000000001E-2</v>
      </c>
      <c r="Q429" s="27">
        <v>33297</v>
      </c>
      <c r="R429" s="26">
        <v>1551640.2</v>
      </c>
      <c r="S429" s="115">
        <f ca="1">IF(PROVEEDORES[[#This Row],[FECHA DE PAGO]]=0,TODAY()-PROVEEDORES[[#This Row],[FECHA DE FACTURACIÓN]]-PROVEEDORES[[#This Row],[PLAZO Días]],0)</f>
        <v>0</v>
      </c>
      <c r="T42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0" spans="1:20" ht="21.9" customHeight="1" x14ac:dyDescent="0.3">
      <c r="A430" s="113" t="str">
        <f>+IF(PROVEEDORES[[#This Row],[FECHA DE PAGO]]=PROVEEDORES[[#This Row],[FECHA DE FACTURACIÓN]],"DE CONTADO","CRÉDITO")</f>
        <v>CRÉDITO</v>
      </c>
      <c r="B430" s="51" t="str">
        <f>+IF((PROVEEDORES[[#This Row],[FECHA DE PAGO]]-PROVEEDORES[[#This Row],[FECHA DE FACTURACIÓN]])&gt;PROVEEDORES[[#This Row],[PLAZO Días]],"PAGO VENCIDO")</f>
        <v>PAGO VENCIDO</v>
      </c>
      <c r="C430" s="25">
        <f>+VLOOKUP(PROVEEDORES[[#This Row],[PROVEEDOR]],TERCEROS_INFO[#All],2,FALSE)</f>
        <v>30</v>
      </c>
      <c r="D430" s="30">
        <f>+SUMIFS(PROVEEDORES[Total],PROVEEDORES[PROVEEDOR],PROVEEDORES[[#This Row],[PROVEEDOR]],PROVEEDORES[FECHA DE PAGO],"")</f>
        <v>6482443.1751999995</v>
      </c>
      <c r="E430" s="30"/>
      <c r="F430" s="73" t="str">
        <f>+VLOOKUP(PROVEEDORES[[#This Row],[PROVEEDOR]],TERCEROS_INFO[[PROVEEDOR]:[CORREO]],5,FALSE)</f>
        <v>angela.navas@hyrdistribuciones.com;girlesa.ruiz@servipilas.com;joriescobar64@gmail.com</v>
      </c>
      <c r="G430" s="111">
        <v>44389</v>
      </c>
      <c r="H430" s="31" t="s">
        <v>18</v>
      </c>
      <c r="I430" s="111">
        <v>44350</v>
      </c>
      <c r="J430" s="48">
        <v>1038584</v>
      </c>
      <c r="K430" s="26">
        <v>2162828.4</v>
      </c>
      <c r="L430" s="26"/>
      <c r="M430" s="27">
        <v>410937.39600000001</v>
      </c>
      <c r="N430" s="28"/>
      <c r="O430" s="27">
        <v>0</v>
      </c>
      <c r="P430" s="28">
        <v>2.5000000000000001E-2</v>
      </c>
      <c r="Q430" s="27">
        <v>54070.71</v>
      </c>
      <c r="R430" s="26">
        <v>2519695.0860000001</v>
      </c>
      <c r="S430" s="115">
        <f ca="1">IF(PROVEEDORES[[#This Row],[FECHA DE PAGO]]=0,TODAY()-PROVEEDORES[[#This Row],[FECHA DE FACTURACIÓN]]-PROVEEDORES[[#This Row],[PLAZO Días]],0)</f>
        <v>0</v>
      </c>
      <c r="T43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1" spans="1:20" ht="21.9" customHeight="1" x14ac:dyDescent="0.3">
      <c r="A431" s="113" t="str">
        <f>+IF(PROVEEDORES[[#This Row],[FECHA DE PAGO]]=PROVEEDORES[[#This Row],[FECHA DE FACTURACIÓN]],"DE CONTADO","CRÉDITO")</f>
        <v>CRÉDITO</v>
      </c>
      <c r="B431" s="51" t="str">
        <f>+IF((PROVEEDORES[[#This Row],[FECHA DE PAGO]]-PROVEEDORES[[#This Row],[FECHA DE FACTURACIÓN]])&gt;PROVEEDORES[[#This Row],[PLAZO Días]],"PAGO VENCIDO")</f>
        <v>PAGO VENCIDO</v>
      </c>
      <c r="C431" s="25">
        <f>+VLOOKUP(PROVEEDORES[[#This Row],[PROVEEDOR]],TERCEROS_INFO[#All],2,FALSE)</f>
        <v>30</v>
      </c>
      <c r="D431" s="30">
        <f>+SUMIFS(PROVEEDORES[Total],PROVEEDORES[PROVEEDOR],PROVEEDORES[[#This Row],[PROVEEDOR]],PROVEEDORES[FECHA DE PAGO],"")</f>
        <v>2324514.0150000001</v>
      </c>
      <c r="E431" s="30"/>
      <c r="F431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431" s="111">
        <v>44396</v>
      </c>
      <c r="H431" s="31" t="s">
        <v>24</v>
      </c>
      <c r="I431" s="111">
        <v>44351</v>
      </c>
      <c r="J431" s="48" t="s">
        <v>392</v>
      </c>
      <c r="K431" s="26">
        <v>1106676</v>
      </c>
      <c r="L431" s="26"/>
      <c r="M431" s="27">
        <v>210268.44</v>
      </c>
      <c r="N431" s="28"/>
      <c r="O431" s="27">
        <v>0</v>
      </c>
      <c r="P431" s="28">
        <v>2.5000000000000001E-2</v>
      </c>
      <c r="Q431" s="27">
        <v>27666.9</v>
      </c>
      <c r="R431" s="26">
        <v>1289277.54</v>
      </c>
      <c r="S431" s="115">
        <f ca="1">IF(PROVEEDORES[[#This Row],[FECHA DE PAGO]]=0,TODAY()-PROVEEDORES[[#This Row],[FECHA DE FACTURACIÓN]]-PROVEEDORES[[#This Row],[PLAZO Días]],0)</f>
        <v>0</v>
      </c>
      <c r="T4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2" spans="1:20" ht="21.9" customHeight="1" x14ac:dyDescent="0.3">
      <c r="A432" s="113" t="str">
        <f>+IF(PROVEEDORES[[#This Row],[FECHA DE PAGO]]=PROVEEDORES[[#This Row],[FECHA DE FACTURACIÓN]],"DE CONTADO","CRÉDITO")</f>
        <v>CRÉDITO</v>
      </c>
      <c r="B432" s="51" t="str">
        <f>+IF((PROVEEDORES[[#This Row],[FECHA DE PAGO]]-PROVEEDORES[[#This Row],[FECHA DE FACTURACIÓN]])&gt;PROVEEDORES[[#This Row],[PLAZO Días]],"PAGO VENCIDO")</f>
        <v>PAGO VENCIDO</v>
      </c>
      <c r="C432" s="25">
        <f>+VLOOKUP(PROVEEDORES[[#This Row],[PROVEEDOR]],TERCEROS_INFO[#All],2,FALSE)</f>
        <v>45</v>
      </c>
      <c r="D432" s="30">
        <f>+SUMIFS(PROVEEDORES[Total],PROVEEDORES[PROVEEDOR],PROVEEDORES[[#This Row],[PROVEEDOR]],PROVEEDORES[FECHA DE PAGO],"")</f>
        <v>17760678.600000001</v>
      </c>
      <c r="E432" s="30"/>
      <c r="F432" s="73" t="str">
        <f>+VLOOKUP(PROVEEDORES[[#This Row],[PROVEEDOR]],TERCEROS_INFO[[PROVEEDOR]:[CORREO]],5,FALSE)</f>
        <v>zully.florez@powest.com;girlesa.ruiz@servipilas.com;joriescobar64@gmail.com</v>
      </c>
      <c r="G432" s="111">
        <v>44407</v>
      </c>
      <c r="H432" s="31" t="s">
        <v>19</v>
      </c>
      <c r="I432" s="111">
        <v>44351</v>
      </c>
      <c r="J432" s="48" t="s">
        <v>391</v>
      </c>
      <c r="K432" s="26">
        <v>1540080</v>
      </c>
      <c r="L432" s="26"/>
      <c r="M432" s="27">
        <v>292615.2</v>
      </c>
      <c r="N432" s="28"/>
      <c r="O432" s="27">
        <v>0</v>
      </c>
      <c r="P432" s="28">
        <v>0</v>
      </c>
      <c r="Q432" s="27">
        <v>0</v>
      </c>
      <c r="R432" s="26">
        <v>1832695.2</v>
      </c>
      <c r="S432" s="115">
        <f ca="1">IF(PROVEEDORES[[#This Row],[FECHA DE PAGO]]=0,TODAY()-PROVEEDORES[[#This Row],[FECHA DE FACTURACIÓN]]-PROVEEDORES[[#This Row],[PLAZO Días]],0)</f>
        <v>0</v>
      </c>
      <c r="T4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3" spans="1:20" ht="21.9" customHeight="1" x14ac:dyDescent="0.3">
      <c r="A433" s="113" t="str">
        <f>+IF(PROVEEDORES[[#This Row],[FECHA DE PAGO]]=PROVEEDORES[[#This Row],[FECHA DE FACTURACIÓN]],"DE CONTADO","CRÉDITO")</f>
        <v>DE CONTADO</v>
      </c>
      <c r="B433" s="51" t="b">
        <f>+IF((PROVEEDORES[[#This Row],[FECHA DE PAGO]]-PROVEEDORES[[#This Row],[FECHA DE FACTURACIÓN]])&gt;PROVEEDORES[[#This Row],[PLAZO Días]],"PAGO VENCIDO")</f>
        <v>0</v>
      </c>
      <c r="C433" s="25">
        <f>+VLOOKUP(PROVEEDORES[[#This Row],[PROVEEDOR]],TERCEROS_INFO[#All],2,FALSE)</f>
        <v>30</v>
      </c>
      <c r="D433" s="30">
        <f>+SUMIFS(PROVEEDORES[Total],PROVEEDORES[PROVEEDOR],PROVEEDORES[[#This Row],[PROVEEDOR]],PROVEEDORES[FECHA DE PAGO],"")</f>
        <v>0</v>
      </c>
      <c r="E433" s="30"/>
      <c r="F433" s="73" t="str">
        <f>+VLOOKUP(PROVEEDORES[[#This Row],[PROVEEDOR]],TERCEROS_INFO[[PROVEEDOR]:[CORREO]],5,FALSE)</f>
        <v/>
      </c>
      <c r="G433" s="111">
        <v>44351</v>
      </c>
      <c r="H433" s="31" t="s">
        <v>1052</v>
      </c>
      <c r="I433" s="111">
        <v>44351</v>
      </c>
      <c r="J433" s="48"/>
      <c r="K433" s="26">
        <v>2000000</v>
      </c>
      <c r="L433" s="26"/>
      <c r="M433" s="27">
        <v>0</v>
      </c>
      <c r="N433" s="28"/>
      <c r="O433" s="27">
        <v>0</v>
      </c>
      <c r="P433" s="28">
        <v>0</v>
      </c>
      <c r="Q433" s="27">
        <v>0</v>
      </c>
      <c r="R433" s="26">
        <v>2000000</v>
      </c>
      <c r="S433" s="115">
        <f ca="1">IF(PROVEEDORES[[#This Row],[FECHA DE PAGO]]=0,TODAY()-PROVEEDORES[[#This Row],[FECHA DE FACTURACIÓN]]-PROVEEDORES[[#This Row],[PLAZO Días]],0)</f>
        <v>0</v>
      </c>
      <c r="T4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4" spans="1:20" ht="21.9" customHeight="1" x14ac:dyDescent="0.3">
      <c r="A434" s="113" t="str">
        <f>+IF(PROVEEDORES[[#This Row],[FECHA DE PAGO]]=PROVEEDORES[[#This Row],[FECHA DE FACTURACIÓN]],"DE CONTADO","CRÉDITO")</f>
        <v>CRÉDITO</v>
      </c>
      <c r="B434" s="51" t="str">
        <f>+IF((PROVEEDORES[[#This Row],[FECHA DE PAGO]]-PROVEEDORES[[#This Row],[FECHA DE FACTURACIÓN]])&gt;PROVEEDORES[[#This Row],[PLAZO Días]],"PAGO VENCIDO")</f>
        <v>PAGO VENCIDO</v>
      </c>
      <c r="C434" s="25">
        <f>+VLOOKUP(PROVEEDORES[[#This Row],[PROVEEDOR]],TERCEROS_INFO[#All],2,FALSE)</f>
        <v>30</v>
      </c>
      <c r="D434" s="30">
        <f>+SUMIFS(PROVEEDORES[Total],PROVEEDORES[PROVEEDOR],PROVEEDORES[[#This Row],[PROVEEDOR]],PROVEEDORES[FECHA DE PAGO],"")</f>
        <v>3406</v>
      </c>
      <c r="E434" s="30"/>
      <c r="F434" s="73" t="str">
        <f>+VLOOKUP(PROVEEDORES[[#This Row],[PROVEEDOR]],TERCEROS_INFO[[PROVEEDOR]:[CORREO]],5,FALSE)</f>
        <v>ventas@ismartsas.com;girlesa.ruiz@servipilas.com;joriescobar64@gmail.com</v>
      </c>
      <c r="G434" s="111">
        <v>44403</v>
      </c>
      <c r="H434" s="31" t="s">
        <v>48</v>
      </c>
      <c r="I434" s="111">
        <v>44352</v>
      </c>
      <c r="J434" s="48" t="s">
        <v>412</v>
      </c>
      <c r="K434" s="26">
        <v>-42300</v>
      </c>
      <c r="L434" s="26"/>
      <c r="M434" s="27">
        <v>-8037</v>
      </c>
      <c r="N434" s="28"/>
      <c r="O434" s="27">
        <v>0</v>
      </c>
      <c r="P434" s="28">
        <v>0</v>
      </c>
      <c r="Q434" s="27">
        <v>0</v>
      </c>
      <c r="R434" s="26">
        <v>-50337</v>
      </c>
      <c r="S434" s="115">
        <f ca="1">IF(PROVEEDORES[[#This Row],[FECHA DE PAGO]]=0,TODAY()-PROVEEDORES[[#This Row],[FECHA DE FACTURACIÓN]]-PROVEEDORES[[#This Row],[PLAZO Días]],0)</f>
        <v>0</v>
      </c>
      <c r="T4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5" spans="1:20" ht="21.9" customHeight="1" x14ac:dyDescent="0.3">
      <c r="A435" s="113" t="str">
        <f>+IF(PROVEEDORES[[#This Row],[FECHA DE PAGO]]=PROVEEDORES[[#This Row],[FECHA DE FACTURACIÓN]],"DE CONTADO","CRÉDITO")</f>
        <v>CRÉDITO</v>
      </c>
      <c r="B435" s="51" t="str">
        <f>+IF((PROVEEDORES[[#This Row],[FECHA DE PAGO]]-PROVEEDORES[[#This Row],[FECHA DE FACTURACIÓN]])&gt;PROVEEDORES[[#This Row],[PLAZO Días]],"PAGO VENCIDO")</f>
        <v>PAGO VENCIDO</v>
      </c>
      <c r="C435" s="25">
        <f>+VLOOKUP(PROVEEDORES[[#This Row],[PROVEEDOR]],TERCEROS_INFO[#All],2,FALSE)</f>
        <v>30</v>
      </c>
      <c r="D435" s="30">
        <f>+SUMIFS(PROVEEDORES[Total],PROVEEDORES[PROVEEDOR],PROVEEDORES[[#This Row],[PROVEEDOR]],PROVEEDORES[FECHA DE PAGO],"")</f>
        <v>3406</v>
      </c>
      <c r="E435" s="30"/>
      <c r="F435" s="73" t="str">
        <f>+VLOOKUP(PROVEEDORES[[#This Row],[PROVEEDOR]],TERCEROS_INFO[[PROVEEDOR]:[CORREO]],5,FALSE)</f>
        <v>ventas@ismartsas.com;girlesa.ruiz@servipilas.com;joriescobar64@gmail.com</v>
      </c>
      <c r="G435" s="111">
        <v>44403</v>
      </c>
      <c r="H435" s="31" t="s">
        <v>48</v>
      </c>
      <c r="I435" s="111">
        <v>44352</v>
      </c>
      <c r="J435" s="48">
        <v>28795</v>
      </c>
      <c r="K435" s="26">
        <v>910879</v>
      </c>
      <c r="L435" s="26"/>
      <c r="M435" s="27">
        <v>173067.01</v>
      </c>
      <c r="N435" s="28"/>
      <c r="O435" s="27">
        <v>0</v>
      </c>
      <c r="P435" s="28">
        <v>0</v>
      </c>
      <c r="Q435" s="27">
        <v>0</v>
      </c>
      <c r="R435" s="26">
        <v>1083946.01</v>
      </c>
      <c r="S435" s="115">
        <f ca="1">IF(PROVEEDORES[[#This Row],[FECHA DE PAGO]]=0,TODAY()-PROVEEDORES[[#This Row],[FECHA DE FACTURACIÓN]]-PROVEEDORES[[#This Row],[PLAZO Días]],0)</f>
        <v>0</v>
      </c>
      <c r="T4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6" spans="1:20" ht="21.9" customHeight="1" x14ac:dyDescent="0.3">
      <c r="A436" s="113" t="str">
        <f>+IF(PROVEEDORES[[#This Row],[FECHA DE PAGO]]=PROVEEDORES[[#This Row],[FECHA DE FACTURACIÓN]],"DE CONTADO","CRÉDITO")</f>
        <v>CRÉDITO</v>
      </c>
      <c r="B436" s="51" t="b">
        <f>+IF((PROVEEDORES[[#This Row],[FECHA DE PAGO]]-PROVEEDORES[[#This Row],[FECHA DE FACTURACIÓN]])&gt;PROVEEDORES[[#This Row],[PLAZO Días]],"PAGO VENCIDO")</f>
        <v>0</v>
      </c>
      <c r="C436" s="25">
        <f>+VLOOKUP(PROVEEDORES[[#This Row],[PROVEEDOR]],TERCEROS_INFO[#All],2,FALSE)</f>
        <v>30</v>
      </c>
      <c r="D436" s="30">
        <f>+SUMIFS(PROVEEDORES[Total],PROVEEDORES[PROVEEDOR],PROVEEDORES[[#This Row],[PROVEEDOR]],PROVEEDORES[FECHA DE PAGO],"")</f>
        <v>264406</v>
      </c>
      <c r="E436" s="30"/>
      <c r="F436" s="73" t="str">
        <f>+VLOOKUP(PROVEEDORES[[#This Row],[PROVEEDOR]],TERCEROS_INFO[[PROVEEDOR]:[CORREO]],5,FALSE)</f>
        <v>oswaldo.alvarez@logimexsas.com;girlesa.ruiz@servipilas.com;joriescobar64@gmail.com</v>
      </c>
      <c r="G436" s="111">
        <v>44355</v>
      </c>
      <c r="H436" s="31" t="s">
        <v>393</v>
      </c>
      <c r="I436" s="111">
        <v>44354</v>
      </c>
      <c r="J436" s="48">
        <v>282538</v>
      </c>
      <c r="K436" s="26">
        <v>1361000</v>
      </c>
      <c r="L436" s="26"/>
      <c r="M436" s="27">
        <v>0</v>
      </c>
      <c r="N436" s="28"/>
      <c r="O436" s="27">
        <v>0</v>
      </c>
      <c r="P436" s="28">
        <v>0</v>
      </c>
      <c r="Q436" s="27">
        <v>0</v>
      </c>
      <c r="R436" s="26">
        <v>1361000</v>
      </c>
      <c r="S436" s="115">
        <f ca="1">IF(PROVEEDORES[[#This Row],[FECHA DE PAGO]]=0,TODAY()-PROVEEDORES[[#This Row],[FECHA DE FACTURACIÓN]]-PROVEEDORES[[#This Row],[PLAZO Días]],0)</f>
        <v>0</v>
      </c>
      <c r="T4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7" spans="1:20" ht="21.9" customHeight="1" x14ac:dyDescent="0.3">
      <c r="A437" s="113" t="str">
        <f>+IF(PROVEEDORES[[#This Row],[FECHA DE PAGO]]=PROVEEDORES[[#This Row],[FECHA DE FACTURACIÓN]],"DE CONTADO","CRÉDITO")</f>
        <v>CRÉDITO</v>
      </c>
      <c r="B437" s="51" t="b">
        <f>+IF((PROVEEDORES[[#This Row],[FECHA DE PAGO]]-PROVEEDORES[[#This Row],[FECHA DE FACTURACIÓN]])&gt;PROVEEDORES[[#This Row],[PLAZO Días]],"PAGO VENCIDO")</f>
        <v>0</v>
      </c>
      <c r="C437" s="25">
        <f>+VLOOKUP(PROVEEDORES[[#This Row],[PROVEEDOR]],TERCEROS_INFO[#All],2,FALSE)</f>
        <v>10</v>
      </c>
      <c r="D437" s="30">
        <f>+SUMIFS(PROVEEDORES[Total],PROVEEDORES[PROVEEDOR],PROVEEDORES[[#This Row],[PROVEEDOR]],PROVEEDORES[FECHA DE PAGO],"")</f>
        <v>0</v>
      </c>
      <c r="E437" s="30"/>
      <c r="F437" s="73">
        <f>+VLOOKUP(PROVEEDORES[[#This Row],[PROVEEDOR]],TERCEROS_INFO[[PROVEEDOR]:[CORREO]],5,FALSE)</f>
        <v>0</v>
      </c>
      <c r="G437" s="111">
        <v>44355</v>
      </c>
      <c r="H437" s="31" t="s">
        <v>394</v>
      </c>
      <c r="I437" s="111">
        <v>44354</v>
      </c>
      <c r="J437" s="48">
        <v>282538</v>
      </c>
      <c r="K437" s="26">
        <v>2188000</v>
      </c>
      <c r="L437" s="26"/>
      <c r="M437" s="27">
        <v>0</v>
      </c>
      <c r="N437" s="28"/>
      <c r="O437" s="27">
        <v>0</v>
      </c>
      <c r="P437" s="28">
        <v>0</v>
      </c>
      <c r="Q437" s="27">
        <v>0</v>
      </c>
      <c r="R437" s="26">
        <v>2188000</v>
      </c>
      <c r="S437" s="115">
        <f ca="1">IF(PROVEEDORES[[#This Row],[FECHA DE PAGO]]=0,TODAY()-PROVEEDORES[[#This Row],[FECHA DE FACTURACIÓN]]-PROVEEDORES[[#This Row],[PLAZO Días]],0)</f>
        <v>0</v>
      </c>
      <c r="T4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8" spans="1:20" ht="21.9" customHeight="1" x14ac:dyDescent="0.3">
      <c r="A438" s="113" t="str">
        <f>+IF(PROVEEDORES[[#This Row],[FECHA DE PAGO]]=PROVEEDORES[[#This Row],[FECHA DE FACTURACIÓN]],"DE CONTADO","CRÉDITO")</f>
        <v>CRÉDITO</v>
      </c>
      <c r="B438" s="51" t="str">
        <f>+IF((PROVEEDORES[[#This Row],[FECHA DE PAGO]]-PROVEEDORES[[#This Row],[FECHA DE FACTURACIÓN]])&gt;PROVEEDORES[[#This Row],[PLAZO Días]],"PAGO VENCIDO")</f>
        <v>PAGO VENCIDO</v>
      </c>
      <c r="C438" s="25">
        <f>+VLOOKUP(PROVEEDORES[[#This Row],[PROVEEDOR]],TERCEROS_INFO[#All],2,FALSE)</f>
        <v>30</v>
      </c>
      <c r="D438" s="30">
        <f>+SUMIFS(PROVEEDORES[Total],PROVEEDORES[PROVEEDOR],PROVEEDORES[[#This Row],[PROVEEDOR]],PROVEEDORES[FECHA DE PAGO],"")</f>
        <v>10764600</v>
      </c>
      <c r="E438" s="30"/>
      <c r="F438" s="73" t="str">
        <f>+VLOOKUP(PROVEEDORES[[#This Row],[PROVEEDOR]],TERCEROS_INFO[[PROVEEDOR]:[CORREO]],5,FALSE)</f>
        <v>apresupuesto@widexcolombia.com;girlesa.ruiz@servipilas.com;joriescobar64@gmail.com</v>
      </c>
      <c r="G438" s="111">
        <v>44403</v>
      </c>
      <c r="H438" s="31" t="s">
        <v>11</v>
      </c>
      <c r="I438" s="111">
        <v>44355</v>
      </c>
      <c r="J438" s="48" t="s">
        <v>396</v>
      </c>
      <c r="K438" s="26">
        <v>126050</v>
      </c>
      <c r="L438" s="26"/>
      <c r="M438" s="27">
        <v>23949.5</v>
      </c>
      <c r="N438" s="28"/>
      <c r="O438" s="27">
        <v>0</v>
      </c>
      <c r="P438" s="28">
        <v>0</v>
      </c>
      <c r="Q438" s="27">
        <v>0</v>
      </c>
      <c r="R438" s="26">
        <v>149999.5</v>
      </c>
      <c r="S438" s="115">
        <f ca="1">IF(PROVEEDORES[[#This Row],[FECHA DE PAGO]]=0,TODAY()-PROVEEDORES[[#This Row],[FECHA DE FACTURACIÓN]]-PROVEEDORES[[#This Row],[PLAZO Días]],0)</f>
        <v>0</v>
      </c>
      <c r="T43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39" spans="1:20" ht="21.9" customHeight="1" x14ac:dyDescent="0.3">
      <c r="A439" s="113" t="str">
        <f>+IF(PROVEEDORES[[#This Row],[FECHA DE PAGO]]=PROVEEDORES[[#This Row],[FECHA DE FACTURACIÓN]],"DE CONTADO","CRÉDITO")</f>
        <v>CRÉDITO</v>
      </c>
      <c r="B439" s="51" t="str">
        <f>+IF((PROVEEDORES[[#This Row],[FECHA DE PAGO]]-PROVEEDORES[[#This Row],[FECHA DE FACTURACIÓN]])&gt;PROVEEDORES[[#This Row],[PLAZO Días]],"PAGO VENCIDO")</f>
        <v>PAGO VENCIDO</v>
      </c>
      <c r="C439" s="25">
        <f>+VLOOKUP(PROVEEDORES[[#This Row],[PROVEEDOR]],TERCEROS_INFO[#All],2,FALSE)</f>
        <v>30</v>
      </c>
      <c r="D439" s="30">
        <f>+SUMIFS(PROVEEDORES[Total],PROVEEDORES[PROVEEDOR],PROVEEDORES[[#This Row],[PROVEEDOR]],PROVEEDORES[FECHA DE PAGO],"")</f>
        <v>0</v>
      </c>
      <c r="E439" s="30"/>
      <c r="F439" s="73" t="str">
        <f>+VLOOKUP(PROVEEDORES[[#This Row],[PROVEEDOR]],TERCEROS_INFO[[PROVEEDOR]:[CORREO]],5,FALSE)</f>
        <v>swizzeraux2@gmail.com;girlesa.ruiz@servipilas.com;joriescobar64@gmail.com</v>
      </c>
      <c r="G439" s="111">
        <v>44418</v>
      </c>
      <c r="H439" s="31" t="s">
        <v>1077</v>
      </c>
      <c r="I439" s="111">
        <v>44356</v>
      </c>
      <c r="J439" s="48" t="s">
        <v>726</v>
      </c>
      <c r="K439" s="26">
        <v>157700</v>
      </c>
      <c r="L439" s="26"/>
      <c r="M439" s="27">
        <v>0</v>
      </c>
      <c r="N439" s="28"/>
      <c r="O439" s="27">
        <v>0</v>
      </c>
      <c r="P439" s="28">
        <v>0</v>
      </c>
      <c r="Q439" s="27">
        <v>0</v>
      </c>
      <c r="R439" s="26">
        <v>157700</v>
      </c>
      <c r="S439" s="115">
        <f ca="1">IF(PROVEEDORES[[#This Row],[FECHA DE PAGO]]=0,TODAY()-PROVEEDORES[[#This Row],[FECHA DE FACTURACIÓN]]-PROVEEDORES[[#This Row],[PLAZO Días]],0)</f>
        <v>0</v>
      </c>
      <c r="T4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0" spans="1:20" ht="21.9" customHeight="1" x14ac:dyDescent="0.3">
      <c r="A440" s="113" t="str">
        <f>+IF(PROVEEDORES[[#This Row],[FECHA DE PAGO]]=PROVEEDORES[[#This Row],[FECHA DE FACTURACIÓN]],"DE CONTADO","CRÉDITO")</f>
        <v>CRÉDITO</v>
      </c>
      <c r="B440" s="51" t="str">
        <f>+IF((PROVEEDORES[[#This Row],[FECHA DE PAGO]]-PROVEEDORES[[#This Row],[FECHA DE FACTURACIÓN]])&gt;PROVEEDORES[[#This Row],[PLAZO Días]],"PAGO VENCIDO")</f>
        <v>PAGO VENCIDO</v>
      </c>
      <c r="C440" s="25">
        <f>+VLOOKUP(PROVEEDORES[[#This Row],[PROVEEDOR]],TERCEROS_INFO[#All],2,FALSE)</f>
        <v>0</v>
      </c>
      <c r="D440" s="30">
        <f>+SUMIFS(PROVEEDORES[Total],PROVEEDORES[PROVEEDOR],PROVEEDORES[[#This Row],[PROVEEDOR]],PROVEEDORES[FECHA DE PAGO],"")</f>
        <v>0</v>
      </c>
      <c r="E440" s="30"/>
      <c r="F440" s="73" t="str">
        <f>+VLOOKUP(PROVEEDORES[[#This Row],[PROVEEDOR]],TERCEROS_INFO[[PROVEEDOR]:[CORREO]],5,FALSE)</f>
        <v>pse</v>
      </c>
      <c r="G440" s="111">
        <v>44357</v>
      </c>
      <c r="H440" s="31" t="s">
        <v>399</v>
      </c>
      <c r="I440" s="111">
        <v>44356</v>
      </c>
      <c r="J440" s="48" t="s">
        <v>727</v>
      </c>
      <c r="K440" s="26">
        <v>914200</v>
      </c>
      <c r="L440" s="26"/>
      <c r="M440" s="27">
        <v>0</v>
      </c>
      <c r="N440" s="28"/>
      <c r="O440" s="27">
        <v>0</v>
      </c>
      <c r="P440" s="28">
        <v>0</v>
      </c>
      <c r="Q440" s="27">
        <v>0</v>
      </c>
      <c r="R440" s="26">
        <v>914200</v>
      </c>
      <c r="S440" s="115">
        <f ca="1">IF(PROVEEDORES[[#This Row],[FECHA DE PAGO]]=0,TODAY()-PROVEEDORES[[#This Row],[FECHA DE FACTURACIÓN]]-PROVEEDORES[[#This Row],[PLAZO Días]],0)</f>
        <v>0</v>
      </c>
      <c r="T4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1" spans="1:20" ht="21.9" customHeight="1" x14ac:dyDescent="0.3">
      <c r="A441" s="113" t="str">
        <f>+IF(PROVEEDORES[[#This Row],[FECHA DE PAGO]]=PROVEEDORES[[#This Row],[FECHA DE FACTURACIÓN]],"DE CONTADO","CRÉDITO")</f>
        <v>CRÉDITO</v>
      </c>
      <c r="B441" s="51" t="str">
        <f>+IF((PROVEEDORES[[#This Row],[FECHA DE PAGO]]-PROVEEDORES[[#This Row],[FECHA DE FACTURACIÓN]])&gt;PROVEEDORES[[#This Row],[PLAZO Días]],"PAGO VENCIDO")</f>
        <v>PAGO VENCIDO</v>
      </c>
      <c r="C441" s="25">
        <f>+VLOOKUP(PROVEEDORES[[#This Row],[PROVEEDOR]],TERCEROS_INFO[#All],2,FALSE)</f>
        <v>45</v>
      </c>
      <c r="D441" s="30">
        <f>+SUMIFS(PROVEEDORES[Total],PROVEEDORES[PROVEEDOR],PROVEEDORES[[#This Row],[PROVEEDOR]],PROVEEDORES[FECHA DE PAGO],"")</f>
        <v>1070024.2</v>
      </c>
      <c r="E441" s="30"/>
      <c r="F441" s="73" t="str">
        <f>+VLOOKUP(PROVEEDORES[[#This Row],[PROVEEDOR]],TERCEROS_INFO[[PROVEEDOR]:[CORREO]],5,FALSE)</f>
        <v>libardopineda@tronex.com;girlesa.ruiz@servipilas.com;joriescobar64@gmail.com</v>
      </c>
      <c r="G441" s="111">
        <v>44418</v>
      </c>
      <c r="H441" s="31" t="s">
        <v>10</v>
      </c>
      <c r="I441" s="111">
        <v>44356</v>
      </c>
      <c r="J441" s="48" t="s">
        <v>397</v>
      </c>
      <c r="K441" s="26">
        <v>950500</v>
      </c>
      <c r="L441" s="26"/>
      <c r="M441" s="27">
        <v>180595</v>
      </c>
      <c r="N441" s="28"/>
      <c r="O441" s="27">
        <v>0</v>
      </c>
      <c r="P441" s="28">
        <v>0</v>
      </c>
      <c r="Q441" s="27">
        <v>0</v>
      </c>
      <c r="R441" s="26">
        <v>1131095</v>
      </c>
      <c r="S441" s="115">
        <f ca="1">IF(PROVEEDORES[[#This Row],[FECHA DE PAGO]]=0,TODAY()-PROVEEDORES[[#This Row],[FECHA DE FACTURACIÓN]]-PROVEEDORES[[#This Row],[PLAZO Días]],0)</f>
        <v>0</v>
      </c>
      <c r="T4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2" spans="1:20" ht="21.9" customHeight="1" x14ac:dyDescent="0.3">
      <c r="A442" s="113" t="str">
        <f>+IF(PROVEEDORES[[#This Row],[FECHA DE PAGO]]=PROVEEDORES[[#This Row],[FECHA DE FACTURACIÓN]],"DE CONTADO","CRÉDITO")</f>
        <v>CRÉDITO</v>
      </c>
      <c r="B442" s="51" t="b">
        <f>+IF((PROVEEDORES[[#This Row],[FECHA DE PAGO]]-PROVEEDORES[[#This Row],[FECHA DE FACTURACIÓN]])&gt;PROVEEDORES[[#This Row],[PLAZO Días]],"PAGO VENCIDO")</f>
        <v>0</v>
      </c>
      <c r="C442" s="25">
        <f>+VLOOKUP(PROVEEDORES[[#This Row],[PROVEEDOR]],TERCEROS_INFO[#All],2,FALSE)</f>
        <v>30</v>
      </c>
      <c r="D442" s="30">
        <f>+SUMIFS(PROVEEDORES[Total],PROVEEDORES[PROVEEDOR],PROVEEDORES[[#This Row],[PROVEEDOR]],PROVEEDORES[FECHA DE PAGO],"")</f>
        <v>0</v>
      </c>
      <c r="E442" s="30"/>
      <c r="F442" s="73" t="str">
        <f>+VLOOKUP(PROVEEDORES[[#This Row],[PROVEEDOR]],TERCEROS_INFO[[PROVEEDOR]:[CORREO]],5,FALSE)</f>
        <v>swizzeraux2@gmail.com;girlesa.ruiz@servipilas.com;joriescobar64@gmail.com</v>
      </c>
      <c r="G442" s="111">
        <v>44385</v>
      </c>
      <c r="H442" s="31" t="s">
        <v>1077</v>
      </c>
      <c r="I442" s="111">
        <v>44356</v>
      </c>
      <c r="J442" s="48">
        <v>2811</v>
      </c>
      <c r="K442" s="26">
        <v>1574200</v>
      </c>
      <c r="L442" s="26"/>
      <c r="M442" s="27">
        <v>0</v>
      </c>
      <c r="N442" s="28"/>
      <c r="O442" s="27">
        <v>0</v>
      </c>
      <c r="P442" s="28">
        <v>0</v>
      </c>
      <c r="Q442" s="27">
        <v>0</v>
      </c>
      <c r="R442" s="26">
        <v>1574200</v>
      </c>
      <c r="S442" s="115">
        <f ca="1">IF(PROVEEDORES[[#This Row],[FECHA DE PAGO]]=0,TODAY()-PROVEEDORES[[#This Row],[FECHA DE FACTURACIÓN]]-PROVEEDORES[[#This Row],[PLAZO Días]],0)</f>
        <v>0</v>
      </c>
      <c r="T4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3" spans="1:20" ht="21.9" customHeight="1" x14ac:dyDescent="0.3">
      <c r="A443" s="113" t="str">
        <f>+IF(PROVEEDORES[[#This Row],[FECHA DE PAGO]]=PROVEEDORES[[#This Row],[FECHA DE FACTURACIÓN]],"DE CONTADO","CRÉDITO")</f>
        <v>CRÉDITO</v>
      </c>
      <c r="B443" s="51" t="b">
        <f>+IF((PROVEEDORES[[#This Row],[FECHA DE PAGO]]-PROVEEDORES[[#This Row],[FECHA DE FACTURACIÓN]])&gt;PROVEEDORES[[#This Row],[PLAZO Días]],"PAGO VENCIDO")</f>
        <v>0</v>
      </c>
      <c r="C443" s="25">
        <f>+VLOOKUP(PROVEEDORES[[#This Row],[PROVEEDOR]],TERCEROS_INFO[#All],2,FALSE)</f>
        <v>20</v>
      </c>
      <c r="D443" s="30">
        <f>+SUMIFS(PROVEEDORES[Total],PROVEEDORES[PROVEEDOR],PROVEEDORES[[#This Row],[PROVEEDOR]],PROVEEDORES[FECHA DE PAGO],"")</f>
        <v>0</v>
      </c>
      <c r="E443" s="30"/>
      <c r="F443" s="73" t="str">
        <f>+VLOOKUP(PROVEEDORES[[#This Row],[PROVEEDOR]],TERCEROS_INFO[[PROVEEDOR]:[CORREO]],5,FALSE)</f>
        <v>bog.fa1@pressex.co;bog.fm1@pressex.co;kbaumgartner@pressex.co;girlesa.ruiz@servipilas.com;joriescobar64@gmail.com</v>
      </c>
      <c r="G443" s="111">
        <v>44363</v>
      </c>
      <c r="H443" s="31" t="s">
        <v>400</v>
      </c>
      <c r="I443" s="111">
        <v>44356</v>
      </c>
      <c r="J443" s="48" t="s">
        <v>496</v>
      </c>
      <c r="K443" s="26">
        <v>2780307.3756302525</v>
      </c>
      <c r="L443" s="26"/>
      <c r="M443" s="27">
        <v>528258.40136974794</v>
      </c>
      <c r="N443" s="28"/>
      <c r="O443" s="27">
        <v>0</v>
      </c>
      <c r="P443" s="28">
        <v>0.04</v>
      </c>
      <c r="Q443" s="27">
        <v>19123</v>
      </c>
      <c r="R443" s="26">
        <v>3289442.7770000007</v>
      </c>
      <c r="S443" s="115">
        <f ca="1">IF(PROVEEDORES[[#This Row],[FECHA DE PAGO]]=0,TODAY()-PROVEEDORES[[#This Row],[FECHA DE FACTURACIÓN]]-PROVEEDORES[[#This Row],[PLAZO Días]],0)</f>
        <v>0</v>
      </c>
      <c r="T4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4" spans="1:20" ht="21.9" customHeight="1" x14ac:dyDescent="0.3">
      <c r="A444" s="113" t="str">
        <f>+IF(PROVEEDORES[[#This Row],[FECHA DE PAGO]]=PROVEEDORES[[#This Row],[FECHA DE FACTURACIÓN]],"DE CONTADO","CRÉDITO")</f>
        <v>DE CONTADO</v>
      </c>
      <c r="B444" s="51" t="b">
        <f>+IF((PROVEEDORES[[#This Row],[FECHA DE PAGO]]-PROVEEDORES[[#This Row],[FECHA DE FACTURACIÓN]])&gt;PROVEEDORES[[#This Row],[PLAZO Días]],"PAGO VENCIDO")</f>
        <v>0</v>
      </c>
      <c r="C444" s="25">
        <f>+VLOOKUP(PROVEEDORES[[#This Row],[PROVEEDOR]],TERCEROS_INFO[#All],2,FALSE)</f>
        <v>30</v>
      </c>
      <c r="D444" s="30">
        <f>+SUMIFS(PROVEEDORES[Total],PROVEEDORES[PROVEEDOR],PROVEEDORES[[#This Row],[PROVEEDOR]],PROVEEDORES[FECHA DE PAGO],"")</f>
        <v>0</v>
      </c>
      <c r="E444" s="30"/>
      <c r="F444" s="73" t="str">
        <f>+VLOOKUP(PROVEEDORES[[#This Row],[PROVEEDOR]],TERCEROS_INFO[[PROVEEDOR]:[CORREO]],5,FALSE)</f>
        <v/>
      </c>
      <c r="G444" s="111">
        <v>44357</v>
      </c>
      <c r="H444" s="31" t="s">
        <v>1066</v>
      </c>
      <c r="I444" s="111">
        <v>44357</v>
      </c>
      <c r="J444" s="48" t="s">
        <v>728</v>
      </c>
      <c r="K444" s="26">
        <v>160000</v>
      </c>
      <c r="L444" s="26"/>
      <c r="M444" s="27">
        <v>0</v>
      </c>
      <c r="N444" s="28"/>
      <c r="O444" s="27">
        <v>0</v>
      </c>
      <c r="P444" s="28">
        <v>0</v>
      </c>
      <c r="Q444" s="27">
        <v>0</v>
      </c>
      <c r="R444" s="26">
        <v>160000</v>
      </c>
      <c r="S444" s="115">
        <f ca="1">IF(PROVEEDORES[[#This Row],[FECHA DE PAGO]]=0,TODAY()-PROVEEDORES[[#This Row],[FECHA DE FACTURACIÓN]]-PROVEEDORES[[#This Row],[PLAZO Días]],0)</f>
        <v>0</v>
      </c>
      <c r="T44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5" spans="1:20" ht="21.9" customHeight="1" x14ac:dyDescent="0.3">
      <c r="A445" s="113" t="str">
        <f>+IF(PROVEEDORES[[#This Row],[FECHA DE PAGO]]=PROVEEDORES[[#This Row],[FECHA DE FACTURACIÓN]],"DE CONTADO","CRÉDITO")</f>
        <v>CRÉDITO</v>
      </c>
      <c r="B445" s="51" t="str">
        <f>+IF((PROVEEDORES[[#This Row],[FECHA DE PAGO]]-PROVEEDORES[[#This Row],[FECHA DE FACTURACIÓN]])&gt;PROVEEDORES[[#This Row],[PLAZO Días]],"PAGO VENCIDO")</f>
        <v>PAGO VENCIDO</v>
      </c>
      <c r="C445" s="25">
        <f>+VLOOKUP(PROVEEDORES[[#This Row],[PROVEEDOR]],TERCEROS_INFO[#All],2,FALSE)</f>
        <v>30</v>
      </c>
      <c r="D445" s="30">
        <f>+SUMIFS(PROVEEDORES[Total],PROVEEDORES[PROVEEDOR],PROVEEDORES[[#This Row],[PROVEEDOR]],PROVEEDORES[FECHA DE PAGO],"")</f>
        <v>-30345</v>
      </c>
      <c r="E445" s="30"/>
      <c r="F445" s="73" t="str">
        <f>+VLOOKUP(PROVEEDORES[[#This Row],[PROVEEDOR]],TERCEROS_INFO[[PROVEEDOR]:[CORREO]],5,FALSE)</f>
        <v>ventasmegamundo@yahoo.es;girlesa.ruiz@servipilas.com;joriescobar64@gmail.com</v>
      </c>
      <c r="G445" s="111">
        <v>44418</v>
      </c>
      <c r="H445" s="31" t="s">
        <v>1146</v>
      </c>
      <c r="I445" s="111">
        <v>44357</v>
      </c>
      <c r="J445" s="48">
        <v>1265</v>
      </c>
      <c r="K445" s="26">
        <v>1199159.68</v>
      </c>
      <c r="L445" s="26"/>
      <c r="M445" s="27">
        <v>227840.33919999999</v>
      </c>
      <c r="N445" s="28"/>
      <c r="O445" s="27">
        <v>0</v>
      </c>
      <c r="P445" s="28">
        <v>2.5000000000000001E-2</v>
      </c>
      <c r="Q445" s="27">
        <v>29978.991999999998</v>
      </c>
      <c r="R445" s="26">
        <v>1397021.0271999999</v>
      </c>
      <c r="S445" s="115">
        <f ca="1">IF(PROVEEDORES[[#This Row],[FECHA DE PAGO]]=0,TODAY()-PROVEEDORES[[#This Row],[FECHA DE FACTURACIÓN]]-PROVEEDORES[[#This Row],[PLAZO Días]],0)</f>
        <v>0</v>
      </c>
      <c r="T4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6" spans="1:20" ht="21.9" customHeight="1" x14ac:dyDescent="0.3">
      <c r="A446" s="113" t="str">
        <f>+IF(PROVEEDORES[[#This Row],[FECHA DE PAGO]]=PROVEEDORES[[#This Row],[FECHA DE FACTURACIÓN]],"DE CONTADO","CRÉDITO")</f>
        <v>CRÉDITO</v>
      </c>
      <c r="B446" s="51" t="str">
        <f>+IF((PROVEEDORES[[#This Row],[FECHA DE PAGO]]-PROVEEDORES[[#This Row],[FECHA DE FACTURACIÓN]])&gt;PROVEEDORES[[#This Row],[PLAZO Días]],"PAGO VENCIDO")</f>
        <v>PAGO VENCIDO</v>
      </c>
      <c r="C446" s="25">
        <f>+VLOOKUP(PROVEEDORES[[#This Row],[PROVEEDOR]],TERCEROS_INFO[#All],2,FALSE)</f>
        <v>30</v>
      </c>
      <c r="D446" s="30">
        <f>+SUMIFS(PROVEEDORES[Total],PROVEEDORES[PROVEEDOR],PROVEEDORES[[#This Row],[PROVEEDOR]],PROVEEDORES[FECHA DE PAGO],"")</f>
        <v>0</v>
      </c>
      <c r="E446" s="30"/>
      <c r="F446" s="73" t="str">
        <f>+VLOOKUP(PROVEEDORES[[#This Row],[PROVEEDOR]],TERCEROS_INFO[[PROVEEDOR]:[CORREO]],5,FALSE)</f>
        <v>juan.suarez@cosostenible.com;girlesa.ruiz@servipilas.com;joriescobar64@gmail.com</v>
      </c>
      <c r="G446" s="111">
        <v>44398</v>
      </c>
      <c r="H446" s="31" t="s">
        <v>50</v>
      </c>
      <c r="I446" s="111">
        <v>44357</v>
      </c>
      <c r="J446" s="48">
        <v>2717</v>
      </c>
      <c r="K446" s="26">
        <v>3240000</v>
      </c>
      <c r="L446" s="26"/>
      <c r="M446" s="27">
        <v>615600</v>
      </c>
      <c r="N446" s="28"/>
      <c r="O446" s="27">
        <v>0</v>
      </c>
      <c r="P446" s="28">
        <v>2.5000000000000001E-2</v>
      </c>
      <c r="Q446" s="27">
        <v>81000</v>
      </c>
      <c r="R446" s="26">
        <v>3774600</v>
      </c>
      <c r="S446" s="115">
        <f ca="1">IF(PROVEEDORES[[#This Row],[FECHA DE PAGO]]=0,TODAY()-PROVEEDORES[[#This Row],[FECHA DE FACTURACIÓN]]-PROVEEDORES[[#This Row],[PLAZO Días]],0)</f>
        <v>0</v>
      </c>
      <c r="T44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7" spans="1:20" ht="21.9" customHeight="1" x14ac:dyDescent="0.3">
      <c r="A447" s="113" t="str">
        <f>+IF(PROVEEDORES[[#This Row],[FECHA DE PAGO]]=PROVEEDORES[[#This Row],[FECHA DE FACTURACIÓN]],"DE CONTADO","CRÉDITO")</f>
        <v>CRÉDITO</v>
      </c>
      <c r="B447" s="51" t="b">
        <f>+IF((PROVEEDORES[[#This Row],[FECHA DE PAGO]]-PROVEEDORES[[#This Row],[FECHA DE FACTURACIÓN]])&gt;PROVEEDORES[[#This Row],[PLAZO Días]],"PAGO VENCIDO")</f>
        <v>0</v>
      </c>
      <c r="C447" s="25">
        <f>+VLOOKUP(PROVEEDORES[[#This Row],[PROVEEDOR]],TERCEROS_INFO[#All],2,FALSE)</f>
        <v>30</v>
      </c>
      <c r="D447" s="30">
        <f>+SUMIFS(PROVEEDORES[Total],PROVEEDORES[PROVEEDOR],PROVEEDORES[[#This Row],[PROVEEDOR]],PROVEEDORES[FECHA DE PAGO],"")</f>
        <v>-417303</v>
      </c>
      <c r="E447" s="30"/>
      <c r="F447" s="73" t="str">
        <f>+VLOOKUP(PROVEEDORES[[#This Row],[PROVEEDOR]],TERCEROS_INFO[[PROVEEDOR]:[CORREO]],5,FALSE)</f>
        <v>wruiz@tsqsa.com;venta1@disuiza.com;girlesa.ruiz@servipilas.com;joriescobar64@gmail.com</v>
      </c>
      <c r="G447" s="111">
        <v>44363</v>
      </c>
      <c r="H447" s="31" t="s">
        <v>80</v>
      </c>
      <c r="I447" s="111">
        <v>44358</v>
      </c>
      <c r="J447" s="48" t="s">
        <v>398</v>
      </c>
      <c r="K447" s="26">
        <v>2549700</v>
      </c>
      <c r="L447" s="26"/>
      <c r="M447" s="27">
        <v>484443</v>
      </c>
      <c r="N447" s="28"/>
      <c r="O447" s="27">
        <v>0</v>
      </c>
      <c r="P447" s="28">
        <v>2.5000000000000001E-2</v>
      </c>
      <c r="Q447" s="27">
        <v>63742.5</v>
      </c>
      <c r="R447" s="26">
        <v>2970400.5</v>
      </c>
      <c r="S447" s="115">
        <f ca="1">IF(PROVEEDORES[[#This Row],[FECHA DE PAGO]]=0,TODAY()-PROVEEDORES[[#This Row],[FECHA DE FACTURACIÓN]]-PROVEEDORES[[#This Row],[PLAZO Días]],0)</f>
        <v>0</v>
      </c>
      <c r="T44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8" spans="1:20" ht="21.9" customHeight="1" x14ac:dyDescent="0.3">
      <c r="A448" s="113" t="str">
        <f>+IF(PROVEEDORES[[#This Row],[FECHA DE PAGO]]=PROVEEDORES[[#This Row],[FECHA DE FACTURACIÓN]],"DE CONTADO","CRÉDITO")</f>
        <v>DE CONTADO</v>
      </c>
      <c r="B448" s="51" t="b">
        <f>+IF((PROVEEDORES[[#This Row],[FECHA DE PAGO]]-PROVEEDORES[[#This Row],[FECHA DE FACTURACIÓN]])&gt;PROVEEDORES[[#This Row],[PLAZO Días]],"PAGO VENCIDO")</f>
        <v>0</v>
      </c>
      <c r="C448" s="25">
        <f>+VLOOKUP(PROVEEDORES[[#This Row],[PROVEEDOR]],TERCEROS_INFO[#All],2,FALSE)</f>
        <v>30</v>
      </c>
      <c r="D448" s="30">
        <f>+SUMIFS(PROVEEDORES[Total],PROVEEDORES[PROVEEDOR],PROVEEDORES[[#This Row],[PROVEEDOR]],PROVEEDORES[FECHA DE PAGO],"")</f>
        <v>0</v>
      </c>
      <c r="E448" s="30"/>
      <c r="F448" s="73" t="str">
        <f>+VLOOKUP(PROVEEDORES[[#This Row],[PROVEEDOR]],TERCEROS_INFO[[PROVEEDOR]:[CORREO]],5,FALSE)</f>
        <v/>
      </c>
      <c r="G448" s="111">
        <v>44359</v>
      </c>
      <c r="H448" s="31" t="s">
        <v>1037</v>
      </c>
      <c r="I448" s="111">
        <v>44359</v>
      </c>
      <c r="J448" s="48" t="s">
        <v>729</v>
      </c>
      <c r="K448" s="26">
        <v>984000</v>
      </c>
      <c r="L448" s="26"/>
      <c r="M448" s="27">
        <v>0</v>
      </c>
      <c r="N448" s="28"/>
      <c r="O448" s="27">
        <v>0</v>
      </c>
      <c r="P448" s="28">
        <v>0</v>
      </c>
      <c r="Q448" s="27">
        <v>0</v>
      </c>
      <c r="R448" s="26">
        <v>984000</v>
      </c>
      <c r="S448" s="115">
        <f ca="1">IF(PROVEEDORES[[#This Row],[FECHA DE PAGO]]=0,TODAY()-PROVEEDORES[[#This Row],[FECHA DE FACTURACIÓN]]-PROVEEDORES[[#This Row],[PLAZO Días]],0)</f>
        <v>0</v>
      </c>
      <c r="T4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49" spans="1:20" ht="21.9" customHeight="1" x14ac:dyDescent="0.3">
      <c r="A449" s="113" t="str">
        <f>+IF(PROVEEDORES[[#This Row],[FECHA DE PAGO]]=PROVEEDORES[[#This Row],[FECHA DE FACTURACIÓN]],"DE CONTADO","CRÉDITO")</f>
        <v>CRÉDITO</v>
      </c>
      <c r="B449" s="51" t="b">
        <f>+IF((PROVEEDORES[[#This Row],[FECHA DE PAGO]]-PROVEEDORES[[#This Row],[FECHA DE FACTURACIÓN]])&gt;PROVEEDORES[[#This Row],[PLAZO Días]],"PAGO VENCIDO")</f>
        <v>0</v>
      </c>
      <c r="C449" s="25">
        <f>+VLOOKUP(PROVEEDORES[[#This Row],[PROVEEDOR]],TERCEROS_INFO[#All],2,FALSE)</f>
        <v>30</v>
      </c>
      <c r="D449" s="30">
        <f>+SUMIFS(PROVEEDORES[Total],PROVEEDORES[PROVEEDOR],PROVEEDORES[[#This Row],[PROVEEDOR]],PROVEEDORES[FECHA DE PAGO],"")</f>
        <v>0</v>
      </c>
      <c r="E449" s="30"/>
      <c r="F449" s="73" t="str">
        <f>+VLOOKUP(PROVEEDORES[[#This Row],[PROVEEDOR]],TERCEROS_INFO[[PROVEEDOR]:[CORREO]],5,FALSE)</f>
        <v>CARLOSARCILAMENSAJERIA@gmail.com;girlesa.ruiz@servipilas.com;joriescobar64@gmail.com</v>
      </c>
      <c r="G449" s="111">
        <v>44363</v>
      </c>
      <c r="H449" s="31" t="s">
        <v>143</v>
      </c>
      <c r="I449" s="111">
        <v>44361</v>
      </c>
      <c r="J449" s="48">
        <v>106</v>
      </c>
      <c r="K449" s="26">
        <v>359000</v>
      </c>
      <c r="L449" s="26"/>
      <c r="M449" s="27">
        <v>68210</v>
      </c>
      <c r="N449" s="28"/>
      <c r="O449" s="27">
        <v>0</v>
      </c>
      <c r="P449" s="28">
        <v>0.01</v>
      </c>
      <c r="Q449" s="27">
        <v>3590</v>
      </c>
      <c r="R449" s="26">
        <v>423620</v>
      </c>
      <c r="S449" s="115">
        <f ca="1">IF(PROVEEDORES[[#This Row],[FECHA DE PAGO]]=0,TODAY()-PROVEEDORES[[#This Row],[FECHA DE FACTURACIÓN]]-PROVEEDORES[[#This Row],[PLAZO Días]],0)</f>
        <v>0</v>
      </c>
      <c r="T44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0" spans="1:20" ht="21.9" customHeight="1" x14ac:dyDescent="0.3">
      <c r="A450" s="113" t="str">
        <f>+IF(PROVEEDORES[[#This Row],[FECHA DE PAGO]]=PROVEEDORES[[#This Row],[FECHA DE FACTURACIÓN]],"DE CONTADO","CRÉDITO")</f>
        <v>CRÉDITO</v>
      </c>
      <c r="B450" s="51" t="str">
        <f>+IF((PROVEEDORES[[#This Row],[FECHA DE PAGO]]-PROVEEDORES[[#This Row],[FECHA DE FACTURACIÓN]])&gt;PROVEEDORES[[#This Row],[PLAZO Días]],"PAGO VENCIDO")</f>
        <v>PAGO VENCIDO</v>
      </c>
      <c r="C450" s="25">
        <f>+VLOOKUP(PROVEEDORES[[#This Row],[PROVEEDOR]],TERCEROS_INFO[#All],2,FALSE)</f>
        <v>30</v>
      </c>
      <c r="D450" s="30">
        <f>+SUMIFS(PROVEEDORES[Total],PROVEEDORES[PROVEEDOR],PROVEEDORES[[#This Row],[PROVEEDOR]],PROVEEDORES[FECHA DE PAGO],"")</f>
        <v>0</v>
      </c>
      <c r="E450" s="30"/>
      <c r="F450" s="73" t="str">
        <f>+VLOOKUP(PROVEEDORES[[#This Row],[PROVEEDOR]],TERCEROS_INFO[[PROVEEDOR]:[CORREO]],5,FALSE)</f>
        <v>yermingg@hotmail.com;girlesa.ruiz@servipilas.com;joriescobar64@gmail.com</v>
      </c>
      <c r="G450" s="111">
        <v>44411</v>
      </c>
      <c r="H450" s="31" t="s">
        <v>1085</v>
      </c>
      <c r="I450" s="111">
        <v>44362</v>
      </c>
      <c r="J450" s="48" t="s">
        <v>730</v>
      </c>
      <c r="K450" s="26">
        <v>255000</v>
      </c>
      <c r="L450" s="26"/>
      <c r="M450" s="27">
        <v>0</v>
      </c>
      <c r="N450" s="28"/>
      <c r="O450" s="27">
        <v>0</v>
      </c>
      <c r="P450" s="28">
        <v>0</v>
      </c>
      <c r="Q450" s="27">
        <v>0</v>
      </c>
      <c r="R450" s="26">
        <v>255000</v>
      </c>
      <c r="S450" s="115">
        <f ca="1">IF(PROVEEDORES[[#This Row],[FECHA DE PAGO]]=0,TODAY()-PROVEEDORES[[#This Row],[FECHA DE FACTURACIÓN]]-PROVEEDORES[[#This Row],[PLAZO Días]],0)</f>
        <v>0</v>
      </c>
      <c r="T45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1" spans="1:20" ht="21.9" customHeight="1" x14ac:dyDescent="0.3">
      <c r="A451" s="113" t="str">
        <f>+IF(PROVEEDORES[[#This Row],[FECHA DE PAGO]]=PROVEEDORES[[#This Row],[FECHA DE FACTURACIÓN]],"DE CONTADO","CRÉDITO")</f>
        <v>CRÉDITO</v>
      </c>
      <c r="B451" s="51" t="str">
        <f>+IF((PROVEEDORES[[#This Row],[FECHA DE PAGO]]-PROVEEDORES[[#This Row],[FECHA DE FACTURACIÓN]])&gt;PROVEEDORES[[#This Row],[PLAZO Días]],"PAGO VENCIDO")</f>
        <v>PAGO VENCIDO</v>
      </c>
      <c r="C451" s="25">
        <f>+VLOOKUP(PROVEEDORES[[#This Row],[PROVEEDOR]],TERCEROS_INFO[#All],2,FALSE)</f>
        <v>30</v>
      </c>
      <c r="D451" s="30">
        <f>+SUMIFS(PROVEEDORES[Total],PROVEEDORES[PROVEEDOR],PROVEEDORES[[#This Row],[PROVEEDOR]],PROVEEDORES[FECHA DE PAGO],"")</f>
        <v>1119790</v>
      </c>
      <c r="E451" s="30"/>
      <c r="F451" s="73" t="str">
        <f>+VLOOKUP(PROVEEDORES[[#This Row],[PROVEEDOR]],TERCEROS_INFO[[PROVEEDOR]:[CORREO]],5,FALSE)</f>
        <v>MVALENCIA@mps.com.co;girlesa.ruiz@servipilas.com;joriescobar64@gmail.com</v>
      </c>
      <c r="G451" s="111">
        <v>44396</v>
      </c>
      <c r="H451" s="31" t="s">
        <v>17</v>
      </c>
      <c r="I451" s="111">
        <v>44362</v>
      </c>
      <c r="J451" s="48">
        <v>1774672</v>
      </c>
      <c r="K451" s="26">
        <v>1339666</v>
      </c>
      <c r="L451" s="26"/>
      <c r="M451" s="27">
        <v>254536.54</v>
      </c>
      <c r="N451" s="28"/>
      <c r="O451" s="27">
        <v>0</v>
      </c>
      <c r="P451" s="28">
        <v>0</v>
      </c>
      <c r="Q451" s="27">
        <v>0</v>
      </c>
      <c r="R451" s="26">
        <v>1594202.54</v>
      </c>
      <c r="S451" s="115">
        <f ca="1">IF(PROVEEDORES[[#This Row],[FECHA DE PAGO]]=0,TODAY()-PROVEEDORES[[#This Row],[FECHA DE FACTURACIÓN]]-PROVEEDORES[[#This Row],[PLAZO Días]],0)</f>
        <v>0</v>
      </c>
      <c r="T45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2" spans="1:20" ht="21.9" customHeight="1" x14ac:dyDescent="0.3">
      <c r="A452" s="113" t="str">
        <f>+IF(PROVEEDORES[[#This Row],[FECHA DE PAGO]]=PROVEEDORES[[#This Row],[FECHA DE FACTURACIÓN]],"DE CONTADO","CRÉDITO")</f>
        <v>CRÉDITO</v>
      </c>
      <c r="B452" s="51" t="str">
        <f>+IF((PROVEEDORES[[#This Row],[FECHA DE PAGO]]-PROVEEDORES[[#This Row],[FECHA DE FACTURACIÓN]])&gt;PROVEEDORES[[#This Row],[PLAZO Días]],"PAGO VENCIDO")</f>
        <v>PAGO VENCIDO</v>
      </c>
      <c r="C452" s="25">
        <f>+VLOOKUP(PROVEEDORES[[#This Row],[PROVEEDOR]],TERCEROS_INFO[#All],2,FALSE)</f>
        <v>30</v>
      </c>
      <c r="D452" s="30">
        <f>+SUMIFS(PROVEEDORES[Total],PROVEEDORES[PROVEEDOR],PROVEEDORES[[#This Row],[PROVEEDOR]],PROVEEDORES[FECHA DE PAGO],"")</f>
        <v>0</v>
      </c>
      <c r="E452" s="30"/>
      <c r="F452" s="73" t="str">
        <f>+VLOOKUP(PROVEEDORES[[#This Row],[PROVEEDOR]],TERCEROS_INFO[[PROVEEDOR]:[CORREO]],5,FALSE)</f>
        <v>yermingg@hotmail.com;girlesa.ruiz@servipilas.com;joriescobar64@gmail.com</v>
      </c>
      <c r="G452" s="111">
        <v>44411</v>
      </c>
      <c r="H452" s="31" t="s">
        <v>1085</v>
      </c>
      <c r="I452" s="111">
        <v>44362</v>
      </c>
      <c r="J452" s="48" t="s">
        <v>731</v>
      </c>
      <c r="K452" s="26">
        <v>1418000</v>
      </c>
      <c r="L452" s="26"/>
      <c r="M452" s="27">
        <v>0</v>
      </c>
      <c r="N452" s="28"/>
      <c r="O452" s="27">
        <v>0</v>
      </c>
      <c r="P452" s="28">
        <v>0</v>
      </c>
      <c r="Q452" s="27">
        <v>0</v>
      </c>
      <c r="R452" s="26">
        <v>1418000</v>
      </c>
      <c r="S452" s="115">
        <f ca="1">IF(PROVEEDORES[[#This Row],[FECHA DE PAGO]]=0,TODAY()-PROVEEDORES[[#This Row],[FECHA DE FACTURACIÓN]]-PROVEEDORES[[#This Row],[PLAZO Días]],0)</f>
        <v>0</v>
      </c>
      <c r="T4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3" spans="1:20" ht="21.9" customHeight="1" x14ac:dyDescent="0.3">
      <c r="A453" s="113" t="str">
        <f>+IF(PROVEEDORES[[#This Row],[FECHA DE PAGO]]=PROVEEDORES[[#This Row],[FECHA DE FACTURACIÓN]],"DE CONTADO","CRÉDITO")</f>
        <v>DE CONTADO</v>
      </c>
      <c r="B453" s="51" t="b">
        <f>+IF((PROVEEDORES[[#This Row],[FECHA DE PAGO]]-PROVEEDORES[[#This Row],[FECHA DE FACTURACIÓN]])&gt;PROVEEDORES[[#This Row],[PLAZO Días]],"PAGO VENCIDO")</f>
        <v>0</v>
      </c>
      <c r="C453" s="25">
        <f>+VLOOKUP(PROVEEDORES[[#This Row],[PROVEEDOR]],TERCEROS_INFO[#All],2,FALSE)</f>
        <v>30</v>
      </c>
      <c r="D453" s="30">
        <f>+SUMIFS(PROVEEDORES[Total],PROVEEDORES[PROVEEDOR],PROVEEDORES[[#This Row],[PROVEEDOR]],PROVEEDORES[FECHA DE PAGO],"")</f>
        <v>0</v>
      </c>
      <c r="E453" s="30"/>
      <c r="F453" s="73" t="str">
        <f>+VLOOKUP(PROVEEDORES[[#This Row],[PROVEEDOR]],TERCEROS_INFO[[PROVEEDOR]:[CORREO]],5,FALSE)</f>
        <v/>
      </c>
      <c r="G453" s="111">
        <v>44362</v>
      </c>
      <c r="H453" s="31" t="s">
        <v>1052</v>
      </c>
      <c r="I453" s="111">
        <v>44362</v>
      </c>
      <c r="J453" s="48"/>
      <c r="K453" s="26">
        <v>2000000</v>
      </c>
      <c r="L453" s="26"/>
      <c r="M453" s="27">
        <v>0</v>
      </c>
      <c r="N453" s="28"/>
      <c r="O453" s="27">
        <v>0</v>
      </c>
      <c r="P453" s="28">
        <v>0</v>
      </c>
      <c r="Q453" s="27">
        <v>0</v>
      </c>
      <c r="R453" s="26">
        <v>2000000</v>
      </c>
      <c r="S453" s="115">
        <f ca="1">IF(PROVEEDORES[[#This Row],[FECHA DE PAGO]]=0,TODAY()-PROVEEDORES[[#This Row],[FECHA DE FACTURACIÓN]]-PROVEEDORES[[#This Row],[PLAZO Días]],0)</f>
        <v>0</v>
      </c>
      <c r="T45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4" spans="1:20" ht="21.9" customHeight="1" x14ac:dyDescent="0.3">
      <c r="A454" s="113" t="str">
        <f>+IF(PROVEEDORES[[#This Row],[FECHA DE PAGO]]=PROVEEDORES[[#This Row],[FECHA DE FACTURACIÓN]],"DE CONTADO","CRÉDITO")</f>
        <v>CRÉDITO</v>
      </c>
      <c r="B454" s="51" t="str">
        <f>+IF((PROVEEDORES[[#This Row],[FECHA DE PAGO]]-PROVEEDORES[[#This Row],[FECHA DE FACTURACIÓN]])&gt;PROVEEDORES[[#This Row],[PLAZO Días]],"PAGO VENCIDO")</f>
        <v>PAGO VENCIDO</v>
      </c>
      <c r="C454" s="25">
        <f>+VLOOKUP(PROVEEDORES[[#This Row],[PROVEEDOR]],TERCEROS_INFO[#All],2,FALSE)</f>
        <v>30</v>
      </c>
      <c r="D454" s="30">
        <f>+SUMIFS(PROVEEDORES[Total],PROVEEDORES[PROVEEDOR],PROVEEDORES[[#This Row],[PROVEEDOR]],PROVEEDORES[FECHA DE PAGO],"")</f>
        <v>10764600</v>
      </c>
      <c r="E454" s="30"/>
      <c r="F454" s="73" t="str">
        <f>+VLOOKUP(PROVEEDORES[[#This Row],[PROVEEDOR]],TERCEROS_INFO[[PROVEEDOR]:[CORREO]],5,FALSE)</f>
        <v>apresupuesto@widexcolombia.com;girlesa.ruiz@servipilas.com;joriescobar64@gmail.com</v>
      </c>
      <c r="G454" s="111">
        <v>44396</v>
      </c>
      <c r="H454" s="31" t="s">
        <v>11</v>
      </c>
      <c r="I454" s="111">
        <v>44362</v>
      </c>
      <c r="J454" s="48">
        <v>2476</v>
      </c>
      <c r="K454" s="26">
        <v>5280000</v>
      </c>
      <c r="L454" s="26"/>
      <c r="M454" s="27">
        <v>1003200</v>
      </c>
      <c r="N454" s="28"/>
      <c r="O454" s="27">
        <v>0</v>
      </c>
      <c r="P454" s="28">
        <v>2.5000000000000001E-2</v>
      </c>
      <c r="Q454" s="27">
        <v>132000</v>
      </c>
      <c r="R454" s="26">
        <v>6151200</v>
      </c>
      <c r="S454" s="115">
        <f ca="1">IF(PROVEEDORES[[#This Row],[FECHA DE PAGO]]=0,TODAY()-PROVEEDORES[[#This Row],[FECHA DE FACTURACIÓN]]-PROVEEDORES[[#This Row],[PLAZO Días]],0)</f>
        <v>0</v>
      </c>
      <c r="T4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5" spans="1:20" ht="21.9" customHeight="1" x14ac:dyDescent="0.3">
      <c r="A455" s="113" t="str">
        <f>+IF(PROVEEDORES[[#This Row],[FECHA DE PAGO]]=PROVEEDORES[[#This Row],[FECHA DE FACTURACIÓN]],"DE CONTADO","CRÉDITO")</f>
        <v>CRÉDITO</v>
      </c>
      <c r="B455" s="51" t="b">
        <f>+IF((PROVEEDORES[[#This Row],[FECHA DE PAGO]]-PROVEEDORES[[#This Row],[FECHA DE FACTURACIÓN]])&gt;PROVEEDORES[[#This Row],[PLAZO Días]],"PAGO VENCIDO")</f>
        <v>0</v>
      </c>
      <c r="C455" s="25">
        <f>+VLOOKUP(PROVEEDORES[[#This Row],[PROVEEDOR]],TERCEROS_INFO[#All],2,FALSE)</f>
        <v>20</v>
      </c>
      <c r="D455" s="30">
        <f>+SUMIFS(PROVEEDORES[Total],PROVEEDORES[PROVEEDOR],PROVEEDORES[[#This Row],[PROVEEDOR]],PROVEEDORES[FECHA DE PAGO],"")</f>
        <v>0</v>
      </c>
      <c r="E455" s="30"/>
      <c r="F455" s="73" t="str">
        <f>+VLOOKUP(PROVEEDORES[[#This Row],[PROVEEDOR]],TERCEROS_INFO[[PROVEEDOR]:[CORREO]],5,FALSE)</f>
        <v>bog.fa1@pressex.co;bog.fm1@pressex.co;kbaumgartner@pressex.co;girlesa.ruiz@servipilas.com;joriescobar64@gmail.com</v>
      </c>
      <c r="G455" s="111">
        <v>44380</v>
      </c>
      <c r="H455" s="31" t="s">
        <v>377</v>
      </c>
      <c r="I455" s="111">
        <v>44363</v>
      </c>
      <c r="J455" s="48" t="s">
        <v>734</v>
      </c>
      <c r="K455" s="26">
        <v>-624994.22300000023</v>
      </c>
      <c r="L455" s="26"/>
      <c r="M455" s="27">
        <v>0</v>
      </c>
      <c r="N455" s="28"/>
      <c r="O455" s="27">
        <v>0</v>
      </c>
      <c r="P455" s="28">
        <v>0</v>
      </c>
      <c r="Q455" s="27">
        <v>0</v>
      </c>
      <c r="R455" s="26">
        <v>-624994.22300000023</v>
      </c>
      <c r="S455" s="115">
        <f ca="1">IF(PROVEEDORES[[#This Row],[FECHA DE PAGO]]=0,TODAY()-PROVEEDORES[[#This Row],[FECHA DE FACTURACIÓN]]-PROVEEDORES[[#This Row],[PLAZO Días]],0)</f>
        <v>0</v>
      </c>
      <c r="T4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6" spans="1:20" ht="21.9" customHeight="1" x14ac:dyDescent="0.3">
      <c r="A456" s="113" t="str">
        <f>+IF(PROVEEDORES[[#This Row],[FECHA DE PAGO]]=PROVEEDORES[[#This Row],[FECHA DE FACTURACIÓN]],"DE CONTADO","CRÉDITO")</f>
        <v>CRÉDITO</v>
      </c>
      <c r="B456" s="51" t="b">
        <f>+IF((PROVEEDORES[[#This Row],[FECHA DE PAGO]]-PROVEEDORES[[#This Row],[FECHA DE FACTURACIÓN]])&gt;PROVEEDORES[[#This Row],[PLAZO Días]],"PAGO VENCIDO")</f>
        <v>0</v>
      </c>
      <c r="C456" s="25">
        <f>+VLOOKUP(PROVEEDORES[[#This Row],[PROVEEDOR]],TERCEROS_INFO[#All],2,FALSE)</f>
        <v>30</v>
      </c>
      <c r="D456" s="30">
        <f>+SUMIFS(PROVEEDORES[Total],PROVEEDORES[PROVEEDOR],PROVEEDORES[[#This Row],[PROVEEDOR]],PROVEEDORES[FECHA DE PAGO],"")</f>
        <v>0</v>
      </c>
      <c r="E456" s="30"/>
      <c r="F456" s="73" t="str">
        <f>+VLOOKUP(PROVEEDORES[[#This Row],[PROVEEDOR]],TERCEROS_INFO[[PROVEEDOR]:[CORREO]],5,FALSE)</f>
        <v>cxc11@unitecusa.com.co;jefecartera@unitecusa.com.co;girlesa.ruiz@servipilas.com;joriescobar64@gmail.com</v>
      </c>
      <c r="G456" s="111">
        <v>44389</v>
      </c>
      <c r="H456" s="31" t="s">
        <v>14</v>
      </c>
      <c r="I456" s="111">
        <v>44363</v>
      </c>
      <c r="J456" s="48">
        <v>14498</v>
      </c>
      <c r="K456" s="26">
        <v>154542</v>
      </c>
      <c r="L456" s="26"/>
      <c r="M456" s="27">
        <v>29362.98</v>
      </c>
      <c r="N456" s="28"/>
      <c r="O456" s="27">
        <v>0</v>
      </c>
      <c r="P456" s="28">
        <v>0</v>
      </c>
      <c r="Q456" s="27">
        <v>0</v>
      </c>
      <c r="R456" s="26">
        <v>183904.98</v>
      </c>
      <c r="S456" s="115">
        <f ca="1">IF(PROVEEDORES[[#This Row],[FECHA DE PAGO]]=0,TODAY()-PROVEEDORES[[#This Row],[FECHA DE FACTURACIÓN]]-PROVEEDORES[[#This Row],[PLAZO Días]],0)</f>
        <v>0</v>
      </c>
      <c r="T45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7" spans="1:20" ht="21.9" customHeight="1" x14ac:dyDescent="0.3">
      <c r="A457" s="113" t="str">
        <f>+IF(PROVEEDORES[[#This Row],[FECHA DE PAGO]]=PROVEEDORES[[#This Row],[FECHA DE FACTURACIÓN]],"DE CONTADO","CRÉDITO")</f>
        <v>CRÉDITO</v>
      </c>
      <c r="B457" s="51" t="str">
        <f>+IF((PROVEEDORES[[#This Row],[FECHA DE PAGO]]-PROVEEDORES[[#This Row],[FECHA DE FACTURACIÓN]])&gt;PROVEEDORES[[#This Row],[PLAZO Días]],"PAGO VENCIDO")</f>
        <v>PAGO VENCIDO</v>
      </c>
      <c r="C457" s="25">
        <f>+VLOOKUP(PROVEEDORES[[#This Row],[PROVEEDOR]],TERCEROS_INFO[#All],2,FALSE)</f>
        <v>45</v>
      </c>
      <c r="D457" s="30">
        <f>+SUMIFS(PROVEEDORES[Total],PROVEEDORES[PROVEEDOR],PROVEEDORES[[#This Row],[PROVEEDOR]],PROVEEDORES[FECHA DE PAGO],"")</f>
        <v>1070024.2</v>
      </c>
      <c r="E457" s="30"/>
      <c r="F457" s="73" t="str">
        <f>+VLOOKUP(PROVEEDORES[[#This Row],[PROVEEDOR]],TERCEROS_INFO[[PROVEEDOR]:[CORREO]],5,FALSE)</f>
        <v>libardopineda@tronex.com;girlesa.ruiz@servipilas.com;joriescobar64@gmail.com</v>
      </c>
      <c r="G457" s="111">
        <v>44414</v>
      </c>
      <c r="H457" s="31" t="s">
        <v>10</v>
      </c>
      <c r="I457" s="111">
        <v>44363</v>
      </c>
      <c r="J457" s="48" t="s">
        <v>402</v>
      </c>
      <c r="K457" s="26">
        <v>162000</v>
      </c>
      <c r="L457" s="26"/>
      <c r="M457" s="27">
        <v>30780</v>
      </c>
      <c r="N457" s="28"/>
      <c r="O457" s="27">
        <v>0</v>
      </c>
      <c r="P457" s="28">
        <v>0</v>
      </c>
      <c r="Q457" s="27">
        <v>0</v>
      </c>
      <c r="R457" s="26">
        <v>192780</v>
      </c>
      <c r="S457" s="115">
        <f ca="1">IF(PROVEEDORES[[#This Row],[FECHA DE PAGO]]=0,TODAY()-PROVEEDORES[[#This Row],[FECHA DE FACTURACIÓN]]-PROVEEDORES[[#This Row],[PLAZO Días]],0)</f>
        <v>0</v>
      </c>
      <c r="T45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8" spans="1:20" ht="21.9" customHeight="1" x14ac:dyDescent="0.3">
      <c r="A458" s="113" t="str">
        <f>+IF(PROVEEDORES[[#This Row],[FECHA DE PAGO]]=PROVEEDORES[[#This Row],[FECHA DE FACTURACIÓN]],"DE CONTADO","CRÉDITO")</f>
        <v>DE CONTADO</v>
      </c>
      <c r="B458" s="51" t="b">
        <f>+IF((PROVEEDORES[[#This Row],[FECHA DE PAGO]]-PROVEEDORES[[#This Row],[FECHA DE FACTURACIÓN]])&gt;PROVEEDORES[[#This Row],[PLAZO Días]],"PAGO VENCIDO")</f>
        <v>0</v>
      </c>
      <c r="C458" s="25">
        <f>+VLOOKUP(PROVEEDORES[[#This Row],[PROVEEDOR]],TERCEROS_INFO[#All],2,FALSE)</f>
        <v>30</v>
      </c>
      <c r="D458" s="30">
        <f>+SUMIFS(PROVEEDORES[Total],PROVEEDORES[PROVEEDOR],PROVEEDORES[[#This Row],[PROVEEDOR]],PROVEEDORES[FECHA DE PAGO],"")</f>
        <v>0</v>
      </c>
      <c r="E458" s="30"/>
      <c r="F458" s="73" t="str">
        <f>+VLOOKUP(PROVEEDORES[[#This Row],[PROVEEDOR]],TERCEROS_INFO[[PROVEEDOR]:[CORREO]],5,FALSE)</f>
        <v/>
      </c>
      <c r="G458" s="111">
        <v>44363</v>
      </c>
      <c r="H458" s="31" t="s">
        <v>37</v>
      </c>
      <c r="I458" s="111">
        <v>44363</v>
      </c>
      <c r="J458" s="48">
        <v>12592</v>
      </c>
      <c r="K458" s="26">
        <v>172000</v>
      </c>
      <c r="L458" s="26"/>
      <c r="M458" s="27">
        <v>32680</v>
      </c>
      <c r="N458" s="28"/>
      <c r="O458" s="27">
        <v>0</v>
      </c>
      <c r="P458" s="28">
        <v>0</v>
      </c>
      <c r="Q458" s="27">
        <v>0</v>
      </c>
      <c r="R458" s="26">
        <v>204680</v>
      </c>
      <c r="S458" s="115">
        <f ca="1">IF(PROVEEDORES[[#This Row],[FECHA DE PAGO]]=0,TODAY()-PROVEEDORES[[#This Row],[FECHA DE FACTURACIÓN]]-PROVEEDORES[[#This Row],[PLAZO Días]],0)</f>
        <v>0</v>
      </c>
      <c r="T45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59" spans="1:20" ht="21.9" customHeight="1" x14ac:dyDescent="0.3">
      <c r="A459" s="113" t="str">
        <f>+IF(PROVEEDORES[[#This Row],[FECHA DE PAGO]]=PROVEEDORES[[#This Row],[FECHA DE FACTURACIÓN]],"DE CONTADO","CRÉDITO")</f>
        <v>DE CONTADO</v>
      </c>
      <c r="B459" s="51" t="b">
        <f>+IF((PROVEEDORES[[#This Row],[FECHA DE PAGO]]-PROVEEDORES[[#This Row],[FECHA DE FACTURACIÓN]])&gt;PROVEEDORES[[#This Row],[PLAZO Días]],"PAGO VENCIDO")</f>
        <v>0</v>
      </c>
      <c r="C459" s="25">
        <f>+VLOOKUP(PROVEEDORES[[#This Row],[PROVEEDOR]],TERCEROS_INFO[#All],2,FALSE)</f>
        <v>30</v>
      </c>
      <c r="D459" s="30">
        <f>+SUMIFS(PROVEEDORES[Total],PROVEEDORES[PROVEEDOR],PROVEEDORES[[#This Row],[PROVEEDOR]],PROVEEDORES[FECHA DE PAGO],"")</f>
        <v>0</v>
      </c>
      <c r="E459" s="30"/>
      <c r="F459" s="73" t="str">
        <f>+VLOOKUP(PROVEEDORES[[#This Row],[PROVEEDOR]],TERCEROS_INFO[[PROVEEDOR]:[CORREO]],5,FALSE)</f>
        <v/>
      </c>
      <c r="G459" s="111">
        <v>44363</v>
      </c>
      <c r="H459" s="31" t="s">
        <v>37</v>
      </c>
      <c r="I459" s="111">
        <v>44363</v>
      </c>
      <c r="J459" s="48">
        <v>4678</v>
      </c>
      <c r="K459" s="26">
        <v>344000</v>
      </c>
      <c r="L459" s="26"/>
      <c r="M459" s="27">
        <v>65360</v>
      </c>
      <c r="N459" s="28"/>
      <c r="O459" s="27">
        <v>0</v>
      </c>
      <c r="P459" s="28">
        <v>0</v>
      </c>
      <c r="Q459" s="27">
        <v>0</v>
      </c>
      <c r="R459" s="26">
        <v>409360</v>
      </c>
      <c r="S459" s="115">
        <f ca="1">IF(PROVEEDORES[[#This Row],[FECHA DE PAGO]]=0,TODAY()-PROVEEDORES[[#This Row],[FECHA DE FACTURACIÓN]]-PROVEEDORES[[#This Row],[PLAZO Días]],0)</f>
        <v>0</v>
      </c>
      <c r="T4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0" spans="1:20" ht="21.9" customHeight="1" x14ac:dyDescent="0.3">
      <c r="A460" s="113" t="str">
        <f>+IF(PROVEEDORES[[#This Row],[FECHA DE PAGO]]=PROVEEDORES[[#This Row],[FECHA DE FACTURACIÓN]],"DE CONTADO","CRÉDITO")</f>
        <v>CRÉDITO</v>
      </c>
      <c r="B460" s="51" t="b">
        <f>+IF((PROVEEDORES[[#This Row],[FECHA DE PAGO]]-PROVEEDORES[[#This Row],[FECHA DE FACTURACIÓN]])&gt;PROVEEDORES[[#This Row],[PLAZO Días]],"PAGO VENCIDO")</f>
        <v>0</v>
      </c>
      <c r="C460" s="25">
        <f>+VLOOKUP(PROVEEDORES[[#This Row],[PROVEEDOR]],TERCEROS_INFO[#All],2,FALSE)</f>
        <v>90</v>
      </c>
      <c r="D460" s="30">
        <f>+SUMIFS(PROVEEDORES[Total],PROVEEDORES[PROVEEDOR],PROVEEDORES[[#This Row],[PROVEEDOR]],PROVEEDORES[FECHA DE PAGO],"")</f>
        <v>26364243.66155</v>
      </c>
      <c r="E460" s="30"/>
      <c r="F460" s="73" t="str">
        <f>+VLOOKUP(PROVEEDORES[[#This Row],[PROVEEDOR]],TERCEROS_INFO[[PROVEEDOR]:[CORREO]],5,FALSE)</f>
        <v>javiergomez_72@hotmail.com ;girlesa.ruiz@servipilas.com;joriescobar64@gmail.com</v>
      </c>
      <c r="G460" s="111">
        <v>44418</v>
      </c>
      <c r="H460" s="31" t="s">
        <v>12</v>
      </c>
      <c r="I460" s="111">
        <v>44363</v>
      </c>
      <c r="J460" s="48" t="s">
        <v>552</v>
      </c>
      <c r="K460" s="26">
        <v>915967</v>
      </c>
      <c r="L460" s="26"/>
      <c r="M460" s="27">
        <v>174033.73</v>
      </c>
      <c r="N460" s="28"/>
      <c r="O460" s="27">
        <v>0</v>
      </c>
      <c r="P460" s="28">
        <v>0</v>
      </c>
      <c r="Q460" s="27">
        <v>0</v>
      </c>
      <c r="R460" s="26">
        <v>1090000.73</v>
      </c>
      <c r="S460" s="115">
        <f ca="1">IF(PROVEEDORES[[#This Row],[FECHA DE PAGO]]=0,TODAY()-PROVEEDORES[[#This Row],[FECHA DE FACTURACIÓN]]-PROVEEDORES[[#This Row],[PLAZO Días]],0)</f>
        <v>0</v>
      </c>
      <c r="T46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1" spans="1:20" ht="21.9" customHeight="1" x14ac:dyDescent="0.3">
      <c r="A461" s="113" t="str">
        <f>+IF(PROVEEDORES[[#This Row],[FECHA DE PAGO]]=PROVEEDORES[[#This Row],[FECHA DE FACTURACIÓN]],"DE CONTADO","CRÉDITO")</f>
        <v>CRÉDITO</v>
      </c>
      <c r="B461" s="51" t="str">
        <f>+IF((PROVEEDORES[[#This Row],[FECHA DE PAGO]]-PROVEEDORES[[#This Row],[FECHA DE FACTURACIÓN]])&gt;PROVEEDORES[[#This Row],[PLAZO Días]],"PAGO VENCIDO")</f>
        <v>PAGO VENCIDO</v>
      </c>
      <c r="C461" s="25">
        <f>+VLOOKUP(PROVEEDORES[[#This Row],[PROVEEDOR]],TERCEROS_INFO[#All],2,FALSE)</f>
        <v>45</v>
      </c>
      <c r="D461" s="30">
        <f>+SUMIFS(PROVEEDORES[Total],PROVEEDORES[PROVEEDOR],PROVEEDORES[[#This Row],[PROVEEDOR]],PROVEEDORES[FECHA DE PAGO],"")</f>
        <v>1070024.2</v>
      </c>
      <c r="E461" s="30"/>
      <c r="F461" s="73" t="str">
        <f>+VLOOKUP(PROVEEDORES[[#This Row],[PROVEEDOR]],TERCEROS_INFO[[PROVEEDOR]:[CORREO]],5,FALSE)</f>
        <v>libardopineda@tronex.com;girlesa.ruiz@servipilas.com;joriescobar64@gmail.com</v>
      </c>
      <c r="G461" s="111">
        <v>44414</v>
      </c>
      <c r="H461" s="31" t="s">
        <v>10</v>
      </c>
      <c r="I461" s="111">
        <v>44363</v>
      </c>
      <c r="J461" s="48" t="s">
        <v>404</v>
      </c>
      <c r="K461" s="26">
        <v>1013000</v>
      </c>
      <c r="L461" s="26"/>
      <c r="M461" s="27">
        <v>192470</v>
      </c>
      <c r="N461" s="28"/>
      <c r="O461" s="27">
        <v>0</v>
      </c>
      <c r="P461" s="28">
        <v>0</v>
      </c>
      <c r="Q461" s="27">
        <v>0</v>
      </c>
      <c r="R461" s="26">
        <v>1205470</v>
      </c>
      <c r="S461" s="115">
        <f ca="1">IF(PROVEEDORES[[#This Row],[FECHA DE PAGO]]=0,TODAY()-PROVEEDORES[[#This Row],[FECHA DE FACTURACIÓN]]-PROVEEDORES[[#This Row],[PLAZO Días]],0)</f>
        <v>0</v>
      </c>
      <c r="T46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2" spans="1:20" ht="21.9" customHeight="1" x14ac:dyDescent="0.3">
      <c r="A462" s="113" t="str">
        <f>+IF(PROVEEDORES[[#This Row],[FECHA DE PAGO]]=PROVEEDORES[[#This Row],[FECHA DE FACTURACIÓN]],"DE CONTADO","CRÉDITO")</f>
        <v>CRÉDITO</v>
      </c>
      <c r="B462" s="51" t="str">
        <f>+IF((PROVEEDORES[[#This Row],[FECHA DE PAGO]]-PROVEEDORES[[#This Row],[FECHA DE FACTURACIÓN]])&gt;PROVEEDORES[[#This Row],[PLAZO Días]],"PAGO VENCIDO")</f>
        <v>PAGO VENCIDO</v>
      </c>
      <c r="C462" s="25">
        <f>+VLOOKUP(PROVEEDORES[[#This Row],[PROVEEDOR]],TERCEROS_INFO[#All],2,FALSE)</f>
        <v>20</v>
      </c>
      <c r="D462" s="30">
        <f>+SUMIFS(PROVEEDORES[Total],PROVEEDORES[PROVEEDOR],PROVEEDORES[[#This Row],[PROVEEDOR]],PROVEEDORES[FECHA DE PAGO],"")</f>
        <v>0</v>
      </c>
      <c r="E462" s="30"/>
      <c r="F462" s="73">
        <f>+VLOOKUP(PROVEEDORES[[#This Row],[PROVEEDOR]],TERCEROS_INFO[[PROVEEDOR]:[CORREO]],5,FALSE)</f>
        <v>0</v>
      </c>
      <c r="G462" s="111">
        <v>44400</v>
      </c>
      <c r="H462" s="31" t="s">
        <v>1051</v>
      </c>
      <c r="I462" s="111">
        <v>44363</v>
      </c>
      <c r="J462" s="48" t="s">
        <v>733</v>
      </c>
      <c r="K462" s="26">
        <v>1035000</v>
      </c>
      <c r="L462" s="26"/>
      <c r="M462" s="27">
        <v>0</v>
      </c>
      <c r="N462" s="28"/>
      <c r="O462" s="27">
        <v>0</v>
      </c>
      <c r="P462" s="28">
        <v>0</v>
      </c>
      <c r="Q462" s="27">
        <v>0</v>
      </c>
      <c r="R462" s="26">
        <v>0</v>
      </c>
      <c r="S462" s="115">
        <f ca="1">IF(PROVEEDORES[[#This Row],[FECHA DE PAGO]]=0,TODAY()-PROVEEDORES[[#This Row],[FECHA DE FACTURACIÓN]]-PROVEEDORES[[#This Row],[PLAZO Días]],0)</f>
        <v>0</v>
      </c>
      <c r="T4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3" spans="1:20" ht="21.9" customHeight="1" x14ac:dyDescent="0.3">
      <c r="A463" s="113" t="str">
        <f>+IF(PROVEEDORES[[#This Row],[FECHA DE PAGO]]=PROVEEDORES[[#This Row],[FECHA DE FACTURACIÓN]],"DE CONTADO","CRÉDITO")</f>
        <v>CRÉDITO</v>
      </c>
      <c r="B463" s="51" t="b">
        <f>+IF((PROVEEDORES[[#This Row],[FECHA DE PAGO]]-PROVEEDORES[[#This Row],[FECHA DE FACTURACIÓN]])&gt;PROVEEDORES[[#This Row],[PLAZO Días]],"PAGO VENCIDO")</f>
        <v>0</v>
      </c>
      <c r="C463" s="25">
        <f>+VLOOKUP(PROVEEDORES[[#This Row],[PROVEEDOR]],TERCEROS_INFO[#All],2,FALSE)</f>
        <v>30</v>
      </c>
      <c r="D463" s="30">
        <f>+SUMIFS(PROVEEDORES[Total],PROVEEDORES[PROVEEDOR],PROVEEDORES[[#This Row],[PROVEEDOR]],PROVEEDORES[FECHA DE PAGO],"")</f>
        <v>3750700</v>
      </c>
      <c r="E463" s="30"/>
      <c r="F463" s="73" t="str">
        <f>+VLOOKUP(PROVEEDORES[[#This Row],[PROVEEDOR]],TERCEROS_INFO[[PROVEEDOR]:[CORREO]],5,FALSE)</f>
        <v/>
      </c>
      <c r="G463" s="111">
        <v>44391</v>
      </c>
      <c r="H463" s="31" t="s">
        <v>996</v>
      </c>
      <c r="I463" s="111">
        <v>44363</v>
      </c>
      <c r="J463" s="48" t="s">
        <v>732</v>
      </c>
      <c r="K463" s="26">
        <v>1065000</v>
      </c>
      <c r="L463" s="26"/>
      <c r="M463" s="27">
        <v>0</v>
      </c>
      <c r="N463" s="28"/>
      <c r="O463" s="27">
        <v>0</v>
      </c>
      <c r="P463" s="28">
        <v>0</v>
      </c>
      <c r="Q463" s="27">
        <v>0</v>
      </c>
      <c r="R463" s="26">
        <v>1065000</v>
      </c>
      <c r="S463" s="115">
        <f ca="1">IF(PROVEEDORES[[#This Row],[FECHA DE PAGO]]=0,TODAY()-PROVEEDORES[[#This Row],[FECHA DE FACTURACIÓN]]-PROVEEDORES[[#This Row],[PLAZO Días]],0)</f>
        <v>0</v>
      </c>
      <c r="T4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4" spans="1:20" ht="21.9" customHeight="1" x14ac:dyDescent="0.3">
      <c r="A464" s="113" t="str">
        <f>+IF(PROVEEDORES[[#This Row],[FECHA DE PAGO]]=PROVEEDORES[[#This Row],[FECHA DE FACTURACIÓN]],"DE CONTADO","CRÉDITO")</f>
        <v>CRÉDITO</v>
      </c>
      <c r="B464" s="51" t="str">
        <f>+IF((PROVEEDORES[[#This Row],[FECHA DE PAGO]]-PROVEEDORES[[#This Row],[FECHA DE FACTURACIÓN]])&gt;PROVEEDORES[[#This Row],[PLAZO Días]],"PAGO VENCIDO")</f>
        <v>PAGO VENCIDO</v>
      </c>
      <c r="C464" s="25">
        <f>+VLOOKUP(PROVEEDORES[[#This Row],[PROVEEDOR]],TERCEROS_INFO[#All],2,FALSE)</f>
        <v>45</v>
      </c>
      <c r="D464" s="30">
        <f>+SUMIFS(PROVEEDORES[Total],PROVEEDORES[PROVEEDOR],PROVEEDORES[[#This Row],[PROVEEDOR]],PROVEEDORES[FECHA DE PAGO],"")</f>
        <v>1070024.2</v>
      </c>
      <c r="E464" s="30"/>
      <c r="F464" s="73" t="str">
        <f>+VLOOKUP(PROVEEDORES[[#This Row],[PROVEEDOR]],TERCEROS_INFO[[PROVEEDOR]:[CORREO]],5,FALSE)</f>
        <v>libardopineda@tronex.com;girlesa.ruiz@servipilas.com;joriescobar64@gmail.com</v>
      </c>
      <c r="G464" s="111">
        <v>44418</v>
      </c>
      <c r="H464" s="31" t="s">
        <v>10</v>
      </c>
      <c r="I464" s="111">
        <v>44363</v>
      </c>
      <c r="J464" s="48" t="s">
        <v>405</v>
      </c>
      <c r="K464" s="26">
        <v>1550000</v>
      </c>
      <c r="L464" s="26"/>
      <c r="M464" s="27">
        <v>294500</v>
      </c>
      <c r="N464" s="28"/>
      <c r="O464" s="27">
        <v>0</v>
      </c>
      <c r="P464" s="28">
        <v>0</v>
      </c>
      <c r="Q464" s="27">
        <v>0</v>
      </c>
      <c r="R464" s="26">
        <v>1844500</v>
      </c>
      <c r="S464" s="115">
        <f ca="1">IF(PROVEEDORES[[#This Row],[FECHA DE PAGO]]=0,TODAY()-PROVEEDORES[[#This Row],[FECHA DE FACTURACIÓN]]-PROVEEDORES[[#This Row],[PLAZO Días]],0)</f>
        <v>0</v>
      </c>
      <c r="T4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5" spans="1:20" ht="21.9" customHeight="1" x14ac:dyDescent="0.3">
      <c r="A465" s="113" t="str">
        <f>+IF(PROVEEDORES[[#This Row],[FECHA DE PAGO]]=PROVEEDORES[[#This Row],[FECHA DE FACTURACIÓN]],"DE CONTADO","CRÉDITO")</f>
        <v>CRÉDITO</v>
      </c>
      <c r="B465" s="51" t="str">
        <f>+IF((PROVEEDORES[[#This Row],[FECHA DE PAGO]]-PROVEEDORES[[#This Row],[FECHA DE FACTURACIÓN]])&gt;PROVEEDORES[[#This Row],[PLAZO Días]],"PAGO VENCIDO")</f>
        <v>PAGO VENCIDO</v>
      </c>
      <c r="C465" s="25">
        <f>+VLOOKUP(PROVEEDORES[[#This Row],[PROVEEDOR]],TERCEROS_INFO[#All],2,FALSE)</f>
        <v>45</v>
      </c>
      <c r="D465" s="30">
        <f>+SUMIFS(PROVEEDORES[Total],PROVEEDORES[PROVEEDOR],PROVEEDORES[[#This Row],[PROVEEDOR]],PROVEEDORES[FECHA DE PAGO],"")</f>
        <v>1070024.2</v>
      </c>
      <c r="E465" s="30"/>
      <c r="F465" s="73" t="str">
        <f>+VLOOKUP(PROVEEDORES[[#This Row],[PROVEEDOR]],TERCEROS_INFO[[PROVEEDOR]:[CORREO]],5,FALSE)</f>
        <v>libardopineda@tronex.com;girlesa.ruiz@servipilas.com;joriescobar64@gmail.com</v>
      </c>
      <c r="G465" s="111">
        <v>44414</v>
      </c>
      <c r="H465" s="31" t="s">
        <v>10</v>
      </c>
      <c r="I465" s="111">
        <v>44363</v>
      </c>
      <c r="J465" s="48" t="s">
        <v>403</v>
      </c>
      <c r="K465" s="26">
        <v>2360000</v>
      </c>
      <c r="L465" s="26"/>
      <c r="M465" s="27">
        <v>448400</v>
      </c>
      <c r="N465" s="28"/>
      <c r="O465" s="27">
        <v>0</v>
      </c>
      <c r="P465" s="28">
        <v>0</v>
      </c>
      <c r="Q465" s="27">
        <v>0</v>
      </c>
      <c r="R465" s="26">
        <v>2808400</v>
      </c>
      <c r="S465" s="115">
        <f ca="1">IF(PROVEEDORES[[#This Row],[FECHA DE PAGO]]=0,TODAY()-PROVEEDORES[[#This Row],[FECHA DE FACTURACIÓN]]-PROVEEDORES[[#This Row],[PLAZO Días]],0)</f>
        <v>0</v>
      </c>
      <c r="T4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6" spans="1:20" ht="21.9" customHeight="1" x14ac:dyDescent="0.3">
      <c r="A466" s="113" t="str">
        <f>+IF(PROVEEDORES[[#This Row],[FECHA DE PAGO]]=PROVEEDORES[[#This Row],[FECHA DE FACTURACIÓN]],"DE CONTADO","CRÉDITO")</f>
        <v>CRÉDITO</v>
      </c>
      <c r="B466" s="51" t="str">
        <f>+IF((PROVEEDORES[[#This Row],[FECHA DE PAGO]]-PROVEEDORES[[#This Row],[FECHA DE FACTURACIÓN]])&gt;PROVEEDORES[[#This Row],[PLAZO Días]],"PAGO VENCIDO")</f>
        <v>PAGO VENCIDO</v>
      </c>
      <c r="C466" s="25">
        <f>+VLOOKUP(PROVEEDORES[[#This Row],[PROVEEDOR]],TERCEROS_INFO[#All],2,FALSE)</f>
        <v>30</v>
      </c>
      <c r="D466" s="30">
        <f>+SUMIFS(PROVEEDORES[Total],PROVEEDORES[PROVEEDOR],PROVEEDORES[[#This Row],[PROVEEDOR]],PROVEEDORES[FECHA DE PAGO],"")</f>
        <v>-30345</v>
      </c>
      <c r="E466" s="30"/>
      <c r="F466" s="73" t="str">
        <f>+VLOOKUP(PROVEEDORES[[#This Row],[PROVEEDOR]],TERCEROS_INFO[[PROVEEDOR]:[CORREO]],5,FALSE)</f>
        <v>ventasmegamundo@yahoo.es;girlesa.ruiz@servipilas.com;joriescobar64@gmail.com</v>
      </c>
      <c r="G466" s="111">
        <v>44418</v>
      </c>
      <c r="H466" s="31" t="s">
        <v>1146</v>
      </c>
      <c r="I466" s="111">
        <v>44364</v>
      </c>
      <c r="J466" s="48">
        <v>1288</v>
      </c>
      <c r="K466" s="26">
        <v>226890.76</v>
      </c>
      <c r="L466" s="26"/>
      <c r="M466" s="27">
        <v>43109.244400000003</v>
      </c>
      <c r="N466" s="28"/>
      <c r="O466" s="27">
        <v>0</v>
      </c>
      <c r="P466" s="28">
        <v>0</v>
      </c>
      <c r="Q466" s="27">
        <v>0</v>
      </c>
      <c r="R466" s="26">
        <v>270000.00440000003</v>
      </c>
      <c r="S466" s="115">
        <f ca="1">IF(PROVEEDORES[[#This Row],[FECHA DE PAGO]]=0,TODAY()-PROVEEDORES[[#This Row],[FECHA DE FACTURACIÓN]]-PROVEEDORES[[#This Row],[PLAZO Días]],0)</f>
        <v>0</v>
      </c>
      <c r="T46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7" spans="1:20" ht="21.9" customHeight="1" x14ac:dyDescent="0.3">
      <c r="A467" s="113" t="str">
        <f>+IF(PROVEEDORES[[#This Row],[FECHA DE PAGO]]=PROVEEDORES[[#This Row],[FECHA DE FACTURACIÓN]],"DE CONTADO","CRÉDITO")</f>
        <v>CRÉDITO</v>
      </c>
      <c r="B467" s="51" t="str">
        <f>+IF((PROVEEDORES[[#This Row],[FECHA DE PAGO]]-PROVEEDORES[[#This Row],[FECHA DE FACTURACIÓN]])&gt;PROVEEDORES[[#This Row],[PLAZO Días]],"PAGO VENCIDO")</f>
        <v>PAGO VENCIDO</v>
      </c>
      <c r="C467" s="25">
        <f>+VLOOKUP(PROVEEDORES[[#This Row],[PROVEEDOR]],TERCEROS_INFO[#All],2,FALSE)</f>
        <v>0</v>
      </c>
      <c r="D467" s="30">
        <f>+SUMIFS(PROVEEDORES[Total],PROVEEDORES[PROVEEDOR],PROVEEDORES[[#This Row],[PROVEEDOR]],PROVEEDORES[FECHA DE PAGO],"")</f>
        <v>0</v>
      </c>
      <c r="E467" s="30"/>
      <c r="F467" s="73">
        <f>+VLOOKUP(PROVEEDORES[[#This Row],[PROVEEDOR]],TERCEROS_INFO[[PROVEEDOR]:[CORREO]],5,FALSE)</f>
        <v>0</v>
      </c>
      <c r="G467" s="111">
        <v>44377</v>
      </c>
      <c r="H467" s="31" t="s">
        <v>993</v>
      </c>
      <c r="I467" s="111">
        <v>44364</v>
      </c>
      <c r="J467" s="48"/>
      <c r="K467" s="26">
        <v>250995</v>
      </c>
      <c r="L467" s="26"/>
      <c r="M467" s="27">
        <v>0</v>
      </c>
      <c r="N467" s="28"/>
      <c r="O467" s="27">
        <v>0</v>
      </c>
      <c r="P467" s="28">
        <v>0</v>
      </c>
      <c r="Q467" s="27">
        <v>0</v>
      </c>
      <c r="R467" s="26">
        <v>250995</v>
      </c>
      <c r="S467" s="115">
        <f ca="1">IF(PROVEEDORES[[#This Row],[FECHA DE PAGO]]=0,TODAY()-PROVEEDORES[[#This Row],[FECHA DE FACTURACIÓN]]-PROVEEDORES[[#This Row],[PLAZO Días]],0)</f>
        <v>0</v>
      </c>
      <c r="T4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8" spans="1:20" ht="21.9" customHeight="1" x14ac:dyDescent="0.3">
      <c r="A468" s="113" t="str">
        <f>+IF(PROVEEDORES[[#This Row],[FECHA DE PAGO]]=PROVEEDORES[[#This Row],[FECHA DE FACTURACIÓN]],"DE CONTADO","CRÉDITO")</f>
        <v>DE CONTADO</v>
      </c>
      <c r="B468" s="51" t="b">
        <f>+IF((PROVEEDORES[[#This Row],[FECHA DE PAGO]]-PROVEEDORES[[#This Row],[FECHA DE FACTURACIÓN]])&gt;PROVEEDORES[[#This Row],[PLAZO Días]],"PAGO VENCIDO")</f>
        <v>0</v>
      </c>
      <c r="C468" s="25">
        <f>+VLOOKUP(PROVEEDORES[[#This Row],[PROVEEDOR]],TERCEROS_INFO[#All],2,FALSE)</f>
        <v>30</v>
      </c>
      <c r="D468" s="30">
        <f>+SUMIFS(PROVEEDORES[Total],PROVEEDORES[PROVEEDOR],PROVEEDORES[[#This Row],[PROVEEDOR]],PROVEEDORES[FECHA DE PAGO],"")</f>
        <v>0</v>
      </c>
      <c r="E468" s="30"/>
      <c r="F468" s="73" t="str">
        <f>+VLOOKUP(PROVEEDORES[[#This Row],[PROVEEDOR]],TERCEROS_INFO[[PROVEEDOR]:[CORREO]],5,FALSE)</f>
        <v/>
      </c>
      <c r="G468" s="111">
        <v>44364</v>
      </c>
      <c r="H468" s="31" t="s">
        <v>1016</v>
      </c>
      <c r="I468" s="111">
        <v>44364</v>
      </c>
      <c r="J468" s="48" t="s">
        <v>735</v>
      </c>
      <c r="K468" s="26">
        <v>255000</v>
      </c>
      <c r="L468" s="26"/>
      <c r="M468" s="27">
        <v>0</v>
      </c>
      <c r="N468" s="28"/>
      <c r="O468" s="27">
        <v>0</v>
      </c>
      <c r="P468" s="28">
        <v>0</v>
      </c>
      <c r="Q468" s="27">
        <v>0</v>
      </c>
      <c r="R468" s="26">
        <v>255000</v>
      </c>
      <c r="S468" s="115">
        <f ca="1">IF(PROVEEDORES[[#This Row],[FECHA DE PAGO]]=0,TODAY()-PROVEEDORES[[#This Row],[FECHA DE FACTURACIÓN]]-PROVEEDORES[[#This Row],[PLAZO Días]],0)</f>
        <v>0</v>
      </c>
      <c r="T4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69" spans="1:20" ht="21.9" customHeight="1" x14ac:dyDescent="0.3">
      <c r="A469" s="113" t="str">
        <f>+IF(PROVEEDORES[[#This Row],[FECHA DE PAGO]]=PROVEEDORES[[#This Row],[FECHA DE FACTURACIÓN]],"DE CONTADO","CRÉDITO")</f>
        <v>CRÉDITO</v>
      </c>
      <c r="B469" s="51" t="b">
        <f>+IF((PROVEEDORES[[#This Row],[FECHA DE PAGO]]-PROVEEDORES[[#This Row],[FECHA DE FACTURACIÓN]])&gt;PROVEEDORES[[#This Row],[PLAZO Días]],"PAGO VENCIDO")</f>
        <v>0</v>
      </c>
      <c r="C469" s="25">
        <f>+VLOOKUP(PROVEEDORES[[#This Row],[PROVEEDOR]],TERCEROS_INFO[#All],2,FALSE)</f>
        <v>10</v>
      </c>
      <c r="D469" s="30">
        <f>+SUMIFS(PROVEEDORES[Total],PROVEEDORES[PROVEEDOR],PROVEEDORES[[#This Row],[PROVEEDOR]],PROVEEDORES[FECHA DE PAGO],"")</f>
        <v>0</v>
      </c>
      <c r="E469" s="30"/>
      <c r="F469" s="73">
        <f>+VLOOKUP(PROVEEDORES[[#This Row],[PROVEEDOR]],TERCEROS_INFO[[PROVEEDOR]:[CORREO]],5,FALSE)</f>
        <v>0</v>
      </c>
      <c r="G469" s="111">
        <v>44365</v>
      </c>
      <c r="H469" s="31" t="s">
        <v>401</v>
      </c>
      <c r="I469" s="111">
        <v>44364</v>
      </c>
      <c r="J469" s="48" t="s">
        <v>736</v>
      </c>
      <c r="K469" s="26">
        <v>377128</v>
      </c>
      <c r="L469" s="26"/>
      <c r="M469" s="27">
        <v>0</v>
      </c>
      <c r="N469" s="28"/>
      <c r="O469" s="27">
        <v>0</v>
      </c>
      <c r="P469" s="28">
        <v>0</v>
      </c>
      <c r="Q469" s="27">
        <v>0</v>
      </c>
      <c r="R469" s="26">
        <v>377128</v>
      </c>
      <c r="S469" s="115">
        <f ca="1">IF(PROVEEDORES[[#This Row],[FECHA DE PAGO]]=0,TODAY()-PROVEEDORES[[#This Row],[FECHA DE FACTURACIÓN]]-PROVEEDORES[[#This Row],[PLAZO Días]],0)</f>
        <v>0</v>
      </c>
      <c r="T46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0" spans="1:20" ht="21.9" customHeight="1" x14ac:dyDescent="0.3">
      <c r="A470" s="113" t="str">
        <f>+IF(PROVEEDORES[[#This Row],[FECHA DE PAGO]]=PROVEEDORES[[#This Row],[FECHA DE FACTURACIÓN]],"DE CONTADO","CRÉDITO")</f>
        <v>CRÉDITO</v>
      </c>
      <c r="B470" s="51" t="str">
        <f>+IF((PROVEEDORES[[#This Row],[FECHA DE PAGO]]-PROVEEDORES[[#This Row],[FECHA DE FACTURACIÓN]])&gt;PROVEEDORES[[#This Row],[PLAZO Días]],"PAGO VENCIDO")</f>
        <v>PAGO VENCIDO</v>
      </c>
      <c r="C470" s="25">
        <f>+VLOOKUP(PROVEEDORES[[#This Row],[PROVEEDOR]],TERCEROS_INFO[#All],2,FALSE)</f>
        <v>0</v>
      </c>
      <c r="D470" s="30">
        <f>+SUMIFS(PROVEEDORES[Total],PROVEEDORES[PROVEEDOR],PROVEEDORES[[#This Row],[PROVEEDOR]],PROVEEDORES[FECHA DE PAGO],"")</f>
        <v>0</v>
      </c>
      <c r="E470" s="30"/>
      <c r="F470" s="73">
        <f>+VLOOKUP(PROVEEDORES[[#This Row],[PROVEEDOR]],TERCEROS_INFO[[PROVEEDOR]:[CORREO]],5,FALSE)</f>
        <v>0</v>
      </c>
      <c r="G470" s="111">
        <v>44377</v>
      </c>
      <c r="H470" s="31" t="s">
        <v>993</v>
      </c>
      <c r="I470" s="111">
        <v>44364</v>
      </c>
      <c r="J470" s="48"/>
      <c r="K470" s="26">
        <v>514870</v>
      </c>
      <c r="L470" s="26"/>
      <c r="M470" s="27">
        <v>0</v>
      </c>
      <c r="N470" s="28"/>
      <c r="O470" s="27">
        <v>0</v>
      </c>
      <c r="P470" s="28">
        <v>0</v>
      </c>
      <c r="Q470" s="27">
        <v>0</v>
      </c>
      <c r="R470" s="26">
        <v>514870</v>
      </c>
      <c r="S470" s="115">
        <f ca="1">IF(PROVEEDORES[[#This Row],[FECHA DE PAGO]]=0,TODAY()-PROVEEDORES[[#This Row],[FECHA DE FACTURACIÓN]]-PROVEEDORES[[#This Row],[PLAZO Días]],0)</f>
        <v>0</v>
      </c>
      <c r="T47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1" spans="1:20" ht="21.9" customHeight="1" x14ac:dyDescent="0.3">
      <c r="A471" s="113" t="str">
        <f>+IF(PROVEEDORES[[#This Row],[FECHA DE PAGO]]=PROVEEDORES[[#This Row],[FECHA DE FACTURACIÓN]],"DE CONTADO","CRÉDITO")</f>
        <v>CRÉDITO</v>
      </c>
      <c r="B471" s="51" t="str">
        <f>+IF((PROVEEDORES[[#This Row],[FECHA DE PAGO]]-PROVEEDORES[[#This Row],[FECHA DE FACTURACIÓN]])&gt;PROVEEDORES[[#This Row],[PLAZO Días]],"PAGO VENCIDO")</f>
        <v>PAGO VENCIDO</v>
      </c>
      <c r="C471" s="25">
        <f>+VLOOKUP(PROVEEDORES[[#This Row],[PROVEEDOR]],TERCEROS_INFO[#All],2,FALSE)</f>
        <v>30</v>
      </c>
      <c r="D471" s="30">
        <f>+SUMIFS(PROVEEDORES[Total],PROVEEDORES[PROVEEDOR],PROVEEDORES[[#This Row],[PROVEEDOR]],PROVEEDORES[FECHA DE PAGO],"")</f>
        <v>0</v>
      </c>
      <c r="E471" s="30"/>
      <c r="F471" s="73" t="str">
        <f>+VLOOKUP(PROVEEDORES[[#This Row],[PROVEEDOR]],TERCEROS_INFO[[PROVEEDOR]:[CORREO]],5,FALSE)</f>
        <v>jarlysas@gmail.com;o.clockinternational@gmail.com;girlesa.ruiz@servipilas.com;joriescobar64@gmail.com</v>
      </c>
      <c r="G471" s="111">
        <v>44456</v>
      </c>
      <c r="H471" s="31" t="s">
        <v>515</v>
      </c>
      <c r="I471" s="111">
        <v>44364</v>
      </c>
      <c r="J471" s="48">
        <v>7</v>
      </c>
      <c r="K471" s="26">
        <v>4167300</v>
      </c>
      <c r="L471" s="26"/>
      <c r="M471" s="27">
        <v>791787</v>
      </c>
      <c r="N471" s="28"/>
      <c r="O471" s="27">
        <v>366722.40000000037</v>
      </c>
      <c r="P471" s="28">
        <v>2.5000000000000001E-2</v>
      </c>
      <c r="Q471" s="27">
        <v>104182.5</v>
      </c>
      <c r="R471" s="26">
        <v>4488182.0999999996</v>
      </c>
      <c r="S471" s="115">
        <f ca="1">IF(PROVEEDORES[[#This Row],[FECHA DE PAGO]]=0,TODAY()-PROVEEDORES[[#This Row],[FECHA DE FACTURACIÓN]]-PROVEEDORES[[#This Row],[PLAZO Días]],0)</f>
        <v>0</v>
      </c>
      <c r="T4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2" spans="1:20" ht="21.9" customHeight="1" x14ac:dyDescent="0.3">
      <c r="A472" s="113" t="str">
        <f>+IF(PROVEEDORES[[#This Row],[FECHA DE PAGO]]=PROVEEDORES[[#This Row],[FECHA DE FACTURACIÓN]],"DE CONTADO","CRÉDITO")</f>
        <v>CRÉDITO</v>
      </c>
      <c r="B472" s="51" t="str">
        <f>+IF((PROVEEDORES[[#This Row],[FECHA DE PAGO]]-PROVEEDORES[[#This Row],[FECHA DE FACTURACIÓN]])&gt;PROVEEDORES[[#This Row],[PLAZO Días]],"PAGO VENCIDO")</f>
        <v>PAGO VENCIDO</v>
      </c>
      <c r="C472" s="25">
        <f>+VLOOKUP(PROVEEDORES[[#This Row],[PROVEEDOR]],TERCEROS_INFO[#All],2,FALSE)</f>
        <v>30</v>
      </c>
      <c r="D472" s="30">
        <f>+SUMIFS(PROVEEDORES[Total],PROVEEDORES[PROVEEDOR],PROVEEDORES[[#This Row],[PROVEEDOR]],PROVEEDORES[FECHA DE PAGO],"")</f>
        <v>0</v>
      </c>
      <c r="E472" s="30"/>
      <c r="F472" s="73" t="str">
        <f>+VLOOKUP(PROVEEDORES[[#This Row],[PROVEEDOR]],TERCEROS_INFO[[PROVEEDOR]:[CORREO]],5,FALSE)</f>
        <v>jarlysas@gmail.com;o.clockinternational@gmail.com;girlesa.ruiz@servipilas.com;joriescobar64@gmail.com</v>
      </c>
      <c r="G472" s="111">
        <v>44456</v>
      </c>
      <c r="H472" s="31" t="s">
        <v>226</v>
      </c>
      <c r="I472" s="111">
        <v>44364</v>
      </c>
      <c r="J472" s="48">
        <v>51</v>
      </c>
      <c r="K472" s="26">
        <v>5949000</v>
      </c>
      <c r="L472" s="26"/>
      <c r="M472" s="27">
        <v>1130310</v>
      </c>
      <c r="N472" s="28"/>
      <c r="O472" s="27">
        <v>523512</v>
      </c>
      <c r="P472" s="28">
        <v>2.5000000000000001E-2</v>
      </c>
      <c r="Q472" s="27">
        <v>148725</v>
      </c>
      <c r="R472" s="26">
        <v>6407073</v>
      </c>
      <c r="S472" s="115">
        <f ca="1">IF(PROVEEDORES[[#This Row],[FECHA DE PAGO]]=0,TODAY()-PROVEEDORES[[#This Row],[FECHA DE FACTURACIÓN]]-PROVEEDORES[[#This Row],[PLAZO Días]],0)</f>
        <v>0</v>
      </c>
      <c r="T47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3" spans="1:20" ht="21.9" customHeight="1" x14ac:dyDescent="0.3">
      <c r="A473" s="113" t="str">
        <f>+IF(PROVEEDORES[[#This Row],[FECHA DE PAGO]]=PROVEEDORES[[#This Row],[FECHA DE FACTURACIÓN]],"DE CONTADO","CRÉDITO")</f>
        <v>CRÉDITO</v>
      </c>
      <c r="B473" s="51" t="b">
        <f>+IF((PROVEEDORES[[#This Row],[FECHA DE PAGO]]-PROVEEDORES[[#This Row],[FECHA DE FACTURACIÓN]])&gt;PROVEEDORES[[#This Row],[PLAZO Días]],"PAGO VENCIDO")</f>
        <v>0</v>
      </c>
      <c r="C473" s="25">
        <f>+VLOOKUP(PROVEEDORES[[#This Row],[PROVEEDOR]],TERCEROS_INFO[#All],2,FALSE)</f>
        <v>10</v>
      </c>
      <c r="D473" s="30">
        <f>+SUMIFS(PROVEEDORES[Total],PROVEEDORES[PROVEEDOR],PROVEEDORES[[#This Row],[PROVEEDOR]],PROVEEDORES[FECHA DE PAGO],"")</f>
        <v>0</v>
      </c>
      <c r="E473" s="30"/>
      <c r="F473" s="73" t="str">
        <f>+VLOOKUP(PROVEEDORES[[#This Row],[PROVEEDOR]],TERCEROS_INFO[[PROVEEDOR]:[CORREO]],5,FALSE)</f>
        <v/>
      </c>
      <c r="G473" s="111">
        <v>44368</v>
      </c>
      <c r="H473" s="31" t="s">
        <v>23</v>
      </c>
      <c r="I473" s="111">
        <v>44364</v>
      </c>
      <c r="J473" s="48">
        <v>283198</v>
      </c>
      <c r="K473" s="26">
        <v>6232000</v>
      </c>
      <c r="L473" s="26"/>
      <c r="M473" s="27">
        <v>0</v>
      </c>
      <c r="N473" s="28"/>
      <c r="O473" s="27">
        <v>0</v>
      </c>
      <c r="P473" s="28">
        <v>0</v>
      </c>
      <c r="Q473" s="27">
        <v>0</v>
      </c>
      <c r="R473" s="26">
        <v>6232000</v>
      </c>
      <c r="S473" s="115">
        <f ca="1">IF(PROVEEDORES[[#This Row],[FECHA DE PAGO]]=0,TODAY()-PROVEEDORES[[#This Row],[FECHA DE FACTURACIÓN]]-PROVEEDORES[[#This Row],[PLAZO Días]],0)</f>
        <v>0</v>
      </c>
      <c r="T47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4" spans="1:20" ht="21.9" customHeight="1" x14ac:dyDescent="0.3">
      <c r="A474" s="113" t="str">
        <f>+IF(PROVEEDORES[[#This Row],[FECHA DE PAGO]]=PROVEEDORES[[#This Row],[FECHA DE FACTURACIÓN]],"DE CONTADO","CRÉDITO")</f>
        <v>CRÉDITO</v>
      </c>
      <c r="B474" s="51" t="b">
        <f>+IF((PROVEEDORES[[#This Row],[FECHA DE PAGO]]-PROVEEDORES[[#This Row],[FECHA DE FACTURACIÓN]])&gt;PROVEEDORES[[#This Row],[PLAZO Días]],"PAGO VENCIDO")</f>
        <v>0</v>
      </c>
      <c r="C474" s="25">
        <f>+VLOOKUP(PROVEEDORES[[#This Row],[PROVEEDOR]],TERCEROS_INFO[#All],2,FALSE)</f>
        <v>20</v>
      </c>
      <c r="D474" s="30">
        <f>+SUMIFS(PROVEEDORES[Total],PROVEEDORES[PROVEEDOR],PROVEEDORES[[#This Row],[PROVEEDOR]],PROVEEDORES[FECHA DE PAGO],"")</f>
        <v>0</v>
      </c>
      <c r="E474" s="30"/>
      <c r="F474" s="73" t="str">
        <f>+VLOOKUP(PROVEEDORES[[#This Row],[PROVEEDOR]],TERCEROS_INFO[[PROVEEDOR]:[CORREO]],5,FALSE)</f>
        <v>bog.fa1@pressex.co;bog.fm1@pressex.co;kbaumgartner@pressex.co;girlesa.ruiz@servipilas.com;joriescobar64@gmail.com</v>
      </c>
      <c r="G474" s="111">
        <v>44377</v>
      </c>
      <c r="H474" s="31" t="s">
        <v>448</v>
      </c>
      <c r="I474" s="111">
        <v>44365</v>
      </c>
      <c r="J474" s="48" t="s">
        <v>738</v>
      </c>
      <c r="K474" s="26">
        <v>732300</v>
      </c>
      <c r="L474" s="26"/>
      <c r="M474" s="27">
        <v>0</v>
      </c>
      <c r="N474" s="28"/>
      <c r="O474" s="27">
        <v>0</v>
      </c>
      <c r="P474" s="28">
        <v>0.01</v>
      </c>
      <c r="Q474" s="27">
        <v>1860</v>
      </c>
      <c r="R474" s="26">
        <v>730440</v>
      </c>
      <c r="S474" s="115">
        <f ca="1">IF(PROVEEDORES[[#This Row],[FECHA DE PAGO]]=0,TODAY()-PROVEEDORES[[#This Row],[FECHA DE FACTURACIÓN]]-PROVEEDORES[[#This Row],[PLAZO Días]],0)</f>
        <v>0</v>
      </c>
      <c r="T47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5" spans="1:20" ht="21.9" customHeight="1" x14ac:dyDescent="0.3">
      <c r="A475" s="113" t="str">
        <f>+IF(PROVEEDORES[[#This Row],[FECHA DE PAGO]]=PROVEEDORES[[#This Row],[FECHA DE FACTURACIÓN]],"DE CONTADO","CRÉDITO")</f>
        <v>CRÉDITO</v>
      </c>
      <c r="B475" s="51" t="str">
        <f>+IF((PROVEEDORES[[#This Row],[FECHA DE PAGO]]-PROVEEDORES[[#This Row],[FECHA DE FACTURACIÓN]])&gt;PROVEEDORES[[#This Row],[PLAZO Días]],"PAGO VENCIDO")</f>
        <v>PAGO VENCIDO</v>
      </c>
      <c r="C475" s="25">
        <f>+VLOOKUP(PROVEEDORES[[#This Row],[PROVEEDOR]],TERCEROS_INFO[#All],2,FALSE)</f>
        <v>30</v>
      </c>
      <c r="D475" s="30">
        <f>+SUMIFS(PROVEEDORES[Total],PROVEEDORES[PROVEEDOR],PROVEEDORES[[#This Row],[PROVEEDOR]],PROVEEDORES[FECHA DE PAGO],"")</f>
        <v>148000</v>
      </c>
      <c r="E475" s="30"/>
      <c r="F475" s="73" t="str">
        <f>+VLOOKUP(PROVEEDORES[[#This Row],[PROVEEDOR]],TERCEROS_INFO[[PROVEEDOR]:[CORREO]],5,FALSE)</f>
        <v>jarlysas@gmail.com;o.clockinternational@gmail.com;girlesa.ruiz@servipilas.com;joriescobar64@gmail.com</v>
      </c>
      <c r="G475" s="111">
        <v>44414</v>
      </c>
      <c r="H475" s="31" t="s">
        <v>1048</v>
      </c>
      <c r="I475" s="111">
        <v>44365</v>
      </c>
      <c r="J475" s="48" t="s">
        <v>737</v>
      </c>
      <c r="K475" s="26">
        <v>4333600</v>
      </c>
      <c r="L475" s="26"/>
      <c r="M475" s="27">
        <v>0</v>
      </c>
      <c r="N475" s="28"/>
      <c r="O475" s="27">
        <v>384399</v>
      </c>
      <c r="P475" s="28">
        <v>0</v>
      </c>
      <c r="Q475" s="27">
        <v>0</v>
      </c>
      <c r="R475" s="26">
        <v>3949201</v>
      </c>
      <c r="S475" s="115">
        <f ca="1">IF(PROVEEDORES[[#This Row],[FECHA DE PAGO]]=0,TODAY()-PROVEEDORES[[#This Row],[FECHA DE FACTURACIÓN]]-PROVEEDORES[[#This Row],[PLAZO Días]],0)</f>
        <v>0</v>
      </c>
      <c r="T47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6" spans="1:20" ht="21.9" customHeight="1" x14ac:dyDescent="0.3">
      <c r="A476" s="113" t="str">
        <f>+IF(PROVEEDORES[[#This Row],[FECHA DE PAGO]]=PROVEEDORES[[#This Row],[FECHA DE FACTURACIÓN]],"DE CONTADO","CRÉDITO")</f>
        <v>CRÉDITO</v>
      </c>
      <c r="B476" s="51" t="str">
        <f>+IF((PROVEEDORES[[#This Row],[FECHA DE PAGO]]-PROVEEDORES[[#This Row],[FECHA DE FACTURACIÓN]])&gt;PROVEEDORES[[#This Row],[PLAZO Días]],"PAGO VENCIDO")</f>
        <v>PAGO VENCIDO</v>
      </c>
      <c r="C476" s="25">
        <f>+VLOOKUP(PROVEEDORES[[#This Row],[PROVEEDOR]],TERCEROS_INFO[#All],2,FALSE)</f>
        <v>30</v>
      </c>
      <c r="D476" s="30">
        <f>+SUMIFS(PROVEEDORES[Total],PROVEEDORES[PROVEEDOR],PROVEEDORES[[#This Row],[PROVEEDOR]],PROVEEDORES[FECHA DE PAGO],"")</f>
        <v>6482443.1751999995</v>
      </c>
      <c r="E476" s="30"/>
      <c r="F476" s="73" t="str">
        <f>+VLOOKUP(PROVEEDORES[[#This Row],[PROVEEDOR]],TERCEROS_INFO[[PROVEEDOR]:[CORREO]],5,FALSE)</f>
        <v>angela.navas@hyrdistribuciones.com;girlesa.ruiz@servipilas.com;joriescobar64@gmail.com</v>
      </c>
      <c r="G476" s="111">
        <v>44403</v>
      </c>
      <c r="H476" s="31" t="s">
        <v>18</v>
      </c>
      <c r="I476" s="111">
        <v>44365</v>
      </c>
      <c r="J476" s="48">
        <v>1039175</v>
      </c>
      <c r="K476" s="26">
        <v>5950201.4400000004</v>
      </c>
      <c r="L476" s="26"/>
      <c r="M476" s="27">
        <v>1130538.2736000002</v>
      </c>
      <c r="N476" s="28"/>
      <c r="O476" s="27">
        <v>0</v>
      </c>
      <c r="P476" s="28">
        <v>2.5000000000000001E-2</v>
      </c>
      <c r="Q476" s="27">
        <v>148755.03600000002</v>
      </c>
      <c r="R476" s="26">
        <v>6931984.6776000001</v>
      </c>
      <c r="S476" s="115">
        <f ca="1">IF(PROVEEDORES[[#This Row],[FECHA DE PAGO]]=0,TODAY()-PROVEEDORES[[#This Row],[FECHA DE FACTURACIÓN]]-PROVEEDORES[[#This Row],[PLAZO Días]],0)</f>
        <v>0</v>
      </c>
      <c r="T4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7" spans="1:20" ht="21.9" customHeight="1" x14ac:dyDescent="0.3">
      <c r="A477" s="113" t="str">
        <f>+IF(PROVEEDORES[[#This Row],[FECHA DE PAGO]]=PROVEEDORES[[#This Row],[FECHA DE FACTURACIÓN]],"DE CONTADO","CRÉDITO")</f>
        <v>CRÉDITO</v>
      </c>
      <c r="B477" s="51" t="b">
        <f>+IF((PROVEEDORES[[#This Row],[FECHA DE PAGO]]-PROVEEDORES[[#This Row],[FECHA DE FACTURACIÓN]])&gt;PROVEEDORES[[#This Row],[PLAZO Días]],"PAGO VENCIDO")</f>
        <v>0</v>
      </c>
      <c r="C477" s="25">
        <f>+VLOOKUP(PROVEEDORES[[#This Row],[PROVEEDOR]],TERCEROS_INFO[#All],2,FALSE)</f>
        <v>30</v>
      </c>
      <c r="D477" s="30">
        <f>+SUMIFS(PROVEEDORES[Total],PROVEEDORES[PROVEEDOR],PROVEEDORES[[#This Row],[PROVEEDOR]],PROVEEDORES[FECHA DE PAGO],"")</f>
        <v>248736.18000000002</v>
      </c>
      <c r="E477" s="30"/>
      <c r="F477" s="73" t="str">
        <f>+VLOOKUP(PROVEEDORES[[#This Row],[PROVEEDOR]],TERCEROS_INFO[[PROVEEDOR]:[CORREO]],5,FALSE)</f>
        <v>administracion@sapian.com.co;girlesa.ruiz@servipilas.com;joriescobar64@gmail.com</v>
      </c>
      <c r="G477" s="111">
        <v>44370</v>
      </c>
      <c r="H477" s="31" t="s">
        <v>346</v>
      </c>
      <c r="I477" s="111">
        <v>44366</v>
      </c>
      <c r="J477" s="48" t="s">
        <v>382</v>
      </c>
      <c r="K477" s="26">
        <v>203897</v>
      </c>
      <c r="L477" s="26"/>
      <c r="M477" s="27">
        <v>38740.43</v>
      </c>
      <c r="N477" s="28"/>
      <c r="O477" s="27">
        <v>0</v>
      </c>
      <c r="P477" s="28">
        <v>3.5000000000000003E-2</v>
      </c>
      <c r="Q477" s="27">
        <v>7136.3950000000004</v>
      </c>
      <c r="R477" s="26">
        <v>235501.035</v>
      </c>
      <c r="S477" s="115">
        <f ca="1">IF(PROVEEDORES[[#This Row],[FECHA DE PAGO]]=0,TODAY()-PROVEEDORES[[#This Row],[FECHA DE FACTURACIÓN]]-PROVEEDORES[[#This Row],[PLAZO Días]],0)</f>
        <v>0</v>
      </c>
      <c r="T4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8" spans="1:20" ht="21.9" customHeight="1" x14ac:dyDescent="0.3">
      <c r="A478" s="113" t="str">
        <f>+IF(PROVEEDORES[[#This Row],[FECHA DE PAGO]]=PROVEEDORES[[#This Row],[FECHA DE FACTURACIÓN]],"DE CONTADO","CRÉDITO")</f>
        <v>CRÉDITO</v>
      </c>
      <c r="B478" s="51" t="b">
        <f>+IF((PROVEEDORES[[#This Row],[FECHA DE PAGO]]-PROVEEDORES[[#This Row],[FECHA DE FACTURACIÓN]])&gt;PROVEEDORES[[#This Row],[PLAZO Días]],"PAGO VENCIDO")</f>
        <v>0</v>
      </c>
      <c r="C478" s="25">
        <f>+VLOOKUP(PROVEEDORES[[#This Row],[PROVEEDOR]],TERCEROS_INFO[#All],2,FALSE)</f>
        <v>13</v>
      </c>
      <c r="D478" s="30">
        <f>+SUMIFS(PROVEEDORES[Total],PROVEEDORES[PROVEEDOR],PROVEEDORES[[#This Row],[PROVEEDOR]],PROVEEDORES[FECHA DE PAGO],"")</f>
        <v>0</v>
      </c>
      <c r="E478" s="30"/>
      <c r="F478" s="73">
        <f>+VLOOKUP(PROVEEDORES[[#This Row],[PROVEEDOR]],TERCEROS_INFO[[PROVEEDOR]:[CORREO]],5,FALSE)</f>
        <v>0</v>
      </c>
      <c r="G478" s="111">
        <v>44365</v>
      </c>
      <c r="H478" s="31" t="s">
        <v>329</v>
      </c>
      <c r="I478" s="111">
        <v>44366</v>
      </c>
      <c r="J478" s="48" t="s">
        <v>331</v>
      </c>
      <c r="K478" s="26">
        <v>313385</v>
      </c>
      <c r="L478" s="26"/>
      <c r="M478" s="27">
        <v>0</v>
      </c>
      <c r="N478" s="28"/>
      <c r="O478" s="27">
        <v>0</v>
      </c>
      <c r="P478" s="28">
        <v>0</v>
      </c>
      <c r="Q478" s="27">
        <v>0</v>
      </c>
      <c r="R478" s="26">
        <v>313385</v>
      </c>
      <c r="S478" s="115">
        <f ca="1">IF(PROVEEDORES[[#This Row],[FECHA DE PAGO]]=0,TODAY()-PROVEEDORES[[#This Row],[FECHA DE FACTURACIÓN]]-PROVEEDORES[[#This Row],[PLAZO Días]],0)</f>
        <v>0</v>
      </c>
      <c r="T47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79" spans="1:20" ht="21.9" customHeight="1" x14ac:dyDescent="0.3">
      <c r="A479" s="113" t="str">
        <f>+IF(PROVEEDORES[[#This Row],[FECHA DE PAGO]]=PROVEEDORES[[#This Row],[FECHA DE FACTURACIÓN]],"DE CONTADO","CRÉDITO")</f>
        <v>CRÉDITO</v>
      </c>
      <c r="B479" s="51" t="b">
        <f>+IF((PROVEEDORES[[#This Row],[FECHA DE PAGO]]-PROVEEDORES[[#This Row],[FECHA DE FACTURACIÓN]])&gt;PROVEEDORES[[#This Row],[PLAZO Días]],"PAGO VENCIDO")</f>
        <v>0</v>
      </c>
      <c r="C479" s="25">
        <f>+VLOOKUP(PROVEEDORES[[#This Row],[PROVEEDOR]],TERCEROS_INFO[#All],2,FALSE)</f>
        <v>60</v>
      </c>
      <c r="D479" s="30">
        <f>+SUMIFS(PROVEEDORES[Total],PROVEEDORES[PROVEEDOR],PROVEEDORES[[#This Row],[PROVEEDOR]],PROVEEDORES[FECHA DE PAGO],"")</f>
        <v>0</v>
      </c>
      <c r="E479" s="30"/>
      <c r="F479" s="73" t="str">
        <f>+VLOOKUP(PROVEEDORES[[#This Row],[PROVEEDOR]],TERCEROS_INFO[[PROVEEDOR]:[CORREO]],5,FALSE)</f>
        <v>pse</v>
      </c>
      <c r="G479" s="111">
        <v>44404</v>
      </c>
      <c r="H479" s="31" t="s">
        <v>381</v>
      </c>
      <c r="I479" s="111">
        <v>44366</v>
      </c>
      <c r="J479" s="48" t="s">
        <v>740</v>
      </c>
      <c r="K479" s="26">
        <v>1264021</v>
      </c>
      <c r="L479" s="26"/>
      <c r="M479" s="27">
        <v>0</v>
      </c>
      <c r="N479" s="28"/>
      <c r="O479" s="27">
        <v>0</v>
      </c>
      <c r="P479" s="28">
        <v>0</v>
      </c>
      <c r="Q479" s="27">
        <v>0</v>
      </c>
      <c r="R479" s="26">
        <v>1264021</v>
      </c>
      <c r="S479" s="115">
        <f ca="1">IF(PROVEEDORES[[#This Row],[FECHA DE PAGO]]=0,TODAY()-PROVEEDORES[[#This Row],[FECHA DE FACTURACIÓN]]-PROVEEDORES[[#This Row],[PLAZO Días]],0)</f>
        <v>0</v>
      </c>
      <c r="T4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0" spans="1:20" ht="21.9" customHeight="1" x14ac:dyDescent="0.3">
      <c r="A480" s="113" t="str">
        <f>+IF(PROVEEDORES[[#This Row],[FECHA DE PAGO]]=PROVEEDORES[[#This Row],[FECHA DE FACTURACIÓN]],"DE CONTADO","CRÉDITO")</f>
        <v>CRÉDITO</v>
      </c>
      <c r="B480" s="51" t="b">
        <f>+IF((PROVEEDORES[[#This Row],[FECHA DE PAGO]]-PROVEEDORES[[#This Row],[FECHA DE FACTURACIÓN]])&gt;PROVEEDORES[[#This Row],[PLAZO Días]],"PAGO VENCIDO")</f>
        <v>0</v>
      </c>
      <c r="C480" s="25">
        <f>+VLOOKUP(PROVEEDORES[[#This Row],[PROVEEDOR]],TERCEROS_INFO[#All],2,FALSE)</f>
        <v>30</v>
      </c>
      <c r="D480" s="30">
        <f>+SUMIFS(PROVEEDORES[Total],PROVEEDORES[PROVEEDOR],PROVEEDORES[[#This Row],[PROVEEDOR]],PROVEEDORES[FECHA DE PAGO],"")</f>
        <v>0</v>
      </c>
      <c r="E480" s="30"/>
      <c r="F480" s="73" t="str">
        <f>+VLOOKUP(PROVEEDORES[[#This Row],[PROVEEDOR]],TERCEROS_INFO[[PROVEEDOR]:[CORREO]],5,FALSE)</f>
        <v/>
      </c>
      <c r="G480" s="111">
        <v>44368</v>
      </c>
      <c r="H480" s="31" t="s">
        <v>1075</v>
      </c>
      <c r="I480" s="111">
        <v>44366</v>
      </c>
      <c r="J480" s="48" t="s">
        <v>739</v>
      </c>
      <c r="K480" s="26">
        <v>2390504</v>
      </c>
      <c r="L480" s="26"/>
      <c r="M480" s="27">
        <v>0</v>
      </c>
      <c r="N480" s="28"/>
      <c r="O480" s="27">
        <v>0</v>
      </c>
      <c r="P480" s="28">
        <v>0</v>
      </c>
      <c r="Q480" s="27">
        <v>0</v>
      </c>
      <c r="R480" s="26">
        <v>2390504</v>
      </c>
      <c r="S480" s="115">
        <f ca="1">IF(PROVEEDORES[[#This Row],[FECHA DE PAGO]]=0,TODAY()-PROVEEDORES[[#This Row],[FECHA DE FACTURACIÓN]]-PROVEEDORES[[#This Row],[PLAZO Días]],0)</f>
        <v>0</v>
      </c>
      <c r="T4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1" spans="1:20" ht="21.9" customHeight="1" x14ac:dyDescent="0.3">
      <c r="A481" s="113" t="str">
        <f>+IF(PROVEEDORES[[#This Row],[FECHA DE PAGO]]=PROVEEDORES[[#This Row],[FECHA DE FACTURACIÓN]],"DE CONTADO","CRÉDITO")</f>
        <v>CRÉDITO</v>
      </c>
      <c r="B481" s="51" t="b">
        <f>+IF((PROVEEDORES[[#This Row],[FECHA DE PAGO]]-PROVEEDORES[[#This Row],[FECHA DE FACTURACIÓN]])&gt;PROVEEDORES[[#This Row],[PLAZO Días]],"PAGO VENCIDO")</f>
        <v>0</v>
      </c>
      <c r="C481" s="25">
        <f>+VLOOKUP(PROVEEDORES[[#This Row],[PROVEEDOR]],TERCEROS_INFO[#All],2,FALSE)</f>
        <v>13</v>
      </c>
      <c r="D481" s="30">
        <f>+SUMIFS(PROVEEDORES[Total],PROVEEDORES[PROVEEDOR],PROVEEDORES[[#This Row],[PROVEEDOR]],PROVEEDORES[FECHA DE PAGO],"")</f>
        <v>0</v>
      </c>
      <c r="E481" s="30"/>
      <c r="F481" s="73">
        <f>+VLOOKUP(PROVEEDORES[[#This Row],[PROVEEDOR]],TERCEROS_INFO[[PROVEEDOR]:[CORREO]],5,FALSE)</f>
        <v>0</v>
      </c>
      <c r="G481" s="111">
        <v>44363</v>
      </c>
      <c r="H481" s="31" t="s">
        <v>329</v>
      </c>
      <c r="I481" s="111">
        <v>44366</v>
      </c>
      <c r="J481" s="48" t="s">
        <v>741</v>
      </c>
      <c r="K481" s="26">
        <v>5450060</v>
      </c>
      <c r="L481" s="26"/>
      <c r="M481" s="27">
        <v>0</v>
      </c>
      <c r="N481" s="28"/>
      <c r="O481" s="27">
        <v>0</v>
      </c>
      <c r="P481" s="28">
        <v>0</v>
      </c>
      <c r="Q481" s="27">
        <v>0</v>
      </c>
      <c r="R481" s="26">
        <v>5450060</v>
      </c>
      <c r="S481" s="115">
        <f ca="1">IF(PROVEEDORES[[#This Row],[FECHA DE PAGO]]=0,TODAY()-PROVEEDORES[[#This Row],[FECHA DE FACTURACIÓN]]-PROVEEDORES[[#This Row],[PLAZO Días]],0)</f>
        <v>0</v>
      </c>
      <c r="T4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2" spans="1:20" ht="21.9" customHeight="1" x14ac:dyDescent="0.3">
      <c r="A482" s="113" t="str">
        <f>+IF(PROVEEDORES[[#This Row],[FECHA DE PAGO]]=PROVEEDORES[[#This Row],[FECHA DE FACTURACIÓN]],"DE CONTADO","CRÉDITO")</f>
        <v>DE CONTADO</v>
      </c>
      <c r="B482" s="51" t="b">
        <f>+IF((PROVEEDORES[[#This Row],[FECHA DE PAGO]]-PROVEEDORES[[#This Row],[FECHA DE FACTURACIÓN]])&gt;PROVEEDORES[[#This Row],[PLAZO Días]],"PAGO VENCIDO")</f>
        <v>0</v>
      </c>
      <c r="C482" s="25">
        <f>+VLOOKUP(PROVEEDORES[[#This Row],[PROVEEDOR]],TERCEROS_INFO[#All],2,FALSE)</f>
        <v>30</v>
      </c>
      <c r="D482" s="30">
        <f>+SUMIFS(PROVEEDORES[Total],PROVEEDORES[PROVEEDOR],PROVEEDORES[[#This Row],[PROVEEDOR]],PROVEEDORES[FECHA DE PAGO],"")</f>
        <v>0</v>
      </c>
      <c r="E482" s="30"/>
      <c r="F482" s="73">
        <f>+VLOOKUP(PROVEEDORES[[#This Row],[PROVEEDOR]],TERCEROS_INFO[[PROVEEDOR]:[CORREO]],5,FALSE)</f>
        <v>0</v>
      </c>
      <c r="G482" s="111">
        <v>44367</v>
      </c>
      <c r="H482" s="31" t="s">
        <v>1080</v>
      </c>
      <c r="I482" s="111">
        <v>44367</v>
      </c>
      <c r="J482" s="48" t="s">
        <v>673</v>
      </c>
      <c r="K482" s="26">
        <v>464515</v>
      </c>
      <c r="L482" s="26"/>
      <c r="M482" s="27">
        <v>0</v>
      </c>
      <c r="N482" s="28"/>
      <c r="O482" s="27">
        <v>0</v>
      </c>
      <c r="P482" s="28">
        <v>0</v>
      </c>
      <c r="Q482" s="27">
        <v>0</v>
      </c>
      <c r="R482" s="26">
        <v>464515</v>
      </c>
      <c r="S482" s="115">
        <f ca="1">IF(PROVEEDORES[[#This Row],[FECHA DE PAGO]]=0,TODAY()-PROVEEDORES[[#This Row],[FECHA DE FACTURACIÓN]]-PROVEEDORES[[#This Row],[PLAZO Días]],0)</f>
        <v>0</v>
      </c>
      <c r="T48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3" spans="1:20" ht="21.9" customHeight="1" x14ac:dyDescent="0.3">
      <c r="A483" s="113" t="str">
        <f>+IF(PROVEEDORES[[#This Row],[FECHA DE PAGO]]=PROVEEDORES[[#This Row],[FECHA DE FACTURACIÓN]],"DE CONTADO","CRÉDITO")</f>
        <v>DE CONTADO</v>
      </c>
      <c r="B483" s="51" t="b">
        <f>+IF((PROVEEDORES[[#This Row],[FECHA DE PAGO]]-PROVEEDORES[[#This Row],[FECHA DE FACTURACIÓN]])&gt;PROVEEDORES[[#This Row],[PLAZO Días]],"PAGO VENCIDO")</f>
        <v>0</v>
      </c>
      <c r="C483" s="25">
        <f>+VLOOKUP(PROVEEDORES[[#This Row],[PROVEEDOR]],TERCEROS_INFO[#All],2,FALSE)</f>
        <v>30</v>
      </c>
      <c r="D483" s="30">
        <f>+SUMIFS(PROVEEDORES[Total],PROVEEDORES[PROVEEDOR],PROVEEDORES[[#This Row],[PROVEEDOR]],PROVEEDORES[FECHA DE PAGO],"")</f>
        <v>0</v>
      </c>
      <c r="E483" s="30"/>
      <c r="F483" s="73" t="str">
        <f>+VLOOKUP(PROVEEDORES[[#This Row],[PROVEEDOR]],TERCEROS_INFO[[PROVEEDOR]:[CORREO]],5,FALSE)</f>
        <v/>
      </c>
      <c r="G483" s="111">
        <v>44367</v>
      </c>
      <c r="H483" s="31" t="s">
        <v>1003</v>
      </c>
      <c r="I483" s="111">
        <v>44367</v>
      </c>
      <c r="J483" s="48" t="s">
        <v>742</v>
      </c>
      <c r="K483" s="26">
        <v>800000</v>
      </c>
      <c r="L483" s="26"/>
      <c r="M483" s="27">
        <v>0</v>
      </c>
      <c r="N483" s="28"/>
      <c r="O483" s="27">
        <v>0</v>
      </c>
      <c r="P483" s="28">
        <v>0</v>
      </c>
      <c r="Q483" s="27">
        <v>0</v>
      </c>
      <c r="R483" s="26">
        <v>800000</v>
      </c>
      <c r="S483" s="115">
        <f ca="1">IF(PROVEEDORES[[#This Row],[FECHA DE PAGO]]=0,TODAY()-PROVEEDORES[[#This Row],[FECHA DE FACTURACIÓN]]-PROVEEDORES[[#This Row],[PLAZO Días]],0)</f>
        <v>0</v>
      </c>
      <c r="T48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4" spans="1:20" ht="21.9" customHeight="1" x14ac:dyDescent="0.3">
      <c r="A484" s="113" t="str">
        <f>+IF(PROVEEDORES[[#This Row],[FECHA DE PAGO]]=PROVEEDORES[[#This Row],[FECHA DE FACTURACIÓN]],"DE CONTADO","CRÉDITO")</f>
        <v>CRÉDITO</v>
      </c>
      <c r="B484" s="51" t="b">
        <f>+IF((PROVEEDORES[[#This Row],[FECHA DE PAGO]]-PROVEEDORES[[#This Row],[FECHA DE FACTURACIÓN]])&gt;PROVEEDORES[[#This Row],[PLAZO Días]],"PAGO VENCIDO")</f>
        <v>0</v>
      </c>
      <c r="C484" s="25">
        <f>+VLOOKUP(PROVEEDORES[[#This Row],[PROVEEDOR]],TERCEROS_INFO[#All],2,FALSE)</f>
        <v>30</v>
      </c>
      <c r="D484" s="30">
        <f>+SUMIFS(PROVEEDORES[Total],PROVEEDORES[PROVEEDOR],PROVEEDORES[[#This Row],[PROVEEDOR]],PROVEEDORES[FECHA DE PAGO],"")</f>
        <v>1645000</v>
      </c>
      <c r="E484" s="30"/>
      <c r="F484" s="73" t="str">
        <f>+VLOOKUP(PROVEEDORES[[#This Row],[PROVEEDOR]],TERCEROS_INFO[[PROVEEDOR]:[CORREO]],5,FALSE)</f>
        <v/>
      </c>
      <c r="G484" s="111">
        <v>44396</v>
      </c>
      <c r="H484" s="31" t="s">
        <v>1070</v>
      </c>
      <c r="I484" s="111">
        <v>44367</v>
      </c>
      <c r="J484" s="48" t="s">
        <v>743</v>
      </c>
      <c r="K484" s="26">
        <v>926000</v>
      </c>
      <c r="L484" s="26"/>
      <c r="M484" s="27">
        <v>0</v>
      </c>
      <c r="N484" s="28"/>
      <c r="O484" s="27">
        <v>0</v>
      </c>
      <c r="P484" s="28">
        <v>0</v>
      </c>
      <c r="Q484" s="27">
        <v>0</v>
      </c>
      <c r="R484" s="26">
        <v>926000</v>
      </c>
      <c r="S484" s="115">
        <f ca="1">IF(PROVEEDORES[[#This Row],[FECHA DE PAGO]]=0,TODAY()-PROVEEDORES[[#This Row],[FECHA DE FACTURACIÓN]]-PROVEEDORES[[#This Row],[PLAZO Días]],0)</f>
        <v>0</v>
      </c>
      <c r="T4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5" spans="1:20" ht="21.9" customHeight="1" x14ac:dyDescent="0.3">
      <c r="A485" s="113" t="str">
        <f>+IF(PROVEEDORES[[#This Row],[FECHA DE PAGO]]=PROVEEDORES[[#This Row],[FECHA DE FACTURACIÓN]],"DE CONTADO","CRÉDITO")</f>
        <v>CRÉDITO</v>
      </c>
      <c r="B485" s="51" t="str">
        <f>+IF((PROVEEDORES[[#This Row],[FECHA DE PAGO]]-PROVEEDORES[[#This Row],[FECHA DE FACTURACIÓN]])&gt;PROVEEDORES[[#This Row],[PLAZO Días]],"PAGO VENCIDO")</f>
        <v>PAGO VENCIDO</v>
      </c>
      <c r="C485" s="25">
        <f>+VLOOKUP(PROVEEDORES[[#This Row],[PROVEEDOR]],TERCEROS_INFO[#All],2,FALSE)</f>
        <v>45</v>
      </c>
      <c r="D485" s="30">
        <f>+SUMIFS(PROVEEDORES[Total],PROVEEDORES[PROVEEDOR],PROVEEDORES[[#This Row],[PROVEEDOR]],PROVEEDORES[FECHA DE PAGO],"")</f>
        <v>1070024.2</v>
      </c>
      <c r="E485" s="30"/>
      <c r="F485" s="73" t="str">
        <f>+VLOOKUP(PROVEEDORES[[#This Row],[PROVEEDOR]],TERCEROS_INFO[[PROVEEDOR]:[CORREO]],5,FALSE)</f>
        <v>libardopineda@tronex.com;girlesa.ruiz@servipilas.com;joriescobar64@gmail.com</v>
      </c>
      <c r="G485" s="111">
        <v>44418</v>
      </c>
      <c r="H485" s="31" t="s">
        <v>10</v>
      </c>
      <c r="I485" s="111">
        <v>44368</v>
      </c>
      <c r="J485" s="48" t="s">
        <v>407</v>
      </c>
      <c r="K485" s="26">
        <v>1440000</v>
      </c>
      <c r="L485" s="26"/>
      <c r="M485" s="27">
        <v>273600</v>
      </c>
      <c r="N485" s="28"/>
      <c r="O485" s="27">
        <v>0</v>
      </c>
      <c r="P485" s="28">
        <v>0</v>
      </c>
      <c r="Q485" s="27">
        <v>0</v>
      </c>
      <c r="R485" s="26">
        <v>1713600</v>
      </c>
      <c r="S485" s="115">
        <f ca="1">IF(PROVEEDORES[[#This Row],[FECHA DE PAGO]]=0,TODAY()-PROVEEDORES[[#This Row],[FECHA DE FACTURACIÓN]]-PROVEEDORES[[#This Row],[PLAZO Días]],0)</f>
        <v>0</v>
      </c>
      <c r="T48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6" spans="1:20" ht="21.9" customHeight="1" x14ac:dyDescent="0.3">
      <c r="A486" s="113" t="str">
        <f>+IF(PROVEEDORES[[#This Row],[FECHA DE PAGO]]=PROVEEDORES[[#This Row],[FECHA DE FACTURACIÓN]],"DE CONTADO","CRÉDITO")</f>
        <v>CRÉDITO</v>
      </c>
      <c r="B486" s="51" t="str">
        <f>+IF((PROVEEDORES[[#This Row],[FECHA DE PAGO]]-PROVEEDORES[[#This Row],[FECHA DE FACTURACIÓN]])&gt;PROVEEDORES[[#This Row],[PLAZO Días]],"PAGO VENCIDO")</f>
        <v>PAGO VENCIDO</v>
      </c>
      <c r="C486" s="25">
        <f>+VLOOKUP(PROVEEDORES[[#This Row],[PROVEEDOR]],TERCEROS_INFO[#All],2,FALSE)</f>
        <v>30</v>
      </c>
      <c r="D486" s="30">
        <f>+SUMIFS(PROVEEDORES[Total],PROVEEDORES[PROVEEDOR],PROVEEDORES[[#This Row],[PROVEEDOR]],PROVEEDORES[FECHA DE PAGO],"")</f>
        <v>0</v>
      </c>
      <c r="E486" s="30"/>
      <c r="F486" s="73" t="str">
        <f>+VLOOKUP(PROVEEDORES[[#This Row],[PROVEEDOR]],TERCEROS_INFO[[PROVEEDOR]:[CORREO]],5,FALSE)</f>
        <v>BRIGHTSIDELED2019@gmail.com;girlesa.ruiz@servipilas.com;joriescobar64@gmail.com</v>
      </c>
      <c r="G486" s="111">
        <v>44403</v>
      </c>
      <c r="H486" s="31" t="s">
        <v>66</v>
      </c>
      <c r="I486" s="111">
        <v>44368</v>
      </c>
      <c r="J486" s="48">
        <v>66</v>
      </c>
      <c r="K486" s="26">
        <v>1592437</v>
      </c>
      <c r="L486" s="26"/>
      <c r="M486" s="27">
        <v>302563.03000000003</v>
      </c>
      <c r="N486" s="28"/>
      <c r="O486" s="27">
        <v>0</v>
      </c>
      <c r="P486" s="28">
        <v>2.5000000000000001E-2</v>
      </c>
      <c r="Q486" s="27">
        <v>39810.925000000003</v>
      </c>
      <c r="R486" s="26">
        <v>1855189.105</v>
      </c>
      <c r="S486" s="115">
        <f ca="1">IF(PROVEEDORES[[#This Row],[FECHA DE PAGO]]=0,TODAY()-PROVEEDORES[[#This Row],[FECHA DE FACTURACIÓN]]-PROVEEDORES[[#This Row],[PLAZO Días]],0)</f>
        <v>0</v>
      </c>
      <c r="T48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7" spans="1:20" ht="21.9" customHeight="1" x14ac:dyDescent="0.3">
      <c r="A487" s="113" t="str">
        <f>+IF(PROVEEDORES[[#This Row],[FECHA DE PAGO]]=PROVEEDORES[[#This Row],[FECHA DE FACTURACIÓN]],"DE CONTADO","CRÉDITO")</f>
        <v>CRÉDITO</v>
      </c>
      <c r="B487" s="51" t="str">
        <f>+IF((PROVEEDORES[[#This Row],[FECHA DE PAGO]]-PROVEEDORES[[#This Row],[FECHA DE FACTURACIÓN]])&gt;PROVEEDORES[[#This Row],[PLAZO Días]],"PAGO VENCIDO")</f>
        <v>PAGO VENCIDO</v>
      </c>
      <c r="C487" s="25">
        <f>+VLOOKUP(PROVEEDORES[[#This Row],[PROVEEDOR]],TERCEROS_INFO[#All],2,FALSE)</f>
        <v>30</v>
      </c>
      <c r="D487" s="30">
        <f>+SUMIFS(PROVEEDORES[Total],PROVEEDORES[PROVEEDOR],PROVEEDORES[[#This Row],[PROVEEDOR]],PROVEEDORES[FECHA DE PAGO],"")</f>
        <v>0</v>
      </c>
      <c r="E487" s="30"/>
      <c r="F487" s="73" t="str">
        <f>+VLOOKUP(PROVEEDORES[[#This Row],[PROVEEDOR]],TERCEROS_INFO[[PROVEEDOR]:[CORREO]],5,FALSE)</f>
        <v>Fernando.Carmona@energizer.com;girlesa.ruiz@servipilas.com;joriescobar64@gmail.com</v>
      </c>
      <c r="G487" s="111">
        <v>44410</v>
      </c>
      <c r="H487" s="31" t="s">
        <v>47</v>
      </c>
      <c r="I487" s="111">
        <v>44368</v>
      </c>
      <c r="J487" s="48">
        <v>160217927</v>
      </c>
      <c r="K487" s="26">
        <v>2730150</v>
      </c>
      <c r="L487" s="26"/>
      <c r="M487" s="27">
        <v>518728.5</v>
      </c>
      <c r="N487" s="28"/>
      <c r="O487" s="27">
        <v>0</v>
      </c>
      <c r="P487" s="28">
        <v>0</v>
      </c>
      <c r="Q487" s="27">
        <v>0</v>
      </c>
      <c r="R487" s="26">
        <v>3248878.5</v>
      </c>
      <c r="S487" s="115">
        <f ca="1">IF(PROVEEDORES[[#This Row],[FECHA DE PAGO]]=0,TODAY()-PROVEEDORES[[#This Row],[FECHA DE FACTURACIÓN]]-PROVEEDORES[[#This Row],[PLAZO Días]],0)</f>
        <v>0</v>
      </c>
      <c r="T4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8" spans="1:20" ht="21.9" customHeight="1" x14ac:dyDescent="0.3">
      <c r="A488" s="113" t="str">
        <f>+IF(PROVEEDORES[[#This Row],[FECHA DE PAGO]]=PROVEEDORES[[#This Row],[FECHA DE FACTURACIÓN]],"DE CONTADO","CRÉDITO")</f>
        <v>CRÉDITO</v>
      </c>
      <c r="B488" s="51" t="str">
        <f>+IF((PROVEEDORES[[#This Row],[FECHA DE PAGO]]-PROVEEDORES[[#This Row],[FECHA DE FACTURACIÓN]])&gt;PROVEEDORES[[#This Row],[PLAZO Días]],"PAGO VENCIDO")</f>
        <v>PAGO VENCIDO</v>
      </c>
      <c r="C488" s="25">
        <f>+VLOOKUP(PROVEEDORES[[#This Row],[PROVEEDOR]],TERCEROS_INFO[#All],2,FALSE)</f>
        <v>30</v>
      </c>
      <c r="D488" s="30">
        <f>+SUMIFS(PROVEEDORES[Total],PROVEEDORES[PROVEEDOR],PROVEEDORES[[#This Row],[PROVEEDOR]],PROVEEDORES[FECHA DE PAGO],"")</f>
        <v>0</v>
      </c>
      <c r="E488" s="30"/>
      <c r="F488" s="73" t="str">
        <f>+VLOOKUP(PROVEEDORES[[#This Row],[PROVEEDOR]],TERCEROS_INFO[[PROVEEDOR]:[CORREO]],5,FALSE)</f>
        <v>propertymarketingsas@hotmail.com;girlesa.ruiz@servipilas.com;joriescobar64@gmail.com</v>
      </c>
      <c r="G488" s="111">
        <v>44432</v>
      </c>
      <c r="H488" s="31" t="s">
        <v>486</v>
      </c>
      <c r="I488" s="111">
        <v>44369</v>
      </c>
      <c r="J488" s="48" t="s">
        <v>746</v>
      </c>
      <c r="K488" s="26">
        <v>-1000000</v>
      </c>
      <c r="L488" s="26"/>
      <c r="M488" s="27">
        <v>0</v>
      </c>
      <c r="N488" s="28"/>
      <c r="O488" s="27">
        <v>0</v>
      </c>
      <c r="P488" s="28">
        <v>0</v>
      </c>
      <c r="Q488" s="27">
        <v>0</v>
      </c>
      <c r="R488" s="26">
        <v>-1000000</v>
      </c>
      <c r="S488" s="115">
        <f ca="1">IF(PROVEEDORES[[#This Row],[FECHA DE PAGO]]=0,TODAY()-PROVEEDORES[[#This Row],[FECHA DE FACTURACIÓN]]-PROVEEDORES[[#This Row],[PLAZO Días]],0)</f>
        <v>0</v>
      </c>
      <c r="T4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89" spans="1:20" ht="21.9" customHeight="1" x14ac:dyDescent="0.3">
      <c r="A489" s="113" t="str">
        <f>+IF(PROVEEDORES[[#This Row],[FECHA DE PAGO]]=PROVEEDORES[[#This Row],[FECHA DE FACTURACIÓN]],"DE CONTADO","CRÉDITO")</f>
        <v>CRÉDITO</v>
      </c>
      <c r="B489" s="51" t="str">
        <f>+IF((PROVEEDORES[[#This Row],[FECHA DE PAGO]]-PROVEEDORES[[#This Row],[FECHA DE FACTURACIÓN]])&gt;PROVEEDORES[[#This Row],[PLAZO Días]],"PAGO VENCIDO")</f>
        <v>PAGO VENCIDO</v>
      </c>
      <c r="C489" s="25">
        <f>+VLOOKUP(PROVEEDORES[[#This Row],[PROVEEDOR]],TERCEROS_INFO[#All],2,FALSE)</f>
        <v>30</v>
      </c>
      <c r="D489" s="30">
        <f>+SUMIFS(PROVEEDORES[Total],PROVEEDORES[PROVEEDOR],PROVEEDORES[[#This Row],[PROVEEDOR]],PROVEEDORES[FECHA DE PAGO],"")</f>
        <v>5060410.5999999996</v>
      </c>
      <c r="E489" s="30"/>
      <c r="F489" s="73" t="str">
        <f>+VLOOKUP(PROVEEDORES[[#This Row],[PROVEEDOR]],TERCEROS_INFO[[PROVEEDOR]:[CORREO]],5,FALSE)</f>
        <v>CBastidas@vyp.com.co;girlesa.ruiz@servipilas.com;joriescobar64@gmail.com</v>
      </c>
      <c r="G489" s="111">
        <v>44496</v>
      </c>
      <c r="H489" s="31" t="s">
        <v>347</v>
      </c>
      <c r="I489" s="111">
        <v>44369</v>
      </c>
      <c r="J489" s="48" t="s">
        <v>937</v>
      </c>
      <c r="K489" s="26">
        <v>-956801</v>
      </c>
      <c r="L489" s="26"/>
      <c r="M489" s="27">
        <v>0</v>
      </c>
      <c r="N489" s="28"/>
      <c r="O489" s="27">
        <v>0</v>
      </c>
      <c r="P489" s="28">
        <v>0</v>
      </c>
      <c r="Q489" s="27">
        <v>0</v>
      </c>
      <c r="R489" s="26">
        <v>-956801</v>
      </c>
      <c r="S489" s="115">
        <f ca="1">IF(PROVEEDORES[[#This Row],[FECHA DE PAGO]]=0,TODAY()-PROVEEDORES[[#This Row],[FECHA DE FACTURACIÓN]]-PROVEEDORES[[#This Row],[PLAZO Días]],0)</f>
        <v>0</v>
      </c>
      <c r="T4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0" spans="1:20" ht="21.9" customHeight="1" x14ac:dyDescent="0.3">
      <c r="A490" s="113" t="str">
        <f>+IF(PROVEEDORES[[#This Row],[FECHA DE PAGO]]=PROVEEDORES[[#This Row],[FECHA DE FACTURACIÓN]],"DE CONTADO","CRÉDITO")</f>
        <v>DE CONTADO</v>
      </c>
      <c r="B490" s="51" t="b">
        <f>+IF((PROVEEDORES[[#This Row],[FECHA DE PAGO]]-PROVEEDORES[[#This Row],[FECHA DE FACTURACIÓN]])&gt;PROVEEDORES[[#This Row],[PLAZO Días]],"PAGO VENCIDO")</f>
        <v>0</v>
      </c>
      <c r="C490" s="25">
        <f>+VLOOKUP(PROVEEDORES[[#This Row],[PROVEEDOR]],TERCEROS_INFO[#All],2,FALSE)</f>
        <v>30</v>
      </c>
      <c r="D490" s="30">
        <f>+SUMIFS(PROVEEDORES[Total],PROVEEDORES[PROVEEDOR],PROVEEDORES[[#This Row],[PROVEEDOR]],PROVEEDORES[FECHA DE PAGO],"")</f>
        <v>195500</v>
      </c>
      <c r="E490" s="30"/>
      <c r="F490" s="73" t="str">
        <f>+VLOOKUP(PROVEEDORES[[#This Row],[PROVEEDOR]],TERCEROS_INFO[[PROVEEDOR]:[CORREO]],5,FALSE)</f>
        <v/>
      </c>
      <c r="G490" s="111">
        <v>44369</v>
      </c>
      <c r="H490" s="31" t="s">
        <v>1053</v>
      </c>
      <c r="I490" s="111">
        <v>44369</v>
      </c>
      <c r="J490" s="48"/>
      <c r="K490" s="26">
        <v>74500</v>
      </c>
      <c r="L490" s="26"/>
      <c r="M490" s="27">
        <v>0</v>
      </c>
      <c r="N490" s="28"/>
      <c r="O490" s="27">
        <v>0</v>
      </c>
      <c r="P490" s="28">
        <v>0</v>
      </c>
      <c r="Q490" s="27">
        <v>0</v>
      </c>
      <c r="R490" s="26">
        <v>74500</v>
      </c>
      <c r="S490" s="115">
        <f ca="1">IF(PROVEEDORES[[#This Row],[FECHA DE PAGO]]=0,TODAY()-PROVEEDORES[[#This Row],[FECHA DE FACTURACIÓN]]-PROVEEDORES[[#This Row],[PLAZO Días]],0)</f>
        <v>0</v>
      </c>
      <c r="T4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1" spans="1:20" ht="21.9" customHeight="1" x14ac:dyDescent="0.3">
      <c r="A491" s="113" t="str">
        <f>+IF(PROVEEDORES[[#This Row],[FECHA DE PAGO]]=PROVEEDORES[[#This Row],[FECHA DE FACTURACIÓN]],"DE CONTADO","CRÉDITO")</f>
        <v>CRÉDITO</v>
      </c>
      <c r="B491" s="51" t="str">
        <f>+IF((PROVEEDORES[[#This Row],[FECHA DE PAGO]]-PROVEEDORES[[#This Row],[FECHA DE FACTURACIÓN]])&gt;PROVEEDORES[[#This Row],[PLAZO Días]],"PAGO VENCIDO")</f>
        <v>PAGO VENCIDO</v>
      </c>
      <c r="C491" s="25">
        <f>+VLOOKUP(PROVEEDORES[[#This Row],[PROVEEDOR]],TERCEROS_INFO[#All],2,FALSE)</f>
        <v>30</v>
      </c>
      <c r="D491" s="30">
        <f>+SUMIFS(PROVEEDORES[Total],PROVEEDORES[PROVEEDOR],PROVEEDORES[[#This Row],[PROVEEDOR]],PROVEEDORES[FECHA DE PAGO],"")</f>
        <v>452687.9</v>
      </c>
      <c r="E491" s="30"/>
      <c r="F491" s="73" t="str">
        <f>+VLOOKUP(PROVEEDORES[[#This Row],[PROVEEDOR]],TERCEROS_INFO[[PROVEEDOR]:[CORREO]],5,FALSE)</f>
        <v>soluenergiacentro@une.net.co;girlesa.ruiz@servipilas.com;joriescobar64@gmail.com</v>
      </c>
      <c r="G491" s="111">
        <v>44414</v>
      </c>
      <c r="H491" s="31" t="s">
        <v>39</v>
      </c>
      <c r="I491" s="111">
        <v>44369</v>
      </c>
      <c r="J491" s="48">
        <v>610</v>
      </c>
      <c r="K491" s="26">
        <v>522400</v>
      </c>
      <c r="L491" s="26"/>
      <c r="M491" s="27">
        <v>99256</v>
      </c>
      <c r="N491" s="28"/>
      <c r="O491" s="27">
        <v>0</v>
      </c>
      <c r="P491" s="28">
        <v>0</v>
      </c>
      <c r="Q491" s="27">
        <v>0</v>
      </c>
      <c r="R491" s="26">
        <v>621656</v>
      </c>
      <c r="S491" s="115">
        <f ca="1">IF(PROVEEDORES[[#This Row],[FECHA DE PAGO]]=0,TODAY()-PROVEEDORES[[#This Row],[FECHA DE FACTURACIÓN]]-PROVEEDORES[[#This Row],[PLAZO Días]],0)</f>
        <v>0</v>
      </c>
      <c r="T4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2" spans="1:20" ht="21.9" customHeight="1" x14ac:dyDescent="0.3">
      <c r="A492" s="113" t="str">
        <f>+IF(PROVEEDORES[[#This Row],[FECHA DE PAGO]]=PROVEEDORES[[#This Row],[FECHA DE FACTURACIÓN]],"DE CONTADO","CRÉDITO")</f>
        <v>DE CONTADO</v>
      </c>
      <c r="B492" s="51" t="b">
        <f>+IF((PROVEEDORES[[#This Row],[FECHA DE PAGO]]-PROVEEDORES[[#This Row],[FECHA DE FACTURACIÓN]])&gt;PROVEEDORES[[#This Row],[PLAZO Días]],"PAGO VENCIDO")</f>
        <v>0</v>
      </c>
      <c r="C492" s="25">
        <f>+VLOOKUP(PROVEEDORES[[#This Row],[PROVEEDOR]],TERCEROS_INFO[#All],2,FALSE)</f>
        <v>30</v>
      </c>
      <c r="D492" s="30">
        <f>+SUMIFS(PROVEEDORES[Total],PROVEEDORES[PROVEEDOR],PROVEEDORES[[#This Row],[PROVEEDOR]],PROVEEDORES[FECHA DE PAGO],"")</f>
        <v>195500</v>
      </c>
      <c r="E492" s="30"/>
      <c r="F492" s="73" t="str">
        <f>+VLOOKUP(PROVEEDORES[[#This Row],[PROVEEDOR]],TERCEROS_INFO[[PROVEEDOR]:[CORREO]],5,FALSE)</f>
        <v/>
      </c>
      <c r="G492" s="111">
        <v>44369</v>
      </c>
      <c r="H492" s="31" t="s">
        <v>1053</v>
      </c>
      <c r="I492" s="111">
        <v>44369</v>
      </c>
      <c r="J492" s="48"/>
      <c r="K492" s="26">
        <v>775866</v>
      </c>
      <c r="L492" s="26"/>
      <c r="M492" s="27">
        <v>0</v>
      </c>
      <c r="N492" s="28"/>
      <c r="O492" s="27">
        <v>0</v>
      </c>
      <c r="P492" s="28">
        <v>0</v>
      </c>
      <c r="Q492" s="27">
        <v>0</v>
      </c>
      <c r="R492" s="26">
        <v>775866</v>
      </c>
      <c r="S492" s="115">
        <f ca="1">IF(PROVEEDORES[[#This Row],[FECHA DE PAGO]]=0,TODAY()-PROVEEDORES[[#This Row],[FECHA DE FACTURACIÓN]]-PROVEEDORES[[#This Row],[PLAZO Días]],0)</f>
        <v>0</v>
      </c>
      <c r="T4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3" spans="1:20" ht="21.9" customHeight="1" x14ac:dyDescent="0.3">
      <c r="A493" s="113" t="str">
        <f>+IF(PROVEEDORES[[#This Row],[FECHA DE PAGO]]=PROVEEDORES[[#This Row],[FECHA DE FACTURACIÓN]],"DE CONTADO","CRÉDITO")</f>
        <v>CRÉDITO</v>
      </c>
      <c r="B493" s="51" t="str">
        <f>+IF((PROVEEDORES[[#This Row],[FECHA DE PAGO]]-PROVEEDORES[[#This Row],[FECHA DE FACTURACIÓN]])&gt;PROVEEDORES[[#This Row],[PLAZO Días]],"PAGO VENCIDO")</f>
        <v>PAGO VENCIDO</v>
      </c>
      <c r="C493" s="25">
        <f>+VLOOKUP(PROVEEDORES[[#This Row],[PROVEEDOR]],TERCEROS_INFO[#All],2,FALSE)</f>
        <v>30</v>
      </c>
      <c r="D493" s="30">
        <f>+SUMIFS(PROVEEDORES[Total],PROVEEDORES[PROVEEDOR],PROVEEDORES[[#This Row],[PROVEEDOR]],PROVEEDORES[FECHA DE PAGO],"")</f>
        <v>0</v>
      </c>
      <c r="E493" s="30"/>
      <c r="F493" s="73" t="str">
        <f>+VLOOKUP(PROVEEDORES[[#This Row],[PROVEEDOR]],TERCEROS_INFO[[PROVEEDOR]:[CORREO]],5,FALSE)</f>
        <v/>
      </c>
      <c r="G493" s="111">
        <v>44433</v>
      </c>
      <c r="H493" s="31" t="s">
        <v>989</v>
      </c>
      <c r="I493" s="111">
        <v>44369</v>
      </c>
      <c r="J493" s="48" t="s">
        <v>744</v>
      </c>
      <c r="K493" s="26">
        <v>1563400</v>
      </c>
      <c r="L493" s="26"/>
      <c r="M493" s="27">
        <v>0</v>
      </c>
      <c r="N493" s="28"/>
      <c r="O493" s="27">
        <v>0</v>
      </c>
      <c r="P493" s="28">
        <v>0</v>
      </c>
      <c r="Q493" s="27">
        <v>0</v>
      </c>
      <c r="R493" s="26">
        <v>1563400</v>
      </c>
      <c r="S493" s="115">
        <f ca="1">IF(PROVEEDORES[[#This Row],[FECHA DE PAGO]]=0,TODAY()-PROVEEDORES[[#This Row],[FECHA DE FACTURACIÓN]]-PROVEEDORES[[#This Row],[PLAZO Días]],0)</f>
        <v>0</v>
      </c>
      <c r="T4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4" spans="1:20" ht="21.9" customHeight="1" x14ac:dyDescent="0.3">
      <c r="A494" s="113" t="str">
        <f>+IF(PROVEEDORES[[#This Row],[FECHA DE PAGO]]=PROVEEDORES[[#This Row],[FECHA DE FACTURACIÓN]],"DE CONTADO","CRÉDITO")</f>
        <v>CRÉDITO</v>
      </c>
      <c r="B494" s="51" t="b">
        <f>+IF((PROVEEDORES[[#This Row],[FECHA DE PAGO]]-PROVEEDORES[[#This Row],[FECHA DE FACTURACIÓN]])&gt;PROVEEDORES[[#This Row],[PLAZO Días]],"PAGO VENCIDO")</f>
        <v>0</v>
      </c>
      <c r="C494" s="25">
        <f>+VLOOKUP(PROVEEDORES[[#This Row],[PROVEEDOR]],TERCEROS_INFO[#All],2,FALSE)</f>
        <v>30</v>
      </c>
      <c r="D494" s="30">
        <f>+SUMIFS(PROVEEDORES[Total],PROVEEDORES[PROVEEDOR],PROVEEDORES[[#This Row],[PROVEEDOR]],PROVEEDORES[FECHA DE PAGO],"")</f>
        <v>0</v>
      </c>
      <c r="E494" s="30"/>
      <c r="F494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494" s="111">
        <v>44377</v>
      </c>
      <c r="H494" s="31" t="s">
        <v>514</v>
      </c>
      <c r="I494" s="111">
        <v>44369</v>
      </c>
      <c r="J494" s="48" t="s">
        <v>491</v>
      </c>
      <c r="K494" s="26">
        <v>2888005</v>
      </c>
      <c r="L494" s="26"/>
      <c r="M494" s="27">
        <v>548720.94999999995</v>
      </c>
      <c r="N494" s="28"/>
      <c r="O494" s="27">
        <v>0</v>
      </c>
      <c r="P494" s="28">
        <v>0</v>
      </c>
      <c r="Q494" s="27">
        <v>0</v>
      </c>
      <c r="R494" s="26">
        <v>3436725.95</v>
      </c>
      <c r="S494" s="115">
        <f ca="1">IF(PROVEEDORES[[#This Row],[FECHA DE PAGO]]=0,TODAY()-PROVEEDORES[[#This Row],[FECHA DE FACTURACIÓN]]-PROVEEDORES[[#This Row],[PLAZO Días]],0)</f>
        <v>0</v>
      </c>
      <c r="T4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5" spans="1:20" ht="21.9" customHeight="1" x14ac:dyDescent="0.3">
      <c r="A495" s="113" t="str">
        <f>+IF(PROVEEDORES[[#This Row],[FECHA DE PAGO]]=PROVEEDORES[[#This Row],[FECHA DE FACTURACIÓN]],"DE CONTADO","CRÉDITO")</f>
        <v>CRÉDITO</v>
      </c>
      <c r="B495" s="51" t="str">
        <f>+IF((PROVEEDORES[[#This Row],[FECHA DE PAGO]]-PROVEEDORES[[#This Row],[FECHA DE FACTURACIÓN]])&gt;PROVEEDORES[[#This Row],[PLAZO Días]],"PAGO VENCIDO")</f>
        <v>PAGO VENCIDO</v>
      </c>
      <c r="C495" s="25">
        <f>+VLOOKUP(PROVEEDORES[[#This Row],[PROVEEDOR]],TERCEROS_INFO[#All],2,FALSE)</f>
        <v>30</v>
      </c>
      <c r="D495" s="30">
        <f>+SUMIFS(PROVEEDORES[Total],PROVEEDORES[PROVEEDOR],PROVEEDORES[[#This Row],[PROVEEDOR]],PROVEEDORES[FECHA DE PAGO],"")</f>
        <v>7458000</v>
      </c>
      <c r="E495" s="30"/>
      <c r="F495" s="73" t="str">
        <f>+VLOOKUP(PROVEEDORES[[#This Row],[PROVEEDOR]],TERCEROS_INFO[[PROVEEDOR]:[CORREO]],5,FALSE)</f>
        <v/>
      </c>
      <c r="G495" s="111">
        <v>44418</v>
      </c>
      <c r="H495" s="31" t="s">
        <v>1049</v>
      </c>
      <c r="I495" s="111">
        <v>44369</v>
      </c>
      <c r="J495" s="48" t="s">
        <v>745</v>
      </c>
      <c r="K495" s="26">
        <v>3400000</v>
      </c>
      <c r="L495" s="26"/>
      <c r="M495" s="27">
        <v>0</v>
      </c>
      <c r="N495" s="28"/>
      <c r="O495" s="27">
        <v>0</v>
      </c>
      <c r="P495" s="28">
        <v>0</v>
      </c>
      <c r="Q495" s="27">
        <v>0</v>
      </c>
      <c r="R495" s="26">
        <v>3400000</v>
      </c>
      <c r="S495" s="115">
        <f ca="1">IF(PROVEEDORES[[#This Row],[FECHA DE PAGO]]=0,TODAY()-PROVEEDORES[[#This Row],[FECHA DE FACTURACIÓN]]-PROVEEDORES[[#This Row],[PLAZO Días]],0)</f>
        <v>0</v>
      </c>
      <c r="T4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6" spans="1:20" ht="21.9" customHeight="1" x14ac:dyDescent="0.3">
      <c r="A496" s="113" t="str">
        <f>+IF(PROVEEDORES[[#This Row],[FECHA DE PAGO]]=PROVEEDORES[[#This Row],[FECHA DE FACTURACIÓN]],"DE CONTADO","CRÉDITO")</f>
        <v>CRÉDITO</v>
      </c>
      <c r="B496" s="51" t="str">
        <f>+IF((PROVEEDORES[[#This Row],[FECHA DE PAGO]]-PROVEEDORES[[#This Row],[FECHA DE FACTURACIÓN]])&gt;PROVEEDORES[[#This Row],[PLAZO Días]],"PAGO VENCIDO")</f>
        <v>PAGO VENCIDO</v>
      </c>
      <c r="C496" s="25">
        <f>+VLOOKUP(PROVEEDORES[[#This Row],[PROVEEDOR]],TERCEROS_INFO[#All],2,FALSE)</f>
        <v>45</v>
      </c>
      <c r="D496" s="30">
        <f>+SUMIFS(PROVEEDORES[Total],PROVEEDORES[PROVEEDOR],PROVEEDORES[[#This Row],[PROVEEDOR]],PROVEEDORES[FECHA DE PAGO],"")</f>
        <v>1070024.2</v>
      </c>
      <c r="E496" s="30"/>
      <c r="F496" s="73" t="str">
        <f>+VLOOKUP(PROVEEDORES[[#This Row],[PROVEEDOR]],TERCEROS_INFO[[PROVEEDOR]:[CORREO]],5,FALSE)</f>
        <v>libardopineda@tronex.com;girlesa.ruiz@servipilas.com;joriescobar64@gmail.com</v>
      </c>
      <c r="G496" s="111">
        <v>44427</v>
      </c>
      <c r="H496" s="31" t="s">
        <v>10</v>
      </c>
      <c r="I496" s="111">
        <v>44370</v>
      </c>
      <c r="J496" s="48" t="s">
        <v>409</v>
      </c>
      <c r="K496" s="26">
        <v>442000</v>
      </c>
      <c r="L496" s="26"/>
      <c r="M496" s="27">
        <v>83980</v>
      </c>
      <c r="N496" s="28"/>
      <c r="O496" s="27">
        <v>0</v>
      </c>
      <c r="P496" s="28">
        <v>0</v>
      </c>
      <c r="Q496" s="27">
        <v>0</v>
      </c>
      <c r="R496" s="26">
        <v>0</v>
      </c>
      <c r="S496" s="115">
        <f ca="1">IF(PROVEEDORES[[#This Row],[FECHA DE PAGO]]=0,TODAY()-PROVEEDORES[[#This Row],[FECHA DE FACTURACIÓN]]-PROVEEDORES[[#This Row],[PLAZO Días]],0)</f>
        <v>0</v>
      </c>
      <c r="T49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7" spans="1:20" ht="21.9" customHeight="1" x14ac:dyDescent="0.3">
      <c r="A497" s="113" t="str">
        <f>+IF(PROVEEDORES[[#This Row],[FECHA DE PAGO]]=PROVEEDORES[[#This Row],[FECHA DE FACTURACIÓN]],"DE CONTADO","CRÉDITO")</f>
        <v>DE CONTADO</v>
      </c>
      <c r="B497" s="51" t="b">
        <f>+IF((PROVEEDORES[[#This Row],[FECHA DE PAGO]]-PROVEEDORES[[#This Row],[FECHA DE FACTURACIÓN]])&gt;PROVEEDORES[[#This Row],[PLAZO Días]],"PAGO VENCIDO")</f>
        <v>0</v>
      </c>
      <c r="C497" s="25">
        <f>+VLOOKUP(PROVEEDORES[[#This Row],[PROVEEDOR]],TERCEROS_INFO[#All],2,FALSE)</f>
        <v>30</v>
      </c>
      <c r="D497" s="30">
        <f>+SUMIFS(PROVEEDORES[Total],PROVEEDORES[PROVEEDOR],PROVEEDORES[[#This Row],[PROVEEDOR]],PROVEEDORES[FECHA DE PAGO],"")</f>
        <v>0</v>
      </c>
      <c r="E497" s="30"/>
      <c r="F497" s="73" t="str">
        <f>+VLOOKUP(PROVEEDORES[[#This Row],[PROVEEDOR]],TERCEROS_INFO[[PROVEEDOR]:[CORREO]],5,FALSE)</f>
        <v/>
      </c>
      <c r="G497" s="111">
        <v>44370</v>
      </c>
      <c r="H497" s="31" t="s">
        <v>1052</v>
      </c>
      <c r="I497" s="111">
        <v>44370</v>
      </c>
      <c r="J497" s="48"/>
      <c r="K497" s="26">
        <v>1000000</v>
      </c>
      <c r="L497" s="26"/>
      <c r="M497" s="27">
        <v>0</v>
      </c>
      <c r="N497" s="28"/>
      <c r="O497" s="27">
        <v>0</v>
      </c>
      <c r="P497" s="28">
        <v>0</v>
      </c>
      <c r="Q497" s="27">
        <v>0</v>
      </c>
      <c r="R497" s="26">
        <v>1000000</v>
      </c>
      <c r="S497" s="115">
        <f ca="1">IF(PROVEEDORES[[#This Row],[FECHA DE PAGO]]=0,TODAY()-PROVEEDORES[[#This Row],[FECHA DE FACTURACIÓN]]-PROVEEDORES[[#This Row],[PLAZO Días]],0)</f>
        <v>0</v>
      </c>
      <c r="T49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8" spans="1:20" ht="21.9" customHeight="1" x14ac:dyDescent="0.3">
      <c r="A498" s="113" t="str">
        <f>+IF(PROVEEDORES[[#This Row],[FECHA DE PAGO]]=PROVEEDORES[[#This Row],[FECHA DE FACTURACIÓN]],"DE CONTADO","CRÉDITO")</f>
        <v>CRÉDITO</v>
      </c>
      <c r="B498" s="51" t="b">
        <f>+IF((PROVEEDORES[[#This Row],[FECHA DE PAGO]]-PROVEEDORES[[#This Row],[FECHA DE FACTURACIÓN]])&gt;PROVEEDORES[[#This Row],[PLAZO Días]],"PAGO VENCIDO")</f>
        <v>0</v>
      </c>
      <c r="C498" s="25">
        <f>+VLOOKUP(PROVEEDORES[[#This Row],[PROVEEDOR]],TERCEROS_INFO[#All],2,FALSE)</f>
        <v>30</v>
      </c>
      <c r="D498" s="30">
        <f>+SUMIFS(PROVEEDORES[Total],PROVEEDORES[PROVEEDOR],PROVEEDORES[[#This Row],[PROVEEDOR]],PROVEEDORES[FECHA DE PAGO],"")</f>
        <v>0</v>
      </c>
      <c r="E498" s="30"/>
      <c r="F498" s="73" t="str">
        <f>+VLOOKUP(PROVEEDORES[[#This Row],[PROVEEDOR]],TERCEROS_INFO[[PROVEEDOR]:[CORREO]],5,FALSE)</f>
        <v>cxc11@unitecusa.com.co;jefecartera@unitecusa.com.co;girlesa.ruiz@servipilas.com;joriescobar64@gmail.com</v>
      </c>
      <c r="G498" s="111">
        <v>44389</v>
      </c>
      <c r="H498" s="31" t="s">
        <v>14</v>
      </c>
      <c r="I498" s="111">
        <v>44370</v>
      </c>
      <c r="J498" s="48" t="s">
        <v>406</v>
      </c>
      <c r="K498" s="26">
        <v>1237353</v>
      </c>
      <c r="L498" s="26"/>
      <c r="M498" s="27">
        <v>235097.07</v>
      </c>
      <c r="N498" s="28"/>
      <c r="O498" s="27">
        <v>0</v>
      </c>
      <c r="P498" s="28">
        <v>2.5000000000000001E-2</v>
      </c>
      <c r="Q498" s="27">
        <v>30933.825000000001</v>
      </c>
      <c r="R498" s="26">
        <v>1441516.2450000001</v>
      </c>
      <c r="S498" s="115">
        <f ca="1">IF(PROVEEDORES[[#This Row],[FECHA DE PAGO]]=0,TODAY()-PROVEEDORES[[#This Row],[FECHA DE FACTURACIÓN]]-PROVEEDORES[[#This Row],[PLAZO Días]],0)</f>
        <v>0</v>
      </c>
      <c r="T4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499" spans="1:20" ht="21.9" customHeight="1" x14ac:dyDescent="0.3">
      <c r="A499" s="113" t="str">
        <f>+IF(PROVEEDORES[[#This Row],[FECHA DE PAGO]]=PROVEEDORES[[#This Row],[FECHA DE FACTURACIÓN]],"DE CONTADO","CRÉDITO")</f>
        <v>DE CONTADO</v>
      </c>
      <c r="B499" s="51" t="b">
        <f>+IF((PROVEEDORES[[#This Row],[FECHA DE PAGO]]-PROVEEDORES[[#This Row],[FECHA DE FACTURACIÓN]])&gt;PROVEEDORES[[#This Row],[PLAZO Días]],"PAGO VENCIDO")</f>
        <v>0</v>
      </c>
      <c r="C499" s="25">
        <f>+VLOOKUP(PROVEEDORES[[#This Row],[PROVEEDOR]],TERCEROS_INFO[#All],2,FALSE)</f>
        <v>30</v>
      </c>
      <c r="D499" s="30">
        <f>+SUMIFS(PROVEEDORES[Total],PROVEEDORES[PROVEEDOR],PROVEEDORES[[#This Row],[PROVEEDOR]],PROVEEDORES[FECHA DE PAGO],"")</f>
        <v>0</v>
      </c>
      <c r="E499" s="30"/>
      <c r="F499" s="73" t="str">
        <f>+VLOOKUP(PROVEEDORES[[#This Row],[PROVEEDOR]],TERCEROS_INFO[[PROVEEDOR]:[CORREO]],5,FALSE)</f>
        <v/>
      </c>
      <c r="G499" s="111">
        <v>44370</v>
      </c>
      <c r="H499" s="31" t="s">
        <v>1007</v>
      </c>
      <c r="I499" s="111">
        <v>44370</v>
      </c>
      <c r="J499" s="48" t="s">
        <v>747</v>
      </c>
      <c r="K499" s="26">
        <v>3057000</v>
      </c>
      <c r="L499" s="26"/>
      <c r="M499" s="27">
        <v>0</v>
      </c>
      <c r="N499" s="28"/>
      <c r="O499" s="27">
        <v>0</v>
      </c>
      <c r="P499" s="28">
        <v>0</v>
      </c>
      <c r="Q499" s="27">
        <v>0</v>
      </c>
      <c r="R499" s="26">
        <v>3057000</v>
      </c>
      <c r="S499" s="115">
        <f ca="1">IF(PROVEEDORES[[#This Row],[FECHA DE PAGO]]=0,TODAY()-PROVEEDORES[[#This Row],[FECHA DE FACTURACIÓN]]-PROVEEDORES[[#This Row],[PLAZO Días]],0)</f>
        <v>0</v>
      </c>
      <c r="T4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0" spans="1:20" ht="21.9" customHeight="1" x14ac:dyDescent="0.3">
      <c r="A500" s="113" t="str">
        <f>+IF(PROVEEDORES[[#This Row],[FECHA DE PAGO]]=PROVEEDORES[[#This Row],[FECHA DE FACTURACIÓN]],"DE CONTADO","CRÉDITO")</f>
        <v>CRÉDITO</v>
      </c>
      <c r="B500" s="51" t="b">
        <f>+IF((PROVEEDORES[[#This Row],[FECHA DE PAGO]]-PROVEEDORES[[#This Row],[FECHA DE FACTURACIÓN]])&gt;PROVEEDORES[[#This Row],[PLAZO Días]],"PAGO VENCIDO")</f>
        <v>0</v>
      </c>
      <c r="C500" s="25">
        <f>+VLOOKUP(PROVEEDORES[[#This Row],[PROVEEDOR]],TERCEROS_INFO[#All],2,FALSE)</f>
        <v>30</v>
      </c>
      <c r="D500" s="30">
        <f>+SUMIFS(PROVEEDORES[Total],PROVEEDORES[PROVEEDOR],PROVEEDORES[[#This Row],[PROVEEDOR]],PROVEEDORES[FECHA DE PAGO],"")</f>
        <v>264406</v>
      </c>
      <c r="E500" s="30"/>
      <c r="F500" s="73" t="str">
        <f>+VLOOKUP(PROVEEDORES[[#This Row],[PROVEEDOR]],TERCEROS_INFO[[PROVEEDOR]:[CORREO]],5,FALSE)</f>
        <v>oswaldo.alvarez@logimexsas.com;girlesa.ruiz@servipilas.com;joriescobar64@gmail.com</v>
      </c>
      <c r="G500" s="111">
        <v>44376</v>
      </c>
      <c r="H500" s="31" t="s">
        <v>393</v>
      </c>
      <c r="I500" s="111">
        <v>44371</v>
      </c>
      <c r="J500" s="48" t="s">
        <v>413</v>
      </c>
      <c r="K500" s="26">
        <v>5288</v>
      </c>
      <c r="L500" s="26"/>
      <c r="M500" s="27">
        <v>0</v>
      </c>
      <c r="N500" s="28"/>
      <c r="O500" s="27">
        <v>0</v>
      </c>
      <c r="P500" s="28">
        <v>0</v>
      </c>
      <c r="Q500" s="27">
        <v>0</v>
      </c>
      <c r="R500" s="26">
        <v>5288</v>
      </c>
      <c r="S500" s="115">
        <f ca="1">IF(PROVEEDORES[[#This Row],[FECHA DE PAGO]]=0,TODAY()-PROVEEDORES[[#This Row],[FECHA DE FACTURACIÓN]]-PROVEEDORES[[#This Row],[PLAZO Días]],0)</f>
        <v>0</v>
      </c>
      <c r="T50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1" spans="1:20" ht="21.9" customHeight="1" x14ac:dyDescent="0.3">
      <c r="A501" s="113" t="str">
        <f>+IF(PROVEEDORES[[#This Row],[FECHA DE PAGO]]=PROVEEDORES[[#This Row],[FECHA DE FACTURACIÓN]],"DE CONTADO","CRÉDITO")</f>
        <v>CRÉDITO</v>
      </c>
      <c r="B501" s="51" t="str">
        <f>+IF((PROVEEDORES[[#This Row],[FECHA DE PAGO]]-PROVEEDORES[[#This Row],[FECHA DE FACTURACIÓN]])&gt;PROVEEDORES[[#This Row],[PLAZO Días]],"PAGO VENCIDO")</f>
        <v>PAGO VENCIDO</v>
      </c>
      <c r="C501" s="25">
        <f>+VLOOKUP(PROVEEDORES[[#This Row],[PROVEEDOR]],TERCEROS_INFO[#All],2,FALSE)</f>
        <v>30</v>
      </c>
      <c r="D501" s="30">
        <f>+SUMIFS(PROVEEDORES[Total],PROVEEDORES[PROVEEDOR],PROVEEDORES[[#This Row],[PROVEEDOR]],PROVEEDORES[FECHA DE PAGO],"")</f>
        <v>0</v>
      </c>
      <c r="E501" s="30"/>
      <c r="F501" s="73" t="str">
        <f>+VLOOKUP(PROVEEDORES[[#This Row],[PROVEEDOR]],TERCEROS_INFO[[PROVEEDOR]:[CORREO]],5,FALSE)</f>
        <v/>
      </c>
      <c r="G501" s="111">
        <v>44418</v>
      </c>
      <c r="H501" s="31" t="s">
        <v>1042</v>
      </c>
      <c r="I501" s="111">
        <v>44371</v>
      </c>
      <c r="J501" s="48" t="s">
        <v>748</v>
      </c>
      <c r="K501" s="26">
        <v>473000</v>
      </c>
      <c r="L501" s="26"/>
      <c r="M501" s="27">
        <v>0</v>
      </c>
      <c r="N501" s="28"/>
      <c r="O501" s="27">
        <v>0</v>
      </c>
      <c r="P501" s="28">
        <v>0</v>
      </c>
      <c r="Q501" s="27">
        <v>0</v>
      </c>
      <c r="R501" s="26">
        <v>473000</v>
      </c>
      <c r="S501" s="115">
        <f ca="1">IF(PROVEEDORES[[#This Row],[FECHA DE PAGO]]=0,TODAY()-PROVEEDORES[[#This Row],[FECHA DE FACTURACIÓN]]-PROVEEDORES[[#This Row],[PLAZO Días]],0)</f>
        <v>0</v>
      </c>
      <c r="T5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2" spans="1:20" ht="21.9" customHeight="1" x14ac:dyDescent="0.3">
      <c r="A502" s="113" t="str">
        <f>+IF(PROVEEDORES[[#This Row],[FECHA DE PAGO]]=PROVEEDORES[[#This Row],[FECHA DE FACTURACIÓN]],"DE CONTADO","CRÉDITO")</f>
        <v>CRÉDITO</v>
      </c>
      <c r="B502" s="51" t="str">
        <f>+IF((PROVEEDORES[[#This Row],[FECHA DE PAGO]]-PROVEEDORES[[#This Row],[FECHA DE FACTURACIÓN]])&gt;PROVEEDORES[[#This Row],[PLAZO Días]],"PAGO VENCIDO")</f>
        <v>PAGO VENCIDO</v>
      </c>
      <c r="C502" s="25">
        <f>+VLOOKUP(PROVEEDORES[[#This Row],[PROVEEDOR]],TERCEROS_INFO[#All],2,FALSE)</f>
        <v>45</v>
      </c>
      <c r="D502" s="30">
        <f>+SUMIFS(PROVEEDORES[Total],PROVEEDORES[PROVEEDOR],PROVEEDORES[[#This Row],[PROVEEDOR]],PROVEEDORES[FECHA DE PAGO],"")</f>
        <v>1070024.2</v>
      </c>
      <c r="E502" s="30"/>
      <c r="F502" s="73" t="str">
        <f>+VLOOKUP(PROVEEDORES[[#This Row],[PROVEEDOR]],TERCEROS_INFO[[PROVEEDOR]:[CORREO]],5,FALSE)</f>
        <v>libardopineda@tronex.com;girlesa.ruiz@servipilas.com;joriescobar64@gmail.com</v>
      </c>
      <c r="G502" s="111">
        <v>44427</v>
      </c>
      <c r="H502" s="31" t="s">
        <v>10</v>
      </c>
      <c r="I502" s="111">
        <v>44371</v>
      </c>
      <c r="J502" s="48" t="s">
        <v>408</v>
      </c>
      <c r="K502" s="26">
        <v>1980000</v>
      </c>
      <c r="L502" s="26"/>
      <c r="M502" s="27">
        <v>376200</v>
      </c>
      <c r="N502" s="28"/>
      <c r="O502" s="27">
        <v>0</v>
      </c>
      <c r="P502" s="28">
        <v>0</v>
      </c>
      <c r="Q502" s="27">
        <v>0</v>
      </c>
      <c r="R502" s="26">
        <v>2356200</v>
      </c>
      <c r="S502" s="115">
        <f ca="1">IF(PROVEEDORES[[#This Row],[FECHA DE PAGO]]=0,TODAY()-PROVEEDORES[[#This Row],[FECHA DE FACTURACIÓN]]-PROVEEDORES[[#This Row],[PLAZO Días]],0)</f>
        <v>0</v>
      </c>
      <c r="T5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3" spans="1:20" ht="21.9" customHeight="1" x14ac:dyDescent="0.3">
      <c r="A503" s="113" t="str">
        <f>+IF(PROVEEDORES[[#This Row],[FECHA DE PAGO]]=PROVEEDORES[[#This Row],[FECHA DE FACTURACIÓN]],"DE CONTADO","CRÉDITO")</f>
        <v>CRÉDITO</v>
      </c>
      <c r="B503" s="51" t="str">
        <f>+IF((PROVEEDORES[[#This Row],[FECHA DE PAGO]]-PROVEEDORES[[#This Row],[FECHA DE FACTURACIÓN]])&gt;PROVEEDORES[[#This Row],[PLAZO Días]],"PAGO VENCIDO")</f>
        <v>PAGO VENCIDO</v>
      </c>
      <c r="C503" s="25">
        <f>+VLOOKUP(PROVEEDORES[[#This Row],[PROVEEDOR]],TERCEROS_INFO[#All],2,FALSE)</f>
        <v>30</v>
      </c>
      <c r="D503" s="30">
        <f>+SUMIFS(PROVEEDORES[Total],PROVEEDORES[PROVEEDOR],PROVEEDORES[[#This Row],[PROVEEDOR]],PROVEEDORES[FECHA DE PAGO],"")</f>
        <v>0</v>
      </c>
      <c r="E503" s="30"/>
      <c r="F503" s="73" t="str">
        <f>+VLOOKUP(PROVEEDORES[[#This Row],[PROVEEDOR]],TERCEROS_INFO[[PROVEEDOR]:[CORREO]],5,FALSE)</f>
        <v>Fernando.Carmona@energizer.com;girlesa.ruiz@servipilas.com;joriescobar64@gmail.com</v>
      </c>
      <c r="G503" s="111">
        <v>44432</v>
      </c>
      <c r="H503" s="31" t="s">
        <v>47</v>
      </c>
      <c r="I503" s="111">
        <v>44371</v>
      </c>
      <c r="J503" s="48">
        <v>160218083</v>
      </c>
      <c r="K503" s="26">
        <v>5978400</v>
      </c>
      <c r="L503" s="26"/>
      <c r="M503" s="27">
        <v>1135896</v>
      </c>
      <c r="N503" s="28"/>
      <c r="O503" s="27">
        <v>0</v>
      </c>
      <c r="P503" s="28">
        <v>0</v>
      </c>
      <c r="Q503" s="27">
        <v>0</v>
      </c>
      <c r="R503" s="26">
        <v>7114296</v>
      </c>
      <c r="S503" s="115">
        <f ca="1">IF(PROVEEDORES[[#This Row],[FECHA DE PAGO]]=0,TODAY()-PROVEEDORES[[#This Row],[FECHA DE FACTURACIÓN]]-PROVEEDORES[[#This Row],[PLAZO Días]],0)</f>
        <v>0</v>
      </c>
      <c r="T5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4" spans="1:20" ht="21.9" customHeight="1" x14ac:dyDescent="0.3">
      <c r="A504" s="113" t="str">
        <f>+IF(PROVEEDORES[[#This Row],[FECHA DE PAGO]]=PROVEEDORES[[#This Row],[FECHA DE FACTURACIÓN]],"DE CONTADO","CRÉDITO")</f>
        <v>CRÉDITO</v>
      </c>
      <c r="B504" s="51" t="b">
        <f>+IF((PROVEEDORES[[#This Row],[FECHA DE PAGO]]-PROVEEDORES[[#This Row],[FECHA DE FACTURACIÓN]])&gt;PROVEEDORES[[#This Row],[PLAZO Días]],"PAGO VENCIDO")</f>
        <v>0</v>
      </c>
      <c r="C504" s="25">
        <f>+VLOOKUP(PROVEEDORES[[#This Row],[PROVEEDOR]],TERCEROS_INFO[#All],2,FALSE)</f>
        <v>30</v>
      </c>
      <c r="D504" s="30">
        <f>+SUMIFS(PROVEEDORES[Total],PROVEEDORES[PROVEEDOR],PROVEEDORES[[#This Row],[PROVEEDOR]],PROVEEDORES[FECHA DE PAGO],"")</f>
        <v>0</v>
      </c>
      <c r="E504" s="30"/>
      <c r="F504" s="73" t="str">
        <f>+VLOOKUP(PROVEEDORES[[#This Row],[PROVEEDOR]],TERCEROS_INFO[[PROVEEDOR]:[CORREO]],5,FALSE)</f>
        <v>girlesa.ruiz@servipilas.com;joriescobar64@gmail.com</v>
      </c>
      <c r="G504" s="111">
        <v>44396</v>
      </c>
      <c r="H504" s="31" t="s">
        <v>339</v>
      </c>
      <c r="I504" s="111">
        <v>44372</v>
      </c>
      <c r="J504" s="48" t="s">
        <v>929</v>
      </c>
      <c r="K504" s="26">
        <v>-36766</v>
      </c>
      <c r="L504" s="26"/>
      <c r="M504" s="27">
        <v>0</v>
      </c>
      <c r="N504" s="28"/>
      <c r="O504" s="27">
        <v>0</v>
      </c>
      <c r="P504" s="28">
        <v>0</v>
      </c>
      <c r="Q504" s="27">
        <v>0</v>
      </c>
      <c r="R504" s="26">
        <v>-36766</v>
      </c>
      <c r="S504" s="115">
        <f ca="1">IF(PROVEEDORES[[#This Row],[FECHA DE PAGO]]=0,TODAY()-PROVEEDORES[[#This Row],[FECHA DE FACTURACIÓN]]-PROVEEDORES[[#This Row],[PLAZO Días]],0)</f>
        <v>0</v>
      </c>
      <c r="T5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5" spans="1:20" ht="21.9" customHeight="1" x14ac:dyDescent="0.3">
      <c r="A505" s="113" t="str">
        <f>+IF(PROVEEDORES[[#This Row],[FECHA DE PAGO]]=PROVEEDORES[[#This Row],[FECHA DE FACTURACIÓN]],"DE CONTADO","CRÉDITO")</f>
        <v>CRÉDITO</v>
      </c>
      <c r="B505" s="51" t="b">
        <f>+IF((PROVEEDORES[[#This Row],[FECHA DE PAGO]]-PROVEEDORES[[#This Row],[FECHA DE FACTURACIÓN]])&gt;PROVEEDORES[[#This Row],[PLAZO Días]],"PAGO VENCIDO")</f>
        <v>0</v>
      </c>
      <c r="C505" s="25">
        <f>+VLOOKUP(PROVEEDORES[[#This Row],[PROVEEDOR]],TERCEROS_INFO[#All],2,FALSE)</f>
        <v>30</v>
      </c>
      <c r="D505" s="30">
        <f>+SUMIFS(PROVEEDORES[Total],PROVEEDORES[PROVEEDOR],PROVEEDORES[[#This Row],[PROVEEDOR]],PROVEEDORES[FECHA DE PAGO],"")</f>
        <v>264406</v>
      </c>
      <c r="E505" s="30"/>
      <c r="F505" s="73" t="str">
        <f>+VLOOKUP(PROVEEDORES[[#This Row],[PROVEEDOR]],TERCEROS_INFO[[PROVEEDOR]:[CORREO]],5,FALSE)</f>
        <v>oswaldo.alvarez@logimexsas.com;girlesa.ruiz@servipilas.com;joriescobar64@gmail.com</v>
      </c>
      <c r="G505" s="111">
        <v>44376</v>
      </c>
      <c r="H505" s="31" t="s">
        <v>393</v>
      </c>
      <c r="I505" s="111">
        <v>44372</v>
      </c>
      <c r="J505" s="48" t="s">
        <v>414</v>
      </c>
      <c r="K505" s="26">
        <v>91746</v>
      </c>
      <c r="L505" s="26"/>
      <c r="M505" s="27">
        <v>0</v>
      </c>
      <c r="N505" s="28"/>
      <c r="O505" s="27">
        <v>0</v>
      </c>
      <c r="P505" s="28">
        <v>0</v>
      </c>
      <c r="Q505" s="27">
        <v>0</v>
      </c>
      <c r="R505" s="26">
        <v>91746</v>
      </c>
      <c r="S505" s="115">
        <f ca="1">IF(PROVEEDORES[[#This Row],[FECHA DE PAGO]]=0,TODAY()-PROVEEDORES[[#This Row],[FECHA DE FACTURACIÓN]]-PROVEEDORES[[#This Row],[PLAZO Días]],0)</f>
        <v>0</v>
      </c>
      <c r="T50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6" spans="1:20" ht="21.9" customHeight="1" x14ac:dyDescent="0.3">
      <c r="A506" s="113" t="str">
        <f>+IF(PROVEEDORES[[#This Row],[FECHA DE PAGO]]=PROVEEDORES[[#This Row],[FECHA DE FACTURACIÓN]],"DE CONTADO","CRÉDITO")</f>
        <v>CRÉDITO</v>
      </c>
      <c r="B506" s="51" t="str">
        <f>+IF((PROVEEDORES[[#This Row],[FECHA DE PAGO]]-PROVEEDORES[[#This Row],[FECHA DE FACTURACIÓN]])&gt;PROVEEDORES[[#This Row],[PLAZO Días]],"PAGO VENCIDO")</f>
        <v>PAGO VENCIDO</v>
      </c>
      <c r="C506" s="25">
        <f>+VLOOKUP(PROVEEDORES[[#This Row],[PROVEEDOR]],TERCEROS_INFO[#All],2,FALSE)</f>
        <v>30</v>
      </c>
      <c r="D506" s="30">
        <f>+SUMIFS(PROVEEDORES[Total],PROVEEDORES[PROVEEDOR],PROVEEDORES[[#This Row],[PROVEEDOR]],PROVEEDORES[FECHA DE PAGO],"")</f>
        <v>0</v>
      </c>
      <c r="E506" s="30"/>
      <c r="F506" s="73" t="str">
        <f>+VLOOKUP(PROVEEDORES[[#This Row],[PROVEEDOR]],TERCEROS_INFO[[PROVEEDOR]:[CORREO]],5,FALSE)</f>
        <v/>
      </c>
      <c r="G506" s="111">
        <v>44433</v>
      </c>
      <c r="H506" s="31" t="s">
        <v>989</v>
      </c>
      <c r="I506" s="111">
        <v>44372</v>
      </c>
      <c r="J506" s="48" t="s">
        <v>749</v>
      </c>
      <c r="K506" s="26">
        <v>130000</v>
      </c>
      <c r="L506" s="26"/>
      <c r="M506" s="27">
        <v>0</v>
      </c>
      <c r="N506" s="28"/>
      <c r="O506" s="27">
        <v>0</v>
      </c>
      <c r="P506" s="28">
        <v>0</v>
      </c>
      <c r="Q506" s="27">
        <v>0</v>
      </c>
      <c r="R506" s="26">
        <v>130000</v>
      </c>
      <c r="S506" s="115">
        <f ca="1">IF(PROVEEDORES[[#This Row],[FECHA DE PAGO]]=0,TODAY()-PROVEEDORES[[#This Row],[FECHA DE FACTURACIÓN]]-PROVEEDORES[[#This Row],[PLAZO Días]],0)</f>
        <v>0</v>
      </c>
      <c r="T50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7" spans="1:20" ht="21.9" customHeight="1" x14ac:dyDescent="0.3">
      <c r="A507" s="113" t="str">
        <f>+IF(PROVEEDORES[[#This Row],[FECHA DE PAGO]]=PROVEEDORES[[#This Row],[FECHA DE FACTURACIÓN]],"DE CONTADO","CRÉDITO")</f>
        <v>DE CONTADO</v>
      </c>
      <c r="B507" s="51" t="b">
        <f>+IF((PROVEEDORES[[#This Row],[FECHA DE PAGO]]-PROVEEDORES[[#This Row],[FECHA DE FACTURACIÓN]])&gt;PROVEEDORES[[#This Row],[PLAZO Días]],"PAGO VENCIDO")</f>
        <v>0</v>
      </c>
      <c r="C507" s="25">
        <f>+VLOOKUP(PROVEEDORES[[#This Row],[PROVEEDOR]],TERCEROS_INFO[#All],2,FALSE)</f>
        <v>30</v>
      </c>
      <c r="D507" s="30">
        <f>+SUMIFS(PROVEEDORES[Total],PROVEEDORES[PROVEEDOR],PROVEEDORES[[#This Row],[PROVEEDOR]],PROVEEDORES[FECHA DE PAGO],"")</f>
        <v>0</v>
      </c>
      <c r="E507" s="30"/>
      <c r="F507" s="73">
        <f>+VLOOKUP(PROVEEDORES[[#This Row],[PROVEEDOR]],TERCEROS_INFO[[PROVEEDOR]:[CORREO]],5,FALSE)</f>
        <v>0</v>
      </c>
      <c r="G507" s="111">
        <v>44372</v>
      </c>
      <c r="H507" s="31" t="s">
        <v>415</v>
      </c>
      <c r="I507" s="111">
        <v>44372</v>
      </c>
      <c r="J507" s="48" t="s">
        <v>416</v>
      </c>
      <c r="K507" s="26">
        <v>242016</v>
      </c>
      <c r="L507" s="26"/>
      <c r="M507" s="27">
        <v>45983.040000000001</v>
      </c>
      <c r="N507" s="28"/>
      <c r="O507" s="27">
        <v>0</v>
      </c>
      <c r="P507" s="28">
        <v>0</v>
      </c>
      <c r="Q507" s="27">
        <v>0</v>
      </c>
      <c r="R507" s="26">
        <v>287999.03999999998</v>
      </c>
      <c r="S507" s="115">
        <f ca="1">IF(PROVEEDORES[[#This Row],[FECHA DE PAGO]]=0,TODAY()-PROVEEDORES[[#This Row],[FECHA DE FACTURACIÓN]]-PROVEEDORES[[#This Row],[PLAZO Días]],0)</f>
        <v>0</v>
      </c>
      <c r="T50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8" spans="1:20" ht="21.9" customHeight="1" x14ac:dyDescent="0.3">
      <c r="A508" s="113" t="str">
        <f>+IF(PROVEEDORES[[#This Row],[FECHA DE PAGO]]=PROVEEDORES[[#This Row],[FECHA DE FACTURACIÓN]],"DE CONTADO","CRÉDITO")</f>
        <v>DE CONTADO</v>
      </c>
      <c r="B508" s="51" t="b">
        <f>+IF((PROVEEDORES[[#This Row],[FECHA DE PAGO]]-PROVEEDORES[[#This Row],[FECHA DE FACTURACIÓN]])&gt;PROVEEDORES[[#This Row],[PLAZO Días]],"PAGO VENCIDO")</f>
        <v>0</v>
      </c>
      <c r="C508" s="25">
        <f>+VLOOKUP(PROVEEDORES[[#This Row],[PROVEEDOR]],TERCEROS_INFO[#All],2,FALSE)</f>
        <v>30</v>
      </c>
      <c r="D508" s="30">
        <f>+SUMIFS(PROVEEDORES[Total],PROVEEDORES[PROVEEDOR],PROVEEDORES[[#This Row],[PROVEEDOR]],PROVEEDORES[FECHA DE PAGO],"")</f>
        <v>0</v>
      </c>
      <c r="E508" s="30"/>
      <c r="F508" s="73" t="str">
        <f>+VLOOKUP(PROVEEDORES[[#This Row],[PROVEEDOR]],TERCEROS_INFO[[PROVEEDOR]:[CORREO]],5,FALSE)</f>
        <v/>
      </c>
      <c r="G508" s="111">
        <v>44372</v>
      </c>
      <c r="H508" s="31" t="s">
        <v>37</v>
      </c>
      <c r="I508" s="111">
        <v>44372</v>
      </c>
      <c r="J508" s="48" t="s">
        <v>410</v>
      </c>
      <c r="K508" s="26">
        <v>420000</v>
      </c>
      <c r="L508" s="26"/>
      <c r="M508" s="27">
        <v>79800</v>
      </c>
      <c r="N508" s="28"/>
      <c r="O508" s="27">
        <v>0</v>
      </c>
      <c r="P508" s="28">
        <v>0</v>
      </c>
      <c r="Q508" s="27">
        <v>0</v>
      </c>
      <c r="R508" s="26">
        <v>499800</v>
      </c>
      <c r="S508" s="115">
        <f ca="1">IF(PROVEEDORES[[#This Row],[FECHA DE PAGO]]=0,TODAY()-PROVEEDORES[[#This Row],[FECHA DE FACTURACIÓN]]-PROVEEDORES[[#This Row],[PLAZO Días]],0)</f>
        <v>0</v>
      </c>
      <c r="T5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09" spans="1:20" ht="21.9" customHeight="1" x14ac:dyDescent="0.3">
      <c r="A509" s="113" t="str">
        <f>+IF(PROVEEDORES[[#This Row],[FECHA DE PAGO]]=PROVEEDORES[[#This Row],[FECHA DE FACTURACIÓN]],"DE CONTADO","CRÉDITO")</f>
        <v>CRÉDITO</v>
      </c>
      <c r="B509" s="51" t="b">
        <f>+IF((PROVEEDORES[[#This Row],[FECHA DE PAGO]]-PROVEEDORES[[#This Row],[FECHA DE FACTURACIÓN]])&gt;PROVEEDORES[[#This Row],[PLAZO Días]],"PAGO VENCIDO")</f>
        <v>0</v>
      </c>
      <c r="C509" s="25">
        <f>+VLOOKUP(PROVEEDORES[[#This Row],[PROVEEDOR]],TERCEROS_INFO[#All],2,FALSE)</f>
        <v>30</v>
      </c>
      <c r="D509" s="30">
        <f>+SUMIFS(PROVEEDORES[Total],PROVEEDORES[PROVEEDOR],PROVEEDORES[[#This Row],[PROVEEDOR]],PROVEEDORES[FECHA DE PAGO],"")</f>
        <v>0</v>
      </c>
      <c r="E509" s="30"/>
      <c r="F509" s="73" t="str">
        <f>+VLOOKUP(PROVEEDORES[[#This Row],[PROVEEDOR]],TERCEROS_INFO[[PROVEEDOR]:[CORREO]],5,FALSE)</f>
        <v>judy.torres@movecargo.co;girlesa.ruiz@servipilas.com;joriescobar64@gmail.com</v>
      </c>
      <c r="G509" s="111">
        <v>44376</v>
      </c>
      <c r="H509" s="31" t="s">
        <v>367</v>
      </c>
      <c r="I509" s="111">
        <v>44372</v>
      </c>
      <c r="J509" s="48" t="s">
        <v>411</v>
      </c>
      <c r="K509" s="26">
        <v>452618</v>
      </c>
      <c r="L509" s="26"/>
      <c r="M509" s="27">
        <v>0</v>
      </c>
      <c r="N509" s="28"/>
      <c r="O509" s="27">
        <v>0</v>
      </c>
      <c r="P509" s="28">
        <v>0.01</v>
      </c>
      <c r="Q509" s="27">
        <v>4526.18</v>
      </c>
      <c r="R509" s="26">
        <v>448091.82</v>
      </c>
      <c r="S509" s="115">
        <f ca="1">IF(PROVEEDORES[[#This Row],[FECHA DE PAGO]]=0,TODAY()-PROVEEDORES[[#This Row],[FECHA DE FACTURACIÓN]]-PROVEEDORES[[#This Row],[PLAZO Días]],0)</f>
        <v>0</v>
      </c>
      <c r="T50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0" spans="1:20" ht="21.9" customHeight="1" x14ac:dyDescent="0.3">
      <c r="A510" s="113" t="str">
        <f>+IF(PROVEEDORES[[#This Row],[FECHA DE PAGO]]=PROVEEDORES[[#This Row],[FECHA DE FACTURACIÓN]],"DE CONTADO","CRÉDITO")</f>
        <v>DE CONTADO</v>
      </c>
      <c r="B510" s="51" t="b">
        <f>+IF((PROVEEDORES[[#This Row],[FECHA DE PAGO]]-PROVEEDORES[[#This Row],[FECHA DE FACTURACIÓN]])&gt;PROVEEDORES[[#This Row],[PLAZO Días]],"PAGO VENCIDO")</f>
        <v>0</v>
      </c>
      <c r="C510" s="25">
        <f>+VLOOKUP(PROVEEDORES[[#This Row],[PROVEEDOR]],TERCEROS_INFO[#All],2,FALSE)</f>
        <v>30</v>
      </c>
      <c r="D510" s="30">
        <f>+SUMIFS(PROVEEDORES[Total],PROVEEDORES[PROVEEDOR],PROVEEDORES[[#This Row],[PROVEEDOR]],PROVEEDORES[FECHA DE PAGO],"")</f>
        <v>0</v>
      </c>
      <c r="E510" s="30"/>
      <c r="F510" s="73" t="str">
        <f>+VLOOKUP(PROVEEDORES[[#This Row],[PROVEEDOR]],TERCEROS_INFO[[PROVEEDOR]:[CORREO]],5,FALSE)</f>
        <v/>
      </c>
      <c r="G510" s="111">
        <v>44373</v>
      </c>
      <c r="H510" s="31" t="s">
        <v>1037</v>
      </c>
      <c r="I510" s="111">
        <v>44373</v>
      </c>
      <c r="J510" s="48" t="s">
        <v>750</v>
      </c>
      <c r="K510" s="26">
        <v>520000</v>
      </c>
      <c r="L510" s="26"/>
      <c r="M510" s="27">
        <v>0</v>
      </c>
      <c r="N510" s="28"/>
      <c r="O510" s="27">
        <v>0</v>
      </c>
      <c r="P510" s="28">
        <v>0</v>
      </c>
      <c r="Q510" s="27">
        <v>0</v>
      </c>
      <c r="R510" s="26">
        <v>520000</v>
      </c>
      <c r="S510" s="115">
        <f ca="1">IF(PROVEEDORES[[#This Row],[FECHA DE PAGO]]=0,TODAY()-PROVEEDORES[[#This Row],[FECHA DE FACTURACIÓN]]-PROVEEDORES[[#This Row],[PLAZO Días]],0)</f>
        <v>0</v>
      </c>
      <c r="T5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1" spans="1:20" ht="21.9" customHeight="1" x14ac:dyDescent="0.3">
      <c r="A511" s="113" t="str">
        <f>+IF(PROVEEDORES[[#This Row],[FECHA DE PAGO]]=PROVEEDORES[[#This Row],[FECHA DE FACTURACIÓN]],"DE CONTADO","CRÉDITO")</f>
        <v>CRÉDITO</v>
      </c>
      <c r="B511" s="51" t="b">
        <f>+IF((PROVEEDORES[[#This Row],[FECHA DE PAGO]]-PROVEEDORES[[#This Row],[FECHA DE FACTURACIÓN]])&gt;PROVEEDORES[[#This Row],[PLAZO Días]],"PAGO VENCIDO")</f>
        <v>0</v>
      </c>
      <c r="C511" s="25">
        <f>+VLOOKUP(PROVEEDORES[[#This Row],[PROVEEDOR]],TERCEROS_INFO[#All],2,FALSE)</f>
        <v>30</v>
      </c>
      <c r="D511" s="30">
        <f>+SUMIFS(PROVEEDORES[Total],PROVEEDORES[PROVEEDOR],PROVEEDORES[[#This Row],[PROVEEDOR]],PROVEEDORES[FECHA DE PAGO],"")</f>
        <v>5060410.5999999996</v>
      </c>
      <c r="E511" s="30"/>
      <c r="F511" s="73" t="str">
        <f>+VLOOKUP(PROVEEDORES[[#This Row],[PROVEEDOR]],TERCEROS_INFO[[PROVEEDOR]:[CORREO]],5,FALSE)</f>
        <v>CBastidas@vyp.com.co;girlesa.ruiz@servipilas.com;joriescobar64@gmail.com</v>
      </c>
      <c r="G511" s="111">
        <v>44396</v>
      </c>
      <c r="H511" s="31" t="s">
        <v>347</v>
      </c>
      <c r="I511" s="111">
        <v>44375</v>
      </c>
      <c r="J511" s="48" t="s">
        <v>938</v>
      </c>
      <c r="K511" s="26">
        <v>-376550</v>
      </c>
      <c r="L511" s="26"/>
      <c r="M511" s="27">
        <v>-71544.5</v>
      </c>
      <c r="N511" s="28"/>
      <c r="O511" s="27">
        <v>0</v>
      </c>
      <c r="P511" s="28">
        <v>3.5000000000000003E-2</v>
      </c>
      <c r="Q511" s="27">
        <v>-13179.250000000002</v>
      </c>
      <c r="R511" s="26">
        <v>-434915.25</v>
      </c>
      <c r="S511" s="115">
        <f ca="1">IF(PROVEEDORES[[#This Row],[FECHA DE PAGO]]=0,TODAY()-PROVEEDORES[[#This Row],[FECHA DE FACTURACIÓN]]-PROVEEDORES[[#This Row],[PLAZO Días]],0)</f>
        <v>0</v>
      </c>
      <c r="T5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2" spans="1:20" ht="21.9" customHeight="1" x14ac:dyDescent="0.3">
      <c r="A512" s="113" t="str">
        <f>+IF(PROVEEDORES[[#This Row],[FECHA DE PAGO]]=PROVEEDORES[[#This Row],[FECHA DE FACTURACIÓN]],"DE CONTADO","CRÉDITO")</f>
        <v>CRÉDITO</v>
      </c>
      <c r="B512" s="51" t="str">
        <f>+IF((PROVEEDORES[[#This Row],[FECHA DE PAGO]]-PROVEEDORES[[#This Row],[FECHA DE FACTURACIÓN]])&gt;PROVEEDORES[[#This Row],[PLAZO Días]],"PAGO VENCIDO")</f>
        <v>PAGO VENCIDO</v>
      </c>
      <c r="C512" s="25">
        <f>+VLOOKUP(PROVEEDORES[[#This Row],[PROVEEDOR]],TERCEROS_INFO[#All],2,FALSE)</f>
        <v>30</v>
      </c>
      <c r="D512" s="30">
        <f>+SUMIFS(PROVEEDORES[Total],PROVEEDORES[PROVEEDOR],PROVEEDORES[[#This Row],[PROVEEDOR]],PROVEEDORES[FECHA DE PAGO],"")</f>
        <v>3355018.0749999997</v>
      </c>
      <c r="E512" s="30"/>
      <c r="F512" s="73" t="str">
        <f>+VLOOKUP(PROVEEDORES[[#This Row],[PROVEEDOR]],TERCEROS_INFO[[PROVEEDOR]:[CORREO]],5,FALSE)</f>
        <v>yermingg@hotmail.com;girlesa.ruiz@servipilas.com;joriescobar64@gmail.com</v>
      </c>
      <c r="G512" s="111">
        <v>44442</v>
      </c>
      <c r="H512" s="31" t="s">
        <v>224</v>
      </c>
      <c r="I512" s="111">
        <v>44376</v>
      </c>
      <c r="J512" s="48">
        <v>301</v>
      </c>
      <c r="K512" s="26">
        <v>1144538</v>
      </c>
      <c r="L512" s="26"/>
      <c r="M512" s="27">
        <v>217462.22</v>
      </c>
      <c r="N512" s="28"/>
      <c r="O512" s="27">
        <v>0</v>
      </c>
      <c r="P512" s="28">
        <v>2.5000000000000001E-2</v>
      </c>
      <c r="Q512" s="27">
        <v>28613.45</v>
      </c>
      <c r="R512" s="26">
        <v>1333386.77</v>
      </c>
      <c r="S512" s="115">
        <f ca="1">IF(PROVEEDORES[[#This Row],[FECHA DE PAGO]]=0,TODAY()-PROVEEDORES[[#This Row],[FECHA DE FACTURACIÓN]]-PROVEEDORES[[#This Row],[PLAZO Días]],0)</f>
        <v>0</v>
      </c>
      <c r="T5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3" spans="1:20" ht="21.9" customHeight="1" x14ac:dyDescent="0.3">
      <c r="A513" s="113" t="str">
        <f>+IF(PROVEEDORES[[#This Row],[FECHA DE PAGO]]=PROVEEDORES[[#This Row],[FECHA DE FACTURACIÓN]],"DE CONTADO","CRÉDITO")</f>
        <v>CRÉDITO</v>
      </c>
      <c r="B513" s="51" t="str">
        <f>+IF((PROVEEDORES[[#This Row],[FECHA DE PAGO]]-PROVEEDORES[[#This Row],[FECHA DE FACTURACIÓN]])&gt;PROVEEDORES[[#This Row],[PLAZO Días]],"PAGO VENCIDO")</f>
        <v>PAGO VENCIDO</v>
      </c>
      <c r="C513" s="25">
        <f>+VLOOKUP(PROVEEDORES[[#This Row],[PROVEEDOR]],TERCEROS_INFO[#All],2,FALSE)</f>
        <v>30</v>
      </c>
      <c r="D513" s="30">
        <f>+SUMIFS(PROVEEDORES[Total],PROVEEDORES[PROVEEDOR],PROVEEDORES[[#This Row],[PROVEEDOR]],PROVEEDORES[FECHA DE PAGO],"")</f>
        <v>3750700</v>
      </c>
      <c r="E513" s="30"/>
      <c r="F513" s="73" t="str">
        <f>+VLOOKUP(PROVEEDORES[[#This Row],[PROVEEDOR]],TERCEROS_INFO[[PROVEEDOR]:[CORREO]],5,FALSE)</f>
        <v/>
      </c>
      <c r="G513" s="111">
        <v>44410</v>
      </c>
      <c r="H513" s="31" t="s">
        <v>996</v>
      </c>
      <c r="I513" s="111">
        <v>44376</v>
      </c>
      <c r="J513" s="48" t="s">
        <v>751</v>
      </c>
      <c r="K513" s="26">
        <v>1922900</v>
      </c>
      <c r="L513" s="26"/>
      <c r="M513" s="27">
        <v>0</v>
      </c>
      <c r="N513" s="28"/>
      <c r="O513" s="27">
        <v>0</v>
      </c>
      <c r="P513" s="28">
        <v>0</v>
      </c>
      <c r="Q513" s="27">
        <v>0</v>
      </c>
      <c r="R513" s="26">
        <v>1922900</v>
      </c>
      <c r="S513" s="115">
        <f ca="1">IF(PROVEEDORES[[#This Row],[FECHA DE PAGO]]=0,TODAY()-PROVEEDORES[[#This Row],[FECHA DE FACTURACIÓN]]-PROVEEDORES[[#This Row],[PLAZO Días]],0)</f>
        <v>0</v>
      </c>
      <c r="T5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4" spans="1:20" ht="21.9" customHeight="1" x14ac:dyDescent="0.3">
      <c r="A514" s="113" t="str">
        <f>+IF(PROVEEDORES[[#This Row],[FECHA DE PAGO]]=PROVEEDORES[[#This Row],[FECHA DE FACTURACIÓN]],"DE CONTADO","CRÉDITO")</f>
        <v>CRÉDITO</v>
      </c>
      <c r="B514" s="51" t="str">
        <f>+IF((PROVEEDORES[[#This Row],[FECHA DE PAGO]]-PROVEEDORES[[#This Row],[FECHA DE FACTURACIÓN]])&gt;PROVEEDORES[[#This Row],[PLAZO Días]],"PAGO VENCIDO")</f>
        <v>PAGO VENCIDO</v>
      </c>
      <c r="C514" s="25">
        <f>+VLOOKUP(PROVEEDORES[[#This Row],[PROVEEDOR]],TERCEROS_INFO[#All],2,FALSE)</f>
        <v>30</v>
      </c>
      <c r="D514" s="30">
        <f>+SUMIFS(PROVEEDORES[Total],PROVEEDORES[PROVEEDOR],PROVEEDORES[[#This Row],[PROVEEDOR]],PROVEEDORES[FECHA DE PAGO],"")</f>
        <v>0</v>
      </c>
      <c r="E514" s="30"/>
      <c r="F514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514" s="111">
        <v>44429</v>
      </c>
      <c r="H514" s="31" t="s">
        <v>514</v>
      </c>
      <c r="I514" s="111">
        <v>44376</v>
      </c>
      <c r="J514" s="48" t="s">
        <v>493</v>
      </c>
      <c r="K514" s="26">
        <v>2378140</v>
      </c>
      <c r="L514" s="26"/>
      <c r="M514" s="27">
        <v>451846.6</v>
      </c>
      <c r="N514" s="28"/>
      <c r="O514" s="27">
        <v>0</v>
      </c>
      <c r="P514" s="28">
        <v>0</v>
      </c>
      <c r="Q514" s="27">
        <v>0</v>
      </c>
      <c r="R514" s="26">
        <v>2829986.6</v>
      </c>
      <c r="S514" s="115">
        <f ca="1">IF(PROVEEDORES[[#This Row],[FECHA DE PAGO]]=0,TODAY()-PROVEEDORES[[#This Row],[FECHA DE FACTURACIÓN]]-PROVEEDORES[[#This Row],[PLAZO Días]],0)</f>
        <v>0</v>
      </c>
      <c r="T5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5" spans="1:20" ht="21.9" customHeight="1" x14ac:dyDescent="0.3">
      <c r="A515" s="113" t="str">
        <f>+IF(PROVEEDORES[[#This Row],[FECHA DE PAGO]]=PROVEEDORES[[#This Row],[FECHA DE FACTURACIÓN]],"DE CONTADO","CRÉDITO")</f>
        <v>DE CONTADO</v>
      </c>
      <c r="B515" s="51" t="b">
        <f>+IF((PROVEEDORES[[#This Row],[FECHA DE PAGO]]-PROVEEDORES[[#This Row],[FECHA DE FACTURACIÓN]])&gt;PROVEEDORES[[#This Row],[PLAZO Días]],"PAGO VENCIDO")</f>
        <v>0</v>
      </c>
      <c r="C515" s="25">
        <f>+VLOOKUP(PROVEEDORES[[#This Row],[PROVEEDOR]],TERCEROS_INFO[#All],2,FALSE)</f>
        <v>30</v>
      </c>
      <c r="D515" s="30">
        <f>+SUMIFS(PROVEEDORES[Total],PROVEEDORES[PROVEEDOR],PROVEEDORES[[#This Row],[PROVEEDOR]],PROVEEDORES[FECHA DE PAGO],"")</f>
        <v>0</v>
      </c>
      <c r="E515" s="30"/>
      <c r="F515" s="73" t="str">
        <f>+VLOOKUP(PROVEEDORES[[#This Row],[PROVEEDOR]],TERCEROS_INFO[[PROVEEDOR]:[CORREO]],5,FALSE)</f>
        <v/>
      </c>
      <c r="G515" s="111">
        <v>44377</v>
      </c>
      <c r="H515" s="31" t="s">
        <v>1016</v>
      </c>
      <c r="I515" s="111">
        <v>44377</v>
      </c>
      <c r="J515" s="48" t="s">
        <v>944</v>
      </c>
      <c r="K515" s="26">
        <v>0</v>
      </c>
      <c r="L515" s="26"/>
      <c r="M515" s="27">
        <v>0</v>
      </c>
      <c r="N515" s="28"/>
      <c r="O515" s="27">
        <v>0</v>
      </c>
      <c r="P515" s="28">
        <v>0</v>
      </c>
      <c r="Q515" s="27">
        <v>0</v>
      </c>
      <c r="R515" s="26">
        <v>0</v>
      </c>
      <c r="S515" s="115">
        <f ca="1">IF(PROVEEDORES[[#This Row],[FECHA DE PAGO]]=0,TODAY()-PROVEEDORES[[#This Row],[FECHA DE FACTURACIÓN]]-PROVEEDORES[[#This Row],[PLAZO Días]],0)</f>
        <v>0</v>
      </c>
      <c r="T5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6" spans="1:20" ht="21.9" customHeight="1" x14ac:dyDescent="0.3">
      <c r="A516" s="113" t="str">
        <f>+IF(PROVEEDORES[[#This Row],[FECHA DE PAGO]]=PROVEEDORES[[#This Row],[FECHA DE FACTURACIÓN]],"DE CONTADO","CRÉDITO")</f>
        <v>DE CONTADO</v>
      </c>
      <c r="B516" s="51" t="b">
        <f>+IF((PROVEEDORES[[#This Row],[FECHA DE PAGO]]-PROVEEDORES[[#This Row],[FECHA DE FACTURACIÓN]])&gt;PROVEEDORES[[#This Row],[PLAZO Días]],"PAGO VENCIDO")</f>
        <v>0</v>
      </c>
      <c r="C516" s="25">
        <f>+VLOOKUP(PROVEEDORES[[#This Row],[PROVEEDOR]],TERCEROS_INFO[#All],2,FALSE)</f>
        <v>30</v>
      </c>
      <c r="D516" s="30">
        <f>+SUMIFS(PROVEEDORES[Total],PROVEEDORES[PROVEEDOR],PROVEEDORES[[#This Row],[PROVEEDOR]],PROVEEDORES[FECHA DE PAGO],"")</f>
        <v>0</v>
      </c>
      <c r="E516" s="30"/>
      <c r="F516" s="73" t="str">
        <f>+VLOOKUP(PROVEEDORES[[#This Row],[PROVEEDOR]],TERCEROS_INFO[[PROVEEDOR]:[CORREO]],5,FALSE)</f>
        <v/>
      </c>
      <c r="G516" s="111">
        <v>44377</v>
      </c>
      <c r="H516" s="31" t="s">
        <v>1016</v>
      </c>
      <c r="I516" s="111">
        <v>44377</v>
      </c>
      <c r="J516" s="48" t="s">
        <v>946</v>
      </c>
      <c r="K516" s="26">
        <v>484200</v>
      </c>
      <c r="L516" s="26"/>
      <c r="M516" s="27">
        <v>0</v>
      </c>
      <c r="N516" s="28"/>
      <c r="O516" s="27">
        <v>0</v>
      </c>
      <c r="P516" s="28">
        <v>0</v>
      </c>
      <c r="Q516" s="27">
        <v>0</v>
      </c>
      <c r="R516" s="26">
        <v>484200</v>
      </c>
      <c r="S516" s="115">
        <f ca="1">IF(PROVEEDORES[[#This Row],[FECHA DE PAGO]]=0,TODAY()-PROVEEDORES[[#This Row],[FECHA DE FACTURACIÓN]]-PROVEEDORES[[#This Row],[PLAZO Días]],0)</f>
        <v>0</v>
      </c>
      <c r="T5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7" spans="1:20" ht="21.9" customHeight="1" x14ac:dyDescent="0.3">
      <c r="A517" s="113" t="str">
        <f>+IF(PROVEEDORES[[#This Row],[FECHA DE PAGO]]=PROVEEDORES[[#This Row],[FECHA DE FACTURACIÓN]],"DE CONTADO","CRÉDITO")</f>
        <v>DE CONTADO</v>
      </c>
      <c r="B517" s="51" t="b">
        <f>+IF((PROVEEDORES[[#This Row],[FECHA DE PAGO]]-PROVEEDORES[[#This Row],[FECHA DE FACTURACIÓN]])&gt;PROVEEDORES[[#This Row],[PLAZO Días]],"PAGO VENCIDO")</f>
        <v>0</v>
      </c>
      <c r="C517" s="25">
        <f>+VLOOKUP(PROVEEDORES[[#This Row],[PROVEEDOR]],TERCEROS_INFO[#All],2,FALSE)</f>
        <v>30</v>
      </c>
      <c r="D517" s="30">
        <f>+SUMIFS(PROVEEDORES[Total],PROVEEDORES[PROVEEDOR],PROVEEDORES[[#This Row],[PROVEEDOR]],PROVEEDORES[FECHA DE PAGO],"")</f>
        <v>0</v>
      </c>
      <c r="E517" s="30"/>
      <c r="F517" s="73" t="str">
        <f>+VLOOKUP(PROVEEDORES[[#This Row],[PROVEEDOR]],TERCEROS_INFO[[PROVEEDOR]:[CORREO]],5,FALSE)</f>
        <v/>
      </c>
      <c r="G517" s="111">
        <v>44377</v>
      </c>
      <c r="H517" s="31" t="s">
        <v>1016</v>
      </c>
      <c r="I517" s="111">
        <v>44377</v>
      </c>
      <c r="J517" s="48" t="s">
        <v>182</v>
      </c>
      <c r="K517" s="26">
        <v>526000</v>
      </c>
      <c r="L517" s="26"/>
      <c r="M517" s="27">
        <v>0</v>
      </c>
      <c r="N517" s="28"/>
      <c r="O517" s="27">
        <v>0</v>
      </c>
      <c r="P517" s="28">
        <v>0</v>
      </c>
      <c r="Q517" s="27">
        <v>0</v>
      </c>
      <c r="R517" s="26">
        <v>526000</v>
      </c>
      <c r="S517" s="115">
        <f ca="1">IF(PROVEEDORES[[#This Row],[FECHA DE PAGO]]=0,TODAY()-PROVEEDORES[[#This Row],[FECHA DE FACTURACIÓN]]-PROVEEDORES[[#This Row],[PLAZO Días]],0)</f>
        <v>0</v>
      </c>
      <c r="T5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8" spans="1:20" ht="21.9" customHeight="1" x14ac:dyDescent="0.3">
      <c r="A518" s="113" t="str">
        <f>+IF(PROVEEDORES[[#This Row],[FECHA DE PAGO]]=PROVEEDORES[[#This Row],[FECHA DE FACTURACIÓN]],"DE CONTADO","CRÉDITO")</f>
        <v>DE CONTADO</v>
      </c>
      <c r="B518" s="51" t="b">
        <f>+IF((PROVEEDORES[[#This Row],[FECHA DE PAGO]]-PROVEEDORES[[#This Row],[FECHA DE FACTURACIÓN]])&gt;PROVEEDORES[[#This Row],[PLAZO Días]],"PAGO VENCIDO")</f>
        <v>0</v>
      </c>
      <c r="C518" s="25">
        <f>+VLOOKUP(PROVEEDORES[[#This Row],[PROVEEDOR]],TERCEROS_INFO[#All],2,FALSE)</f>
        <v>30</v>
      </c>
      <c r="D518" s="30">
        <f>+SUMIFS(PROVEEDORES[Total],PROVEEDORES[PROVEEDOR],PROVEEDORES[[#This Row],[PROVEEDOR]],PROVEEDORES[FECHA DE PAGO],"")</f>
        <v>0</v>
      </c>
      <c r="E518" s="30"/>
      <c r="F518" s="73" t="str">
        <f>+VLOOKUP(PROVEEDORES[[#This Row],[PROVEEDOR]],TERCEROS_INFO[[PROVEEDOR]:[CORREO]],5,FALSE)</f>
        <v/>
      </c>
      <c r="G518" s="111">
        <v>44377</v>
      </c>
      <c r="H518" s="31" t="s">
        <v>1016</v>
      </c>
      <c r="I518" s="111">
        <v>44377</v>
      </c>
      <c r="J518" s="48" t="s">
        <v>945</v>
      </c>
      <c r="K518" s="26">
        <v>720000</v>
      </c>
      <c r="L518" s="26"/>
      <c r="M518" s="27">
        <v>0</v>
      </c>
      <c r="N518" s="28"/>
      <c r="O518" s="27">
        <v>0</v>
      </c>
      <c r="P518" s="28">
        <v>0</v>
      </c>
      <c r="Q518" s="27">
        <v>0</v>
      </c>
      <c r="R518" s="26">
        <v>720000</v>
      </c>
      <c r="S518" s="115">
        <f ca="1">IF(PROVEEDORES[[#This Row],[FECHA DE PAGO]]=0,TODAY()-PROVEEDORES[[#This Row],[FECHA DE FACTURACIÓN]]-PROVEEDORES[[#This Row],[PLAZO Días]],0)</f>
        <v>0</v>
      </c>
      <c r="T5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19" spans="1:20" ht="21.9" customHeight="1" x14ac:dyDescent="0.3">
      <c r="A519" s="113" t="str">
        <f>+IF(PROVEEDORES[[#This Row],[FECHA DE PAGO]]=PROVEEDORES[[#This Row],[FECHA DE FACTURACIÓN]],"DE CONTADO","CRÉDITO")</f>
        <v>CRÉDITO</v>
      </c>
      <c r="B519" s="51" t="str">
        <f>+IF((PROVEEDORES[[#This Row],[FECHA DE PAGO]]-PROVEEDORES[[#This Row],[FECHA DE FACTURACIÓN]])&gt;PROVEEDORES[[#This Row],[PLAZO Días]],"PAGO VENCIDO")</f>
        <v>PAGO VENCIDO</v>
      </c>
      <c r="C519" s="25">
        <f>+VLOOKUP(PROVEEDORES[[#This Row],[PROVEEDOR]],TERCEROS_INFO[#All],2,FALSE)</f>
        <v>30</v>
      </c>
      <c r="D519" s="30">
        <f>+SUMIFS(PROVEEDORES[Total],PROVEEDORES[PROVEEDOR],PROVEEDORES[[#This Row],[PROVEEDOR]],PROVEEDORES[FECHA DE PAGO],"")</f>
        <v>6482443.1751999995</v>
      </c>
      <c r="E519" s="30"/>
      <c r="F519" s="73" t="str">
        <f>+VLOOKUP(PROVEEDORES[[#This Row],[PROVEEDOR]],TERCEROS_INFO[[PROVEEDOR]:[CORREO]],5,FALSE)</f>
        <v>angela.navas@hyrdistribuciones.com;girlesa.ruiz@servipilas.com;joriescobar64@gmail.com</v>
      </c>
      <c r="G519" s="111">
        <v>44414</v>
      </c>
      <c r="H519" s="31" t="s">
        <v>18</v>
      </c>
      <c r="I519" s="111">
        <v>44377</v>
      </c>
      <c r="J519" s="48">
        <v>1039723</v>
      </c>
      <c r="K519" s="26">
        <v>2181869.2400000002</v>
      </c>
      <c r="L519" s="26"/>
      <c r="M519" s="27">
        <v>414555.15560000006</v>
      </c>
      <c r="N519" s="28"/>
      <c r="O519" s="27">
        <v>0</v>
      </c>
      <c r="P519" s="28">
        <v>2.5000000000000001E-2</v>
      </c>
      <c r="Q519" s="27">
        <v>54546.731000000007</v>
      </c>
      <c r="R519" s="26">
        <v>2541877.6646000003</v>
      </c>
      <c r="S519" s="115">
        <f ca="1">IF(PROVEEDORES[[#This Row],[FECHA DE PAGO]]=0,TODAY()-PROVEEDORES[[#This Row],[FECHA DE FACTURACIÓN]]-PROVEEDORES[[#This Row],[PLAZO Días]],0)</f>
        <v>0</v>
      </c>
      <c r="T5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0" spans="1:20" ht="21.9" customHeight="1" x14ac:dyDescent="0.3">
      <c r="A520" s="113" t="str">
        <f>+IF(PROVEEDORES[[#This Row],[FECHA DE PAGO]]=PROVEEDORES[[#This Row],[FECHA DE FACTURACIÓN]],"DE CONTADO","CRÉDITO")</f>
        <v>CRÉDITO</v>
      </c>
      <c r="B520" s="51" t="b">
        <f>+IF((PROVEEDORES[[#This Row],[FECHA DE PAGO]]-PROVEEDORES[[#This Row],[FECHA DE FACTURACIÓN]])&gt;PROVEEDORES[[#This Row],[PLAZO Días]],"PAGO VENCIDO")</f>
        <v>0</v>
      </c>
      <c r="C520" s="25">
        <f>+VLOOKUP(PROVEEDORES[[#This Row],[PROVEEDOR]],TERCEROS_INFO[#All],2,FALSE)</f>
        <v>20</v>
      </c>
      <c r="D520" s="30">
        <f>+SUMIFS(PROVEEDORES[Total],PROVEEDORES[PROVEEDOR],PROVEEDORES[[#This Row],[PROVEEDOR]],PROVEEDORES[FECHA DE PAGO],"")</f>
        <v>0</v>
      </c>
      <c r="E520" s="30"/>
      <c r="F520" s="73" t="str">
        <f>+VLOOKUP(PROVEEDORES[[#This Row],[PROVEEDOR]],TERCEROS_INFO[[PROVEEDOR]:[CORREO]],5,FALSE)</f>
        <v>bog.fa1@pressex.co;bog.fm1@pressex.co;kbaumgartner@pressex.co;girlesa.ruiz@servipilas.com;joriescobar64@gmail.com</v>
      </c>
      <c r="G520" s="111">
        <v>44380</v>
      </c>
      <c r="H520" s="31" t="s">
        <v>377</v>
      </c>
      <c r="I520" s="111">
        <v>44377</v>
      </c>
      <c r="J520" s="48" t="s">
        <v>420</v>
      </c>
      <c r="K520" s="26">
        <v>3071327.5</v>
      </c>
      <c r="L520" s="26"/>
      <c r="M520" s="27">
        <v>85921.8</v>
      </c>
      <c r="N520" s="28"/>
      <c r="O520" s="27">
        <v>0</v>
      </c>
      <c r="P520" s="28">
        <v>0.04</v>
      </c>
      <c r="Q520" s="27">
        <v>18089</v>
      </c>
      <c r="R520" s="26">
        <v>3139160.3</v>
      </c>
      <c r="S520" s="115">
        <f ca="1">IF(PROVEEDORES[[#This Row],[FECHA DE PAGO]]=0,TODAY()-PROVEEDORES[[#This Row],[FECHA DE FACTURACIÓN]]-PROVEEDORES[[#This Row],[PLAZO Días]],0)</f>
        <v>0</v>
      </c>
      <c r="T5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1" spans="1:20" ht="21.9" customHeight="1" x14ac:dyDescent="0.3">
      <c r="A521" s="113" t="str">
        <f>+IF(PROVEEDORES[[#This Row],[FECHA DE PAGO]]=PROVEEDORES[[#This Row],[FECHA DE FACTURACIÓN]],"DE CONTADO","CRÉDITO")</f>
        <v>DE CONTADO</v>
      </c>
      <c r="B521" s="51" t="b">
        <f>+IF((PROVEEDORES[[#This Row],[FECHA DE PAGO]]-PROVEEDORES[[#This Row],[FECHA DE FACTURACIÓN]])&gt;PROVEEDORES[[#This Row],[PLAZO Días]],"PAGO VENCIDO")</f>
        <v>0</v>
      </c>
      <c r="C521" s="25">
        <f>+VLOOKUP(PROVEEDORES[[#This Row],[PROVEEDOR]],TERCEROS_INFO[#All],2,FALSE)</f>
        <v>30</v>
      </c>
      <c r="D521" s="30">
        <f>+SUMIFS(PROVEEDORES[Total],PROVEEDORES[PROVEEDOR],PROVEEDORES[[#This Row],[PROVEEDOR]],PROVEEDORES[FECHA DE PAGO],"")</f>
        <v>0</v>
      </c>
      <c r="E521" s="30"/>
      <c r="F521" s="73" t="str">
        <f>+VLOOKUP(PROVEEDORES[[#This Row],[PROVEEDOR]],TERCEROS_INFO[[PROVEEDOR]:[CORREO]],5,FALSE)</f>
        <v/>
      </c>
      <c r="G521" s="111">
        <v>44377</v>
      </c>
      <c r="H521" s="31" t="s">
        <v>1016</v>
      </c>
      <c r="I521" s="111">
        <v>44377</v>
      </c>
      <c r="J521" s="48" t="s">
        <v>943</v>
      </c>
      <c r="K521" s="26">
        <v>5550000</v>
      </c>
      <c r="L521" s="26"/>
      <c r="M521" s="27">
        <v>0</v>
      </c>
      <c r="N521" s="28"/>
      <c r="O521" s="27">
        <v>0</v>
      </c>
      <c r="P521" s="28">
        <v>0</v>
      </c>
      <c r="Q521" s="27">
        <v>0</v>
      </c>
      <c r="R521" s="26">
        <v>5550000</v>
      </c>
      <c r="S521" s="115">
        <f ca="1">IF(PROVEEDORES[[#This Row],[FECHA DE PAGO]]=0,TODAY()-PROVEEDORES[[#This Row],[FECHA DE FACTURACIÓN]]-PROVEEDORES[[#This Row],[PLAZO Días]],0)</f>
        <v>0</v>
      </c>
      <c r="T5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2" spans="1:20" ht="21.9" customHeight="1" x14ac:dyDescent="0.3">
      <c r="A522" s="113" t="str">
        <f>+IF(PROVEEDORES[[#This Row],[FECHA DE PAGO]]=PROVEEDORES[[#This Row],[FECHA DE FACTURACIÓN]],"DE CONTADO","CRÉDITO")</f>
        <v>CRÉDITO</v>
      </c>
      <c r="B522" s="51" t="b">
        <f>+IF((PROVEEDORES[[#This Row],[FECHA DE PAGO]]-PROVEEDORES[[#This Row],[FECHA DE FACTURACIÓN]])&gt;PROVEEDORES[[#This Row],[PLAZO Días]],"PAGO VENCIDO")</f>
        <v>0</v>
      </c>
      <c r="C522" s="25">
        <f>+VLOOKUP(PROVEEDORES[[#This Row],[PROVEEDOR]],TERCEROS_INFO[#All],2,FALSE)</f>
        <v>30</v>
      </c>
      <c r="D522" s="30">
        <f>+SUMIFS(PROVEEDORES[Total],PROVEEDORES[PROVEEDOR],PROVEEDORES[[#This Row],[PROVEEDOR]],PROVEEDORES[FECHA DE PAGO],"")</f>
        <v>248736.18000000002</v>
      </c>
      <c r="E522" s="30"/>
      <c r="F522" s="73" t="str">
        <f>+VLOOKUP(PROVEEDORES[[#This Row],[PROVEEDOR]],TERCEROS_INFO[[PROVEEDOR]:[CORREO]],5,FALSE)</f>
        <v>administracion@sapian.com.co;girlesa.ruiz@servipilas.com;joriescobar64@gmail.com</v>
      </c>
      <c r="G522" s="111">
        <v>44396</v>
      </c>
      <c r="H522" s="31" t="s">
        <v>346</v>
      </c>
      <c r="I522" s="111">
        <v>44378</v>
      </c>
      <c r="J522" s="48" t="s">
        <v>423</v>
      </c>
      <c r="K522" s="26">
        <v>203897</v>
      </c>
      <c r="L522" s="26"/>
      <c r="M522" s="27">
        <v>38740.43</v>
      </c>
      <c r="N522" s="28"/>
      <c r="O522" s="27">
        <v>0</v>
      </c>
      <c r="P522" s="28">
        <v>3.5000000000000003E-2</v>
      </c>
      <c r="Q522" s="27">
        <v>7136.3950000000004</v>
      </c>
      <c r="R522" s="26">
        <v>235501.035</v>
      </c>
      <c r="S522" s="115">
        <f ca="1">IF(PROVEEDORES[[#This Row],[FECHA DE PAGO]]=0,TODAY()-PROVEEDORES[[#This Row],[FECHA DE FACTURACIÓN]]-PROVEEDORES[[#This Row],[PLAZO Días]],0)</f>
        <v>0</v>
      </c>
      <c r="T5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3" spans="1:20" ht="21.9" customHeight="1" x14ac:dyDescent="0.3">
      <c r="A523" s="113" t="str">
        <f>+IF(PROVEEDORES[[#This Row],[FECHA DE PAGO]]=PROVEEDORES[[#This Row],[FECHA DE FACTURACIÓN]],"DE CONTADO","CRÉDITO")</f>
        <v>CRÉDITO</v>
      </c>
      <c r="B523" s="51" t="str">
        <f>+IF((PROVEEDORES[[#This Row],[FECHA DE PAGO]]-PROVEEDORES[[#This Row],[FECHA DE FACTURACIÓN]])&gt;PROVEEDORES[[#This Row],[PLAZO Días]],"PAGO VENCIDO")</f>
        <v>PAGO VENCIDO</v>
      </c>
      <c r="C523" s="25">
        <f>+VLOOKUP(PROVEEDORES[[#This Row],[PROVEEDOR]],TERCEROS_INFO[#All],2,FALSE)</f>
        <v>30</v>
      </c>
      <c r="D523" s="30">
        <f>+SUMIFS(PROVEEDORES[Total],PROVEEDORES[PROVEEDOR],PROVEEDORES[[#This Row],[PROVEEDOR]],PROVEEDORES[FECHA DE PAGO],"")</f>
        <v>1856492</v>
      </c>
      <c r="E523" s="30"/>
      <c r="F523" s="73" t="str">
        <f>+VLOOKUP(PROVEEDORES[[#This Row],[PROVEEDOR]],TERCEROS_INFO[[PROVEEDOR]:[CORREO]],5,FALSE)</f>
        <v>PSE</v>
      </c>
      <c r="G523" s="111">
        <v>44448</v>
      </c>
      <c r="H523" s="31" t="s">
        <v>337</v>
      </c>
      <c r="I523" s="111">
        <v>44378</v>
      </c>
      <c r="J523" s="48" t="s">
        <v>322</v>
      </c>
      <c r="K523" s="26">
        <v>256261</v>
      </c>
      <c r="L523" s="26"/>
      <c r="M523" s="27">
        <v>0</v>
      </c>
      <c r="N523" s="28"/>
      <c r="O523" s="27">
        <v>0</v>
      </c>
      <c r="P523" s="28">
        <v>0</v>
      </c>
      <c r="Q523" s="27">
        <v>0</v>
      </c>
      <c r="R523" s="26">
        <v>256261</v>
      </c>
      <c r="S523" s="115">
        <f ca="1">IF(PROVEEDORES[[#This Row],[FECHA DE PAGO]]=0,TODAY()-PROVEEDORES[[#This Row],[FECHA DE FACTURACIÓN]]-PROVEEDORES[[#This Row],[PLAZO Días]],0)</f>
        <v>0</v>
      </c>
      <c r="T5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4" spans="1:20" ht="21.9" customHeight="1" x14ac:dyDescent="0.3">
      <c r="A524" s="113" t="str">
        <f>+IF(PROVEEDORES[[#This Row],[FECHA DE PAGO]]=PROVEEDORES[[#This Row],[FECHA DE FACTURACIÓN]],"DE CONTADO","CRÉDITO")</f>
        <v>CRÉDITO</v>
      </c>
      <c r="B524" s="51" t="b">
        <f>+IF((PROVEEDORES[[#This Row],[FECHA DE PAGO]]-PROVEEDORES[[#This Row],[FECHA DE FACTURACIÓN]])&gt;PROVEEDORES[[#This Row],[PLAZO Días]],"PAGO VENCIDO")</f>
        <v>0</v>
      </c>
      <c r="C524" s="25">
        <f>+VLOOKUP(PROVEEDORES[[#This Row],[PROVEEDOR]],TERCEROS_INFO[#All],2,FALSE)</f>
        <v>30</v>
      </c>
      <c r="D524" s="30">
        <f>+SUMIFS(PROVEEDORES[Total],PROVEEDORES[PROVEEDOR],PROVEEDORES[[#This Row],[PROVEEDOR]],PROVEEDORES[FECHA DE PAGO],"")</f>
        <v>0</v>
      </c>
      <c r="E524" s="30"/>
      <c r="F524" s="73" t="str">
        <f>+VLOOKUP(PROVEEDORES[[#This Row],[PROVEEDOR]],TERCEROS_INFO[[PROVEEDOR]:[CORREO]],5,FALSE)</f>
        <v>facturacion@losmolinos.com.co</v>
      </c>
      <c r="G524" s="111">
        <v>44391</v>
      </c>
      <c r="H524" s="31" t="s">
        <v>345</v>
      </c>
      <c r="I524" s="111">
        <v>44378</v>
      </c>
      <c r="J524" s="48">
        <v>63475</v>
      </c>
      <c r="K524" s="26">
        <v>302624.74</v>
      </c>
      <c r="L524" s="26"/>
      <c r="M524" s="27">
        <v>0</v>
      </c>
      <c r="N524" s="28"/>
      <c r="O524" s="27">
        <v>59934.46</v>
      </c>
      <c r="P524" s="28">
        <v>0</v>
      </c>
      <c r="Q524" s="27">
        <v>0</v>
      </c>
      <c r="R524" s="26">
        <v>242690.28</v>
      </c>
      <c r="S524" s="115">
        <f ca="1">IF(PROVEEDORES[[#This Row],[FECHA DE PAGO]]=0,TODAY()-PROVEEDORES[[#This Row],[FECHA DE FACTURACIÓN]]-PROVEEDORES[[#This Row],[PLAZO Días]],0)</f>
        <v>0</v>
      </c>
      <c r="T5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5" spans="1:20" ht="21.9" customHeight="1" x14ac:dyDescent="0.3">
      <c r="A525" s="113" t="str">
        <f>+IF(PROVEEDORES[[#This Row],[FECHA DE PAGO]]=PROVEEDORES[[#This Row],[FECHA DE FACTURACIÓN]],"DE CONTADO","CRÉDITO")</f>
        <v>CRÉDITO</v>
      </c>
      <c r="B525" s="51" t="b">
        <f>+IF((PROVEEDORES[[#This Row],[FECHA DE PAGO]]-PROVEEDORES[[#This Row],[FECHA DE FACTURACIÓN]])&gt;PROVEEDORES[[#This Row],[PLAZO Días]],"PAGO VENCIDO")</f>
        <v>0</v>
      </c>
      <c r="C525" s="25">
        <f>+VLOOKUP(PROVEEDORES[[#This Row],[PROVEEDOR]],TERCEROS_INFO[#All],2,FALSE)</f>
        <v>13</v>
      </c>
      <c r="D525" s="30">
        <f>+SUMIFS(PROVEEDORES[Total],PROVEEDORES[PROVEEDOR],PROVEEDORES[[#This Row],[PROVEEDOR]],PROVEEDORES[FECHA DE PAGO],"")</f>
        <v>0</v>
      </c>
      <c r="E525" s="30"/>
      <c r="F525" s="73">
        <f>+VLOOKUP(PROVEEDORES[[#This Row],[PROVEEDOR]],TERCEROS_INFO[[PROVEEDOR]:[CORREO]],5,FALSE)</f>
        <v>0</v>
      </c>
      <c r="G525" s="111">
        <v>44391</v>
      </c>
      <c r="H525" s="31" t="s">
        <v>329</v>
      </c>
      <c r="I525" s="111">
        <v>44378</v>
      </c>
      <c r="J525" s="48" t="s">
        <v>331</v>
      </c>
      <c r="K525" s="26">
        <v>313385</v>
      </c>
      <c r="L525" s="26"/>
      <c r="M525" s="27">
        <v>0</v>
      </c>
      <c r="N525" s="28"/>
      <c r="O525" s="27">
        <v>0</v>
      </c>
      <c r="P525" s="28">
        <v>0</v>
      </c>
      <c r="Q525" s="27">
        <v>0</v>
      </c>
      <c r="R525" s="26">
        <v>313385</v>
      </c>
      <c r="S525" s="115">
        <f ca="1">IF(PROVEEDORES[[#This Row],[FECHA DE PAGO]]=0,TODAY()-PROVEEDORES[[#This Row],[FECHA DE FACTURACIÓN]]-PROVEEDORES[[#This Row],[PLAZO Días]],0)</f>
        <v>0</v>
      </c>
      <c r="T52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6" spans="1:20" ht="21.9" customHeight="1" x14ac:dyDescent="0.3">
      <c r="A526" s="113" t="str">
        <f>+IF(PROVEEDORES[[#This Row],[FECHA DE PAGO]]=PROVEEDORES[[#This Row],[FECHA DE FACTURACIÓN]],"DE CONTADO","CRÉDITO")</f>
        <v>CRÉDITO</v>
      </c>
      <c r="B526" s="51" t="str">
        <f>+IF((PROVEEDORES[[#This Row],[FECHA DE PAGO]]-PROVEEDORES[[#This Row],[FECHA DE FACTURACIÓN]])&gt;PROVEEDORES[[#This Row],[PLAZO Días]],"PAGO VENCIDO")</f>
        <v>PAGO VENCIDO</v>
      </c>
      <c r="C526" s="25">
        <f>+VLOOKUP(PROVEEDORES[[#This Row],[PROVEEDOR]],TERCEROS_INFO[#All],2,FALSE)</f>
        <v>20</v>
      </c>
      <c r="D526" s="30">
        <f>+SUMIFS(PROVEEDORES[Total],PROVEEDORES[PROVEEDOR],PROVEEDORES[[#This Row],[PROVEEDOR]],PROVEEDORES[FECHA DE PAGO],"")</f>
        <v>0</v>
      </c>
      <c r="E526" s="30"/>
      <c r="F526" s="73" t="str">
        <f>+VLOOKUP(PROVEEDORES[[#This Row],[PROVEEDOR]],TERCEROS_INFO[[PROVEEDOR]:[CORREO]],5,FALSE)</f>
        <v>pse</v>
      </c>
      <c r="G526" s="111">
        <v>44399</v>
      </c>
      <c r="H526" s="31" t="s">
        <v>373</v>
      </c>
      <c r="I526" s="111">
        <v>44378</v>
      </c>
      <c r="J526" s="48"/>
      <c r="K526" s="26">
        <v>326232</v>
      </c>
      <c r="L526" s="26"/>
      <c r="M526" s="27">
        <v>0</v>
      </c>
      <c r="N526" s="28"/>
      <c r="O526" s="27">
        <v>0</v>
      </c>
      <c r="P526" s="28">
        <v>0</v>
      </c>
      <c r="Q526" s="27">
        <v>0</v>
      </c>
      <c r="R526" s="26">
        <v>326232</v>
      </c>
      <c r="S526" s="115">
        <f ca="1">IF(PROVEEDORES[[#This Row],[FECHA DE PAGO]]=0,TODAY()-PROVEEDORES[[#This Row],[FECHA DE FACTURACIÓN]]-PROVEEDORES[[#This Row],[PLAZO Días]],0)</f>
        <v>0</v>
      </c>
      <c r="T52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7" spans="1:20" ht="21.9" customHeight="1" x14ac:dyDescent="0.3">
      <c r="A527" s="113" t="str">
        <f>+IF(PROVEEDORES[[#This Row],[FECHA DE PAGO]]=PROVEEDORES[[#This Row],[FECHA DE FACTURACIÓN]],"DE CONTADO","CRÉDITO")</f>
        <v>CRÉDITO</v>
      </c>
      <c r="B527" s="51" t="b">
        <f>+IF((PROVEEDORES[[#This Row],[FECHA DE PAGO]]-PROVEEDORES[[#This Row],[FECHA DE FACTURACIÓN]])&gt;PROVEEDORES[[#This Row],[PLAZO Días]],"PAGO VENCIDO")</f>
        <v>0</v>
      </c>
      <c r="C527" s="25">
        <f>+VLOOKUP(PROVEEDORES[[#This Row],[PROVEEDOR]],TERCEROS_INFO[#All],2,FALSE)</f>
        <v>30</v>
      </c>
      <c r="D527" s="30">
        <f>+SUMIFS(PROVEEDORES[Total],PROVEEDORES[PROVEEDOR],PROVEEDORES[[#This Row],[PROVEEDOR]],PROVEEDORES[FECHA DE PAGO],"")</f>
        <v>4862586.33</v>
      </c>
      <c r="E527" s="30"/>
      <c r="F527" s="73" t="str">
        <f>+VLOOKUP(PROVEEDORES[[#This Row],[PROVEEDOR]],TERCEROS_INFO[[PROVEEDOR]:[CORREO]],5,FALSE)</f>
        <v>cartera@conbienes.com;girlesa.ruiz@servipilas.com;joriescobar64@gmail.com</v>
      </c>
      <c r="G527" s="111">
        <v>44396</v>
      </c>
      <c r="H527" s="31" t="s">
        <v>348</v>
      </c>
      <c r="I527" s="111">
        <v>44378</v>
      </c>
      <c r="J527" s="48" t="s">
        <v>582</v>
      </c>
      <c r="K527" s="26">
        <v>716544</v>
      </c>
      <c r="L527" s="26"/>
      <c r="M527" s="27">
        <v>136143.36000000002</v>
      </c>
      <c r="N527" s="28"/>
      <c r="O527" s="27">
        <v>0</v>
      </c>
      <c r="P527" s="28">
        <v>0</v>
      </c>
      <c r="Q527" s="27">
        <v>0</v>
      </c>
      <c r="R527" s="26">
        <v>852687.35999999999</v>
      </c>
      <c r="S527" s="115">
        <f ca="1">IF(PROVEEDORES[[#This Row],[FECHA DE PAGO]]=0,TODAY()-PROVEEDORES[[#This Row],[FECHA DE FACTURACIÓN]]-PROVEEDORES[[#This Row],[PLAZO Días]],0)</f>
        <v>0</v>
      </c>
      <c r="T5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8" spans="1:20" ht="21.9" customHeight="1" x14ac:dyDescent="0.3">
      <c r="A528" s="113" t="str">
        <f>+IF(PROVEEDORES[[#This Row],[FECHA DE PAGO]]=PROVEEDORES[[#This Row],[FECHA DE FACTURACIÓN]],"DE CONTADO","CRÉDITO")</f>
        <v>CRÉDITO</v>
      </c>
      <c r="B528" s="51" t="b">
        <f>+IF((PROVEEDORES[[#This Row],[FECHA DE PAGO]]-PROVEEDORES[[#This Row],[FECHA DE FACTURACIÓN]])&gt;PROVEEDORES[[#This Row],[PLAZO Días]],"PAGO VENCIDO")</f>
        <v>0</v>
      </c>
      <c r="C528" s="25">
        <f>+VLOOKUP(PROVEEDORES[[#This Row],[PROVEEDOR]],TERCEROS_INFO[#All],2,FALSE)</f>
        <v>30</v>
      </c>
      <c r="D528" s="30">
        <f>+SUMIFS(PROVEEDORES[Total],PROVEEDORES[PROVEEDOR],PROVEEDORES[[#This Row],[PROVEEDOR]],PROVEEDORES[FECHA DE PAGO],"")</f>
        <v>0</v>
      </c>
      <c r="E528" s="30"/>
      <c r="F528" s="73" t="str">
        <f>+VLOOKUP(PROVEEDORES[[#This Row],[PROVEEDOR]],TERCEROS_INFO[[PROVEEDOR]:[CORREO]],5,FALSE)</f>
        <v>PSE</v>
      </c>
      <c r="G528" s="111">
        <v>44396</v>
      </c>
      <c r="H528" s="31" t="s">
        <v>353</v>
      </c>
      <c r="I528" s="111">
        <v>44378</v>
      </c>
      <c r="J528" s="48" t="s">
        <v>354</v>
      </c>
      <c r="K528" s="26">
        <v>727051</v>
      </c>
      <c r="L528" s="26"/>
      <c r="M528" s="27">
        <v>0</v>
      </c>
      <c r="N528" s="28"/>
      <c r="O528" s="27">
        <v>0</v>
      </c>
      <c r="P528" s="28">
        <v>0</v>
      </c>
      <c r="Q528" s="27">
        <v>0</v>
      </c>
      <c r="R528" s="26">
        <v>727051</v>
      </c>
      <c r="S528" s="115">
        <f ca="1">IF(PROVEEDORES[[#This Row],[FECHA DE PAGO]]=0,TODAY()-PROVEEDORES[[#This Row],[FECHA DE FACTURACIÓN]]-PROVEEDORES[[#This Row],[PLAZO Días]],0)</f>
        <v>0</v>
      </c>
      <c r="T52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29" spans="1:20" ht="21.9" customHeight="1" x14ac:dyDescent="0.3">
      <c r="A529" s="113" t="str">
        <f>+IF(PROVEEDORES[[#This Row],[FECHA DE PAGO]]=PROVEEDORES[[#This Row],[FECHA DE FACTURACIÓN]],"DE CONTADO","CRÉDITO")</f>
        <v>CRÉDITO</v>
      </c>
      <c r="B529" s="51" t="b">
        <f>+IF((PROVEEDORES[[#This Row],[FECHA DE PAGO]]-PROVEEDORES[[#This Row],[FECHA DE FACTURACIÓN]])&gt;PROVEEDORES[[#This Row],[PLAZO Días]],"PAGO VENCIDO")</f>
        <v>0</v>
      </c>
      <c r="C529" s="25">
        <f>+VLOOKUP(PROVEEDORES[[#This Row],[PROVEEDOR]],TERCEROS_INFO[#All],2,FALSE)</f>
        <v>30</v>
      </c>
      <c r="D529" s="30">
        <f>+SUMIFS(PROVEEDORES[Total],PROVEEDORES[PROVEEDOR],PROVEEDORES[[#This Row],[PROVEEDOR]],PROVEEDORES[FECHA DE PAGO],"")</f>
        <v>0</v>
      </c>
      <c r="E529" s="30"/>
      <c r="F529" s="73" t="str">
        <f>+VLOOKUP(PROVEEDORES[[#This Row],[PROVEEDOR]],TERCEROS_INFO[[PROVEEDOR]:[CORREO]],5,FALSE)</f>
        <v>PSE</v>
      </c>
      <c r="G529" s="111">
        <v>44396</v>
      </c>
      <c r="H529" s="31" t="s">
        <v>353</v>
      </c>
      <c r="I529" s="111">
        <v>44378</v>
      </c>
      <c r="J529" s="48" t="s">
        <v>355</v>
      </c>
      <c r="K529" s="26">
        <v>743959</v>
      </c>
      <c r="L529" s="26"/>
      <c r="M529" s="27">
        <v>0</v>
      </c>
      <c r="N529" s="28"/>
      <c r="O529" s="27">
        <v>0</v>
      </c>
      <c r="P529" s="28">
        <v>0</v>
      </c>
      <c r="Q529" s="27">
        <v>0</v>
      </c>
      <c r="R529" s="26">
        <v>743959</v>
      </c>
      <c r="S529" s="115">
        <f ca="1">IF(PROVEEDORES[[#This Row],[FECHA DE PAGO]]=0,TODAY()-PROVEEDORES[[#This Row],[FECHA DE FACTURACIÓN]]-PROVEEDORES[[#This Row],[PLAZO Días]],0)</f>
        <v>0</v>
      </c>
      <c r="T52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0" spans="1:20" ht="21.9" customHeight="1" x14ac:dyDescent="0.3">
      <c r="A530" s="113" t="str">
        <f>+IF(PROVEEDORES[[#This Row],[FECHA DE PAGO]]=PROVEEDORES[[#This Row],[FECHA DE FACTURACIÓN]],"DE CONTADO","CRÉDITO")</f>
        <v>CRÉDITO</v>
      </c>
      <c r="B530" s="51" t="b">
        <f>+IF((PROVEEDORES[[#This Row],[FECHA DE PAGO]]-PROVEEDORES[[#This Row],[FECHA DE FACTURACIÓN]])&gt;PROVEEDORES[[#This Row],[PLAZO Días]],"PAGO VENCIDO")</f>
        <v>0</v>
      </c>
      <c r="C530" s="25">
        <f>+VLOOKUP(PROVEEDORES[[#This Row],[PROVEEDOR]],TERCEROS_INFO[#All],2,FALSE)</f>
        <v>20</v>
      </c>
      <c r="D530" s="30">
        <f>+SUMIFS(PROVEEDORES[Total],PROVEEDORES[PROVEEDOR],PROVEEDORES[[#This Row],[PROVEEDOR]],PROVEEDORES[FECHA DE PAGO],"")</f>
        <v>0</v>
      </c>
      <c r="E530" s="30"/>
      <c r="F530" s="73" t="str">
        <f>+VLOOKUP(PROVEEDORES[[#This Row],[PROVEEDOR]],TERCEROS_INFO[[PROVEEDOR]:[CORREO]],5,FALSE)</f>
        <v>pse</v>
      </c>
      <c r="G530" s="111">
        <v>44391</v>
      </c>
      <c r="H530" s="31" t="s">
        <v>374</v>
      </c>
      <c r="I530" s="111">
        <v>44378</v>
      </c>
      <c r="J530" s="48"/>
      <c r="K530" s="26">
        <v>874675</v>
      </c>
      <c r="L530" s="26"/>
      <c r="M530" s="27">
        <v>0</v>
      </c>
      <c r="N530" s="28"/>
      <c r="O530" s="27">
        <v>0</v>
      </c>
      <c r="P530" s="28">
        <v>0</v>
      </c>
      <c r="Q530" s="27">
        <v>0</v>
      </c>
      <c r="R530" s="26">
        <v>874675</v>
      </c>
      <c r="S530" s="115">
        <f ca="1">IF(PROVEEDORES[[#This Row],[FECHA DE PAGO]]=0,TODAY()-PROVEEDORES[[#This Row],[FECHA DE FACTURACIÓN]]-PROVEEDORES[[#This Row],[PLAZO Días]],0)</f>
        <v>0</v>
      </c>
      <c r="T53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1" spans="1:20" ht="21.9" customHeight="1" x14ac:dyDescent="0.3">
      <c r="A531" s="113" t="str">
        <f>+IF(PROVEEDORES[[#This Row],[FECHA DE PAGO]]=PROVEEDORES[[#This Row],[FECHA DE FACTURACIÓN]],"DE CONTADO","CRÉDITO")</f>
        <v>CRÉDITO</v>
      </c>
      <c r="B531" s="51" t="str">
        <f>+IF((PROVEEDORES[[#This Row],[FECHA DE PAGO]]-PROVEEDORES[[#This Row],[FECHA DE FACTURACIÓN]])&gt;PROVEEDORES[[#This Row],[PLAZO Días]],"PAGO VENCIDO")</f>
        <v>PAGO VENCIDO</v>
      </c>
      <c r="C531" s="25">
        <f>+VLOOKUP(PROVEEDORES[[#This Row],[PROVEEDOR]],TERCEROS_INFO[#All],2,FALSE)</f>
        <v>30</v>
      </c>
      <c r="D531" s="30">
        <f>+SUMIFS(PROVEEDORES[Total],PROVEEDORES[PROVEEDOR],PROVEEDORES[[#This Row],[PROVEEDOR]],PROVEEDORES[FECHA DE PAGO],"")</f>
        <v>1856492</v>
      </c>
      <c r="E531" s="30"/>
      <c r="F531" s="73" t="str">
        <f>+VLOOKUP(PROVEEDORES[[#This Row],[PROVEEDOR]],TERCEROS_INFO[[PROVEEDOR]:[CORREO]],5,FALSE)</f>
        <v>PSE</v>
      </c>
      <c r="G531" s="111">
        <v>44448</v>
      </c>
      <c r="H531" s="31" t="s">
        <v>337</v>
      </c>
      <c r="I531" s="111">
        <v>44378</v>
      </c>
      <c r="J531" s="48" t="s">
        <v>321</v>
      </c>
      <c r="K531" s="26">
        <v>1545030</v>
      </c>
      <c r="L531" s="26"/>
      <c r="M531" s="27">
        <v>0</v>
      </c>
      <c r="N531" s="28"/>
      <c r="O531" s="27">
        <v>0</v>
      </c>
      <c r="P531" s="28">
        <v>0</v>
      </c>
      <c r="Q531" s="27">
        <v>0</v>
      </c>
      <c r="R531" s="26">
        <v>1545030</v>
      </c>
      <c r="S531" s="115">
        <f ca="1">IF(PROVEEDORES[[#This Row],[FECHA DE PAGO]]=0,TODAY()-PROVEEDORES[[#This Row],[FECHA DE FACTURACIÓN]]-PROVEEDORES[[#This Row],[PLAZO Días]],0)</f>
        <v>0</v>
      </c>
      <c r="T5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2" spans="1:20" ht="21.9" customHeight="1" x14ac:dyDescent="0.3">
      <c r="A532" s="113" t="str">
        <f>+IF(PROVEEDORES[[#This Row],[FECHA DE PAGO]]=PROVEEDORES[[#This Row],[FECHA DE FACTURACIÓN]],"DE CONTADO","CRÉDITO")</f>
        <v>CRÉDITO</v>
      </c>
      <c r="B532" s="51" t="b">
        <f>+IF((PROVEEDORES[[#This Row],[FECHA DE PAGO]]-PROVEEDORES[[#This Row],[FECHA DE FACTURACIÓN]])&gt;PROVEEDORES[[#This Row],[PLAZO Días]],"PAGO VENCIDO")</f>
        <v>0</v>
      </c>
      <c r="C532" s="25">
        <f>+VLOOKUP(PROVEEDORES[[#This Row],[PROVEEDOR]],TERCEROS_INFO[#All],2,FALSE)</f>
        <v>30</v>
      </c>
      <c r="D532" s="30">
        <f>+SUMIFS(PROVEEDORES[Total],PROVEEDORES[PROVEEDOR],PROVEEDORES[[#This Row],[PROVEEDOR]],PROVEEDORES[FECHA DE PAGO],"")</f>
        <v>1296896</v>
      </c>
      <c r="E532" s="30"/>
      <c r="F532" s="73" t="str">
        <f>+VLOOKUP(PROVEEDORES[[#This Row],[PROVEEDOR]],TERCEROS_INFO[[PROVEEDOR]:[CORREO]],5,FALSE)</f>
        <v>tesoreria@lacentral.com.co;girlesa.ruiz@servipilas.com;joriescobar64@gmail.com</v>
      </c>
      <c r="G532" s="111">
        <v>44396</v>
      </c>
      <c r="H532" s="31" t="s">
        <v>335</v>
      </c>
      <c r="I532" s="111">
        <v>44378</v>
      </c>
      <c r="J532" s="48">
        <v>8521</v>
      </c>
      <c r="K532" s="26">
        <v>1547710</v>
      </c>
      <c r="L532" s="26"/>
      <c r="M532" s="27">
        <v>0</v>
      </c>
      <c r="N532" s="28"/>
      <c r="O532" s="27">
        <v>138087</v>
      </c>
      <c r="P532" s="28">
        <v>0</v>
      </c>
      <c r="Q532" s="27">
        <v>0</v>
      </c>
      <c r="R532" s="26">
        <v>1409623</v>
      </c>
      <c r="S532" s="115">
        <f ca="1">IF(PROVEEDORES[[#This Row],[FECHA DE PAGO]]=0,TODAY()-PROVEEDORES[[#This Row],[FECHA DE FACTURACIÓN]]-PROVEEDORES[[#This Row],[PLAZO Días]],0)</f>
        <v>0</v>
      </c>
      <c r="T5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3" spans="1:20" ht="21.9" customHeight="1" x14ac:dyDescent="0.3">
      <c r="A533" s="113" t="str">
        <f>+IF(PROVEEDORES[[#This Row],[FECHA DE PAGO]]=PROVEEDORES[[#This Row],[FECHA DE FACTURACIÓN]],"DE CONTADO","CRÉDITO")</f>
        <v>CRÉDITO</v>
      </c>
      <c r="B533" s="51" t="b">
        <f>+IF((PROVEEDORES[[#This Row],[FECHA DE PAGO]]-PROVEEDORES[[#This Row],[FECHA DE FACTURACIÓN]])&gt;PROVEEDORES[[#This Row],[PLAZO Días]],"PAGO VENCIDO")</f>
        <v>0</v>
      </c>
      <c r="C533" s="25">
        <f>+VLOOKUP(PROVEEDORES[[#This Row],[PROVEEDOR]],TERCEROS_INFO[#All],2,FALSE)</f>
        <v>30</v>
      </c>
      <c r="D533" s="30">
        <f>+SUMIFS(PROVEEDORES[Total],PROVEEDORES[PROVEEDOR],PROVEEDORES[[#This Row],[PROVEEDOR]],PROVEEDORES[FECHA DE PAGO],"")</f>
        <v>264406</v>
      </c>
      <c r="E533" s="30"/>
      <c r="F533" s="73" t="str">
        <f>+VLOOKUP(PROVEEDORES[[#This Row],[PROVEEDOR]],TERCEROS_INFO[[PROVEEDOR]:[CORREO]],5,FALSE)</f>
        <v>oswaldo.alvarez@logimexsas.com;girlesa.ruiz@servipilas.com;joriescobar64@gmail.com</v>
      </c>
      <c r="G533" s="111">
        <v>44379</v>
      </c>
      <c r="H533" s="31" t="s">
        <v>393</v>
      </c>
      <c r="I533" s="111">
        <v>44378</v>
      </c>
      <c r="J533" s="48" t="s">
        <v>753</v>
      </c>
      <c r="K533" s="26">
        <v>1791000</v>
      </c>
      <c r="L533" s="26"/>
      <c r="M533" s="27">
        <v>0</v>
      </c>
      <c r="N533" s="28"/>
      <c r="O533" s="27">
        <v>0</v>
      </c>
      <c r="P533" s="28">
        <v>0</v>
      </c>
      <c r="Q533" s="27">
        <v>0</v>
      </c>
      <c r="R533" s="26">
        <v>1791000</v>
      </c>
      <c r="S533" s="115">
        <f ca="1">IF(PROVEEDORES[[#This Row],[FECHA DE PAGO]]=0,TODAY()-PROVEEDORES[[#This Row],[FECHA DE FACTURACIÓN]]-PROVEEDORES[[#This Row],[PLAZO Días]],0)</f>
        <v>0</v>
      </c>
      <c r="T5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4" spans="1:20" ht="21.9" customHeight="1" x14ac:dyDescent="0.3">
      <c r="A534" s="113" t="str">
        <f>+IF(PROVEEDORES[[#This Row],[FECHA DE PAGO]]=PROVEEDORES[[#This Row],[FECHA DE FACTURACIÓN]],"DE CONTADO","CRÉDITO")</f>
        <v>CRÉDITO</v>
      </c>
      <c r="B534" s="51" t="b">
        <f>+IF((PROVEEDORES[[#This Row],[FECHA DE PAGO]]-PROVEEDORES[[#This Row],[FECHA DE FACTURACIÓN]])&gt;PROVEEDORES[[#This Row],[PLAZO Días]],"PAGO VENCIDO")</f>
        <v>0</v>
      </c>
      <c r="C534" s="25">
        <f>+VLOOKUP(PROVEEDORES[[#This Row],[PROVEEDOR]],TERCEROS_INFO[#All],2,FALSE)</f>
        <v>10</v>
      </c>
      <c r="D534" s="30">
        <f>+SUMIFS(PROVEEDORES[Total],PROVEEDORES[PROVEEDOR],PROVEEDORES[[#This Row],[PROVEEDOR]],PROVEEDORES[FECHA DE PAGO],"")</f>
        <v>0</v>
      </c>
      <c r="E534" s="30"/>
      <c r="F534" s="73">
        <f>+VLOOKUP(PROVEEDORES[[#This Row],[PROVEEDOR]],TERCEROS_INFO[[PROVEEDOR]:[CORREO]],5,FALSE)</f>
        <v>0</v>
      </c>
      <c r="G534" s="111">
        <v>44379</v>
      </c>
      <c r="H534" s="31" t="s">
        <v>394</v>
      </c>
      <c r="I534" s="111">
        <v>44378</v>
      </c>
      <c r="J534" s="48" t="s">
        <v>424</v>
      </c>
      <c r="K534" s="26">
        <v>1860000</v>
      </c>
      <c r="L534" s="26"/>
      <c r="M534" s="27">
        <v>0</v>
      </c>
      <c r="N534" s="28"/>
      <c r="O534" s="27">
        <v>0</v>
      </c>
      <c r="P534" s="28">
        <v>0</v>
      </c>
      <c r="Q534" s="27">
        <v>0</v>
      </c>
      <c r="R534" s="26">
        <v>1860000</v>
      </c>
      <c r="S534" s="115">
        <f ca="1">IF(PROVEEDORES[[#This Row],[FECHA DE PAGO]]=0,TODAY()-PROVEEDORES[[#This Row],[FECHA DE FACTURACIÓN]]-PROVEEDORES[[#This Row],[PLAZO Días]],0)</f>
        <v>0</v>
      </c>
      <c r="T5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5" spans="1:20" ht="21.9" customHeight="1" x14ac:dyDescent="0.3">
      <c r="A535" s="113" t="str">
        <f>+IF(PROVEEDORES[[#This Row],[FECHA DE PAGO]]=PROVEEDORES[[#This Row],[FECHA DE FACTURACIÓN]],"DE CONTADO","CRÉDITO")</f>
        <v>CRÉDITO</v>
      </c>
      <c r="B535" s="51" t="str">
        <f>+IF((PROVEEDORES[[#This Row],[FECHA DE PAGO]]-PROVEEDORES[[#This Row],[FECHA DE FACTURACIÓN]])&gt;PROVEEDORES[[#This Row],[PLAZO Días]],"PAGO VENCIDO")</f>
        <v>PAGO VENCIDO</v>
      </c>
      <c r="C535" s="25">
        <f>+VLOOKUP(PROVEEDORES[[#This Row],[PROVEEDOR]],TERCEROS_INFO[#All],2,FALSE)</f>
        <v>30</v>
      </c>
      <c r="D535" s="30">
        <f>+SUMIFS(PROVEEDORES[Total],PROVEEDORES[PROVEEDOR],PROVEEDORES[[#This Row],[PROVEEDOR]],PROVEEDORES[FECHA DE PAGO],"")</f>
        <v>3320000</v>
      </c>
      <c r="E535" s="30"/>
      <c r="F535" s="73" t="str">
        <f>+VLOOKUP(PROVEEDORES[[#This Row],[PROVEEDOR]],TERCEROS_INFO[[PROVEEDOR]:[CORREO]],5,FALSE)</f>
        <v>Pygimportadora@gmail.com;girlesa.ruiz@servipilas.com;joriescobar64@gmail.com</v>
      </c>
      <c r="G535" s="111">
        <v>44418</v>
      </c>
      <c r="H535" s="31" t="s">
        <v>1068</v>
      </c>
      <c r="I535" s="111">
        <v>44378</v>
      </c>
      <c r="J535" s="48" t="s">
        <v>425</v>
      </c>
      <c r="K535" s="26">
        <v>2090000</v>
      </c>
      <c r="L535" s="26"/>
      <c r="M535" s="27">
        <v>0</v>
      </c>
      <c r="N535" s="28"/>
      <c r="O535" s="27">
        <v>0</v>
      </c>
      <c r="P535" s="28">
        <v>0</v>
      </c>
      <c r="Q535" s="27">
        <v>0</v>
      </c>
      <c r="R535" s="26">
        <v>2090000</v>
      </c>
      <c r="S535" s="115">
        <f ca="1">IF(PROVEEDORES[[#This Row],[FECHA DE PAGO]]=0,TODAY()-PROVEEDORES[[#This Row],[FECHA DE FACTURACIÓN]]-PROVEEDORES[[#This Row],[PLAZO Días]],0)</f>
        <v>0</v>
      </c>
      <c r="T5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6" spans="1:20" ht="21.9" customHeight="1" x14ac:dyDescent="0.3">
      <c r="A536" s="113" t="str">
        <f>+IF(PROVEEDORES[[#This Row],[FECHA DE PAGO]]=PROVEEDORES[[#This Row],[FECHA DE FACTURACIÓN]],"DE CONTADO","CRÉDITO")</f>
        <v>CRÉDITO</v>
      </c>
      <c r="B536" s="51" t="b">
        <f>+IF((PROVEEDORES[[#This Row],[FECHA DE PAGO]]-PROVEEDORES[[#This Row],[FECHA DE FACTURACIÓN]])&gt;PROVEEDORES[[#This Row],[PLAZO Días]],"PAGO VENCIDO")</f>
        <v>0</v>
      </c>
      <c r="C536" s="25">
        <f>+VLOOKUP(PROVEEDORES[[#This Row],[PROVEEDOR]],TERCEROS_INFO[#All],2,FALSE)</f>
        <v>30</v>
      </c>
      <c r="D536" s="30">
        <f>+SUMIFS(PROVEEDORES[Total],PROVEEDORES[PROVEEDOR],PROVEEDORES[[#This Row],[PROVEEDOR]],PROVEEDORES[FECHA DE PAGO],"")</f>
        <v>0</v>
      </c>
      <c r="E536" s="30"/>
      <c r="F536" s="73" t="str">
        <f>+VLOOKUP(PROVEEDORES[[#This Row],[PROVEEDOR]],TERCEROS_INFO[[PROVEEDOR]:[CORREO]],5,FALSE)</f>
        <v>propertymarketingsas@hotmail.com;girlesa.ruiz@servipilas.com;joriescobar64@gmail.com</v>
      </c>
      <c r="G536" s="111">
        <v>44396</v>
      </c>
      <c r="H536" s="31" t="s">
        <v>486</v>
      </c>
      <c r="I536" s="111">
        <v>44378</v>
      </c>
      <c r="J536" s="48" t="s">
        <v>752</v>
      </c>
      <c r="K536" s="26">
        <v>2789636</v>
      </c>
      <c r="L536" s="26"/>
      <c r="M536" s="27">
        <v>0</v>
      </c>
      <c r="N536" s="28"/>
      <c r="O536" s="27">
        <v>0</v>
      </c>
      <c r="P536" s="28">
        <v>3.5000000000000003E-2</v>
      </c>
      <c r="Q536" s="27">
        <v>97637.260000000009</v>
      </c>
      <c r="R536" s="26">
        <v>2691998.74</v>
      </c>
      <c r="S536" s="115">
        <f ca="1">IF(PROVEEDORES[[#This Row],[FECHA DE PAGO]]=0,TODAY()-PROVEEDORES[[#This Row],[FECHA DE FACTURACIÓN]]-PROVEEDORES[[#This Row],[PLAZO Días]],0)</f>
        <v>0</v>
      </c>
      <c r="T5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7" spans="1:20" ht="21.9" customHeight="1" x14ac:dyDescent="0.3">
      <c r="A537" s="113" t="str">
        <f>+IF(PROVEEDORES[[#This Row],[FECHA DE PAGO]]=PROVEEDORES[[#This Row],[FECHA DE FACTURACIÓN]],"DE CONTADO","CRÉDITO")</f>
        <v>CRÉDITO</v>
      </c>
      <c r="B537" s="51" t="b">
        <f>+IF((PROVEEDORES[[#This Row],[FECHA DE PAGO]]-PROVEEDORES[[#This Row],[FECHA DE FACTURACIÓN]])&gt;PROVEEDORES[[#This Row],[PLAZO Días]],"PAGO VENCIDO")</f>
        <v>0</v>
      </c>
      <c r="C537" s="25">
        <f>+VLOOKUP(PROVEEDORES[[#This Row],[PROVEEDOR]],TERCEROS_INFO[#All],2,FALSE)</f>
        <v>30</v>
      </c>
      <c r="D537" s="30">
        <f>+SUMIFS(PROVEEDORES[Total],PROVEEDORES[PROVEEDOR],PROVEEDORES[[#This Row],[PROVEEDOR]],PROVEEDORES[FECHA DE PAGO],"")</f>
        <v>0</v>
      </c>
      <c r="E537" s="30"/>
      <c r="F537" s="73" t="str">
        <f>+VLOOKUP(PROVEEDORES[[#This Row],[PROVEEDOR]],TERCEROS_INFO[[PROVEEDOR]:[CORREO]],5,FALSE)</f>
        <v>girlesa.ruiz@servipilas.com;joriescobar64@gmail.com</v>
      </c>
      <c r="G537" s="111">
        <v>44396</v>
      </c>
      <c r="H537" s="31" t="s">
        <v>339</v>
      </c>
      <c r="I537" s="111">
        <v>44378</v>
      </c>
      <c r="J537" s="48" t="s">
        <v>930</v>
      </c>
      <c r="K537" s="26">
        <v>3023387</v>
      </c>
      <c r="L537" s="26"/>
      <c r="M537" s="27">
        <v>0</v>
      </c>
      <c r="N537" s="28"/>
      <c r="O537" s="27">
        <v>0</v>
      </c>
      <c r="P537" s="28">
        <v>3.5000000000000003E-2</v>
      </c>
      <c r="Q537" s="27">
        <v>105818.54500000001</v>
      </c>
      <c r="R537" s="26">
        <v>2917568.4550000001</v>
      </c>
      <c r="S537" s="115">
        <f ca="1">IF(PROVEEDORES[[#This Row],[FECHA DE PAGO]]=0,TODAY()-PROVEEDORES[[#This Row],[FECHA DE FACTURACIÓN]]-PROVEEDORES[[#This Row],[PLAZO Días]],0)</f>
        <v>0</v>
      </c>
      <c r="T5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8" spans="1:20" ht="21.9" customHeight="1" x14ac:dyDescent="0.3">
      <c r="A538" s="113" t="str">
        <f>+IF(PROVEEDORES[[#This Row],[FECHA DE PAGO]]=PROVEEDORES[[#This Row],[FECHA DE FACTURACIÓN]],"DE CONTADO","CRÉDITO")</f>
        <v>CRÉDITO</v>
      </c>
      <c r="B538" s="51" t="b">
        <f>+IF((PROVEEDORES[[#This Row],[FECHA DE PAGO]]-PROVEEDORES[[#This Row],[FECHA DE FACTURACIÓN]])&gt;PROVEEDORES[[#This Row],[PLAZO Días]],"PAGO VENCIDO")</f>
        <v>0</v>
      </c>
      <c r="C538" s="25">
        <f>+VLOOKUP(PROVEEDORES[[#This Row],[PROVEEDOR]],TERCEROS_INFO[#All],2,FALSE)</f>
        <v>30</v>
      </c>
      <c r="D538" s="30">
        <f>+SUMIFS(PROVEEDORES[Total],PROVEEDORES[PROVEEDOR],PROVEEDORES[[#This Row],[PROVEEDOR]],PROVEEDORES[FECHA DE PAGO],"")</f>
        <v>4862586.33</v>
      </c>
      <c r="E538" s="30"/>
      <c r="F538" s="73" t="str">
        <f>+VLOOKUP(PROVEEDORES[[#This Row],[PROVEEDOR]],TERCEROS_INFO[[PROVEEDOR]:[CORREO]],5,FALSE)</f>
        <v>cartera@conbienes.com;girlesa.ruiz@servipilas.com;joriescobar64@gmail.com</v>
      </c>
      <c r="G538" s="111">
        <v>44396</v>
      </c>
      <c r="H538" s="31" t="s">
        <v>348</v>
      </c>
      <c r="I538" s="111">
        <v>44378</v>
      </c>
      <c r="J538" s="48" t="s">
        <v>583</v>
      </c>
      <c r="K538" s="26">
        <v>3061166</v>
      </c>
      <c r="L538" s="26"/>
      <c r="M538" s="27">
        <v>581621.54</v>
      </c>
      <c r="N538" s="28"/>
      <c r="O538" s="27">
        <v>0</v>
      </c>
      <c r="P538" s="28">
        <v>0</v>
      </c>
      <c r="Q538" s="27">
        <v>0</v>
      </c>
      <c r="R538" s="26">
        <v>3642787.54</v>
      </c>
      <c r="S538" s="115">
        <f ca="1">IF(PROVEEDORES[[#This Row],[FECHA DE PAGO]]=0,TODAY()-PROVEEDORES[[#This Row],[FECHA DE FACTURACIÓN]]-PROVEEDORES[[#This Row],[PLAZO Días]],0)</f>
        <v>0</v>
      </c>
      <c r="T53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39" spans="1:20" ht="21.9" customHeight="1" x14ac:dyDescent="0.3">
      <c r="A539" s="113" t="str">
        <f>+IF(PROVEEDORES[[#This Row],[FECHA DE PAGO]]=PROVEEDORES[[#This Row],[FECHA DE FACTURACIÓN]],"DE CONTADO","CRÉDITO")</f>
        <v>CRÉDITO</v>
      </c>
      <c r="B539" s="51" t="b">
        <f>+IF((PROVEEDORES[[#This Row],[FECHA DE PAGO]]-PROVEEDORES[[#This Row],[FECHA DE FACTURACIÓN]])&gt;PROVEEDORES[[#This Row],[PLAZO Días]],"PAGO VENCIDO")</f>
        <v>0</v>
      </c>
      <c r="C539" s="25">
        <f>+VLOOKUP(PROVEEDORES[[#This Row],[PROVEEDOR]],TERCEROS_INFO[#All],2,FALSE)</f>
        <v>30</v>
      </c>
      <c r="D539" s="30">
        <f>+SUMIFS(PROVEEDORES[Total],PROVEEDORES[PROVEEDOR],PROVEEDORES[[#This Row],[PROVEEDOR]],PROVEEDORES[FECHA DE PAGO],"")</f>
        <v>5060410.5999999996</v>
      </c>
      <c r="E539" s="30"/>
      <c r="F539" s="73" t="str">
        <f>+VLOOKUP(PROVEEDORES[[#This Row],[PROVEEDOR]],TERCEROS_INFO[[PROVEEDOR]:[CORREO]],5,FALSE)</f>
        <v>CBastidas@vyp.com.co;girlesa.ruiz@servipilas.com;joriescobar64@gmail.com</v>
      </c>
      <c r="G539" s="111">
        <v>44396</v>
      </c>
      <c r="H539" s="31" t="s">
        <v>347</v>
      </c>
      <c r="I539" s="111">
        <v>44378</v>
      </c>
      <c r="J539" s="48">
        <v>39654</v>
      </c>
      <c r="K539" s="26">
        <v>3987000</v>
      </c>
      <c r="L539" s="26"/>
      <c r="M539" s="27">
        <v>757530</v>
      </c>
      <c r="N539" s="28"/>
      <c r="O539" s="27">
        <v>0</v>
      </c>
      <c r="P539" s="28">
        <v>3.5000000000000003E-2</v>
      </c>
      <c r="Q539" s="27">
        <v>139545</v>
      </c>
      <c r="R539" s="26">
        <v>4604985</v>
      </c>
      <c r="S539" s="115">
        <f ca="1">IF(PROVEEDORES[[#This Row],[FECHA DE PAGO]]=0,TODAY()-PROVEEDORES[[#This Row],[FECHA DE FACTURACIÓN]]-PROVEEDORES[[#This Row],[PLAZO Días]],0)</f>
        <v>0</v>
      </c>
      <c r="T5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0" spans="1:20" ht="21.9" customHeight="1" x14ac:dyDescent="0.3">
      <c r="A540" s="113" t="str">
        <f>+IF(PROVEEDORES[[#This Row],[FECHA DE PAGO]]=PROVEEDORES[[#This Row],[FECHA DE FACTURACIÓN]],"DE CONTADO","CRÉDITO")</f>
        <v>CRÉDITO</v>
      </c>
      <c r="B540" s="51" t="b">
        <f>+IF((PROVEEDORES[[#This Row],[FECHA DE PAGO]]-PROVEEDORES[[#This Row],[FECHA DE FACTURACIÓN]])&gt;PROVEEDORES[[#This Row],[PLAZO Días]],"PAGO VENCIDO")</f>
        <v>0</v>
      </c>
      <c r="C540" s="25">
        <f>+VLOOKUP(PROVEEDORES[[#This Row],[PROVEEDOR]],TERCEROS_INFO[#All],2,FALSE)</f>
        <v>90</v>
      </c>
      <c r="D540" s="30">
        <f>+SUMIFS(PROVEEDORES[Total],PROVEEDORES[PROVEEDOR],PROVEEDORES[[#This Row],[PROVEEDOR]],PROVEEDORES[FECHA DE PAGO],"")</f>
        <v>0</v>
      </c>
      <c r="E540" s="30"/>
      <c r="F540" s="73" t="str">
        <f>+VLOOKUP(PROVEEDORES[[#This Row],[PROVEEDOR]],TERCEROS_INFO[[PROVEEDOR]:[CORREO]],5,FALSE)</f>
        <v/>
      </c>
      <c r="G540" s="111">
        <v>44414</v>
      </c>
      <c r="H540" s="31" t="s">
        <v>1024</v>
      </c>
      <c r="I540" s="111">
        <v>44379</v>
      </c>
      <c r="J540" s="48" t="s">
        <v>754</v>
      </c>
      <c r="K540" s="26">
        <v>773200</v>
      </c>
      <c r="L540" s="26"/>
      <c r="M540" s="27">
        <v>0</v>
      </c>
      <c r="N540" s="28"/>
      <c r="O540" s="27">
        <v>0</v>
      </c>
      <c r="P540" s="28">
        <v>0</v>
      </c>
      <c r="Q540" s="27">
        <v>0</v>
      </c>
      <c r="R540" s="26">
        <v>773200</v>
      </c>
      <c r="S540" s="115">
        <f ca="1">IF(PROVEEDORES[[#This Row],[FECHA DE PAGO]]=0,TODAY()-PROVEEDORES[[#This Row],[FECHA DE FACTURACIÓN]]-PROVEEDORES[[#This Row],[PLAZO Días]],0)</f>
        <v>0</v>
      </c>
      <c r="T5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1" spans="1:20" ht="21.9" customHeight="1" x14ac:dyDescent="0.3">
      <c r="A541" s="113" t="str">
        <f>+IF(PROVEEDORES[[#This Row],[FECHA DE PAGO]]=PROVEEDORES[[#This Row],[FECHA DE FACTURACIÓN]],"DE CONTADO","CRÉDITO")</f>
        <v>CRÉDITO</v>
      </c>
      <c r="B541" s="51" t="str">
        <f>+IF((PROVEEDORES[[#This Row],[FECHA DE PAGO]]-PROVEEDORES[[#This Row],[FECHA DE FACTURACIÓN]])&gt;PROVEEDORES[[#This Row],[PLAZO Días]],"PAGO VENCIDO")</f>
        <v>PAGO VENCIDO</v>
      </c>
      <c r="C541" s="25">
        <f>+VLOOKUP(PROVEEDORES[[#This Row],[PROVEEDOR]],TERCEROS_INFO[#All],2,FALSE)</f>
        <v>30</v>
      </c>
      <c r="D541" s="30">
        <f>+SUMIFS(PROVEEDORES[Total],PROVEEDORES[PROVEEDOR],PROVEEDORES[[#This Row],[PROVEEDOR]],PROVEEDORES[FECHA DE PAGO],"")</f>
        <v>0</v>
      </c>
      <c r="E541" s="30"/>
      <c r="F541" s="73" t="str">
        <f>+VLOOKUP(PROVEEDORES[[#This Row],[PROVEEDOR]],TERCEROS_INFO[[PROVEEDOR]:[CORREO]],5,FALSE)</f>
        <v>globalpowerc2018@gmail.com;girlesa.ruiz@servipilas.com;joriescobar64@gmail.com</v>
      </c>
      <c r="G541" s="111">
        <v>44411</v>
      </c>
      <c r="H541" s="31" t="s">
        <v>1057</v>
      </c>
      <c r="I541" s="111">
        <v>44379</v>
      </c>
      <c r="J541" s="48" t="s">
        <v>755</v>
      </c>
      <c r="K541" s="26">
        <v>780000</v>
      </c>
      <c r="L541" s="26"/>
      <c r="M541" s="27">
        <v>0</v>
      </c>
      <c r="N541" s="28"/>
      <c r="O541" s="27">
        <v>0</v>
      </c>
      <c r="P541" s="28">
        <v>0</v>
      </c>
      <c r="Q541" s="27">
        <v>0</v>
      </c>
      <c r="R541" s="26">
        <v>780000</v>
      </c>
      <c r="S541" s="115">
        <f ca="1">IF(PROVEEDORES[[#This Row],[FECHA DE PAGO]]=0,TODAY()-PROVEEDORES[[#This Row],[FECHA DE FACTURACIÓN]]-PROVEEDORES[[#This Row],[PLAZO Días]],0)</f>
        <v>0</v>
      </c>
      <c r="T5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2" spans="1:20" ht="21.9" customHeight="1" x14ac:dyDescent="0.3">
      <c r="A542" s="113" t="str">
        <f>+IF(PROVEEDORES[[#This Row],[FECHA DE PAGO]]=PROVEEDORES[[#This Row],[FECHA DE FACTURACIÓN]],"DE CONTADO","CRÉDITO")</f>
        <v>CRÉDITO</v>
      </c>
      <c r="B542" s="51" t="b">
        <f>+IF((PROVEEDORES[[#This Row],[FECHA DE PAGO]]-PROVEEDORES[[#This Row],[FECHA DE FACTURACIÓN]])&gt;PROVEEDORES[[#This Row],[PLAZO Días]],"PAGO VENCIDO")</f>
        <v>0</v>
      </c>
      <c r="C542" s="25">
        <f>+VLOOKUP(PROVEEDORES[[#This Row],[PROVEEDOR]],TERCEROS_INFO[#All],2,FALSE)</f>
        <v>30</v>
      </c>
      <c r="D542" s="30">
        <f>+SUMIFS(PROVEEDORES[Total],PROVEEDORES[PROVEEDOR],PROVEEDORES[[#This Row],[PROVEEDOR]],PROVEEDORES[FECHA DE PAGO],"")</f>
        <v>0</v>
      </c>
      <c r="E542" s="30"/>
      <c r="F542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542" s="111">
        <v>44404</v>
      </c>
      <c r="H542" s="31" t="s">
        <v>514</v>
      </c>
      <c r="I542" s="111">
        <v>44379</v>
      </c>
      <c r="J542" s="48" t="s">
        <v>492</v>
      </c>
      <c r="K542" s="26">
        <v>4672109</v>
      </c>
      <c r="L542" s="26">
        <v>132825</v>
      </c>
      <c r="M542" s="27">
        <v>862463.96</v>
      </c>
      <c r="N542" s="28"/>
      <c r="O542" s="27">
        <v>0</v>
      </c>
      <c r="P542" s="28">
        <v>0</v>
      </c>
      <c r="Q542" s="27">
        <v>0</v>
      </c>
      <c r="R542" s="26">
        <v>5401747.96</v>
      </c>
      <c r="S542" s="115">
        <f ca="1">IF(PROVEEDORES[[#This Row],[FECHA DE PAGO]]=0,TODAY()-PROVEEDORES[[#This Row],[FECHA DE FACTURACIÓN]]-PROVEEDORES[[#This Row],[PLAZO Días]],0)</f>
        <v>0</v>
      </c>
      <c r="T5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3" spans="1:20" ht="21.9" customHeight="1" x14ac:dyDescent="0.3">
      <c r="A543" s="113" t="str">
        <f>+IF(PROVEEDORES[[#This Row],[FECHA DE PAGO]]=PROVEEDORES[[#This Row],[FECHA DE FACTURACIÓN]],"DE CONTADO","CRÉDITO")</f>
        <v>CRÉDITO</v>
      </c>
      <c r="B543" s="51" t="str">
        <f>+IF((PROVEEDORES[[#This Row],[FECHA DE PAGO]]-PROVEEDORES[[#This Row],[FECHA DE FACTURACIÓN]])&gt;PROVEEDORES[[#This Row],[PLAZO Días]],"PAGO VENCIDO")</f>
        <v>PAGO VENCIDO</v>
      </c>
      <c r="C543" s="25">
        <f>+VLOOKUP(PROVEEDORES[[#This Row],[PROVEEDOR]],TERCEROS_INFO[#All],2,FALSE)</f>
        <v>30</v>
      </c>
      <c r="D543" s="30">
        <f>+SUMIFS(PROVEEDORES[Total],PROVEEDORES[PROVEEDOR],PROVEEDORES[[#This Row],[PROVEEDOR]],PROVEEDORES[FECHA DE PAGO],"")</f>
        <v>0</v>
      </c>
      <c r="E543" s="30"/>
      <c r="F543" s="73" t="str">
        <f>+VLOOKUP(PROVEEDORES[[#This Row],[PROVEEDOR]],TERCEROS_INFO[[PROVEEDOR]:[CORREO]],5,FALSE)</f>
        <v>avelinacomer@gmail.com;girlesa.ruiz@servipilas.com;joriescobar64@gmail.com</v>
      </c>
      <c r="G543" s="111">
        <v>44411</v>
      </c>
      <c r="H543" s="31" t="s">
        <v>1000</v>
      </c>
      <c r="I543" s="111">
        <v>44380</v>
      </c>
      <c r="J543" s="48" t="s">
        <v>756</v>
      </c>
      <c r="K543" s="26">
        <v>264000</v>
      </c>
      <c r="L543" s="26"/>
      <c r="M543" s="27">
        <v>0</v>
      </c>
      <c r="N543" s="28">
        <v>0.1</v>
      </c>
      <c r="O543" s="27">
        <v>26400</v>
      </c>
      <c r="P543" s="28">
        <v>0</v>
      </c>
      <c r="Q543" s="27">
        <v>0</v>
      </c>
      <c r="R543" s="26">
        <v>237600</v>
      </c>
      <c r="S543" s="115">
        <f ca="1">IF(PROVEEDORES[[#This Row],[FECHA DE PAGO]]=0,TODAY()-PROVEEDORES[[#This Row],[FECHA DE FACTURACIÓN]]-PROVEEDORES[[#This Row],[PLAZO Días]],0)</f>
        <v>0</v>
      </c>
      <c r="T5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4" spans="1:20" ht="21.9" customHeight="1" x14ac:dyDescent="0.3">
      <c r="A544" s="113" t="str">
        <f>+IF(PROVEEDORES[[#This Row],[FECHA DE PAGO]]=PROVEEDORES[[#This Row],[FECHA DE FACTURACIÓN]],"DE CONTADO","CRÉDITO")</f>
        <v>CRÉDITO</v>
      </c>
      <c r="B544" s="51" t="b">
        <f>+IF((PROVEEDORES[[#This Row],[FECHA DE PAGO]]-PROVEEDORES[[#This Row],[FECHA DE FACTURACIÓN]])&gt;PROVEEDORES[[#This Row],[PLAZO Días]],"PAGO VENCIDO")</f>
        <v>0</v>
      </c>
      <c r="C544" s="25">
        <f>+VLOOKUP(PROVEEDORES[[#This Row],[PROVEEDOR]],TERCEROS_INFO[#All],2,FALSE)</f>
        <v>30</v>
      </c>
      <c r="D544" s="30">
        <f>+SUMIFS(PROVEEDORES[Total],PROVEEDORES[PROVEEDOR],PROVEEDORES[[#This Row],[PROVEEDOR]],PROVEEDORES[FECHA DE PAGO],"")</f>
        <v>0</v>
      </c>
      <c r="E544" s="30"/>
      <c r="F544" s="73" t="str">
        <f>+VLOOKUP(PROVEEDORES[[#This Row],[PROVEEDOR]],TERCEROS_INFO[[PROVEEDOR]:[CORREO]],5,FALSE)</f>
        <v>CARLOSARCILAMENSAJERIA@gmail.com;girlesa.ruiz@servipilas.com;joriescobar64@gmail.com</v>
      </c>
      <c r="G544" s="111">
        <v>44385</v>
      </c>
      <c r="H544" s="31" t="s">
        <v>143</v>
      </c>
      <c r="I544" s="111">
        <v>44380</v>
      </c>
      <c r="J544" s="48">
        <v>112</v>
      </c>
      <c r="K544" s="26">
        <v>341000</v>
      </c>
      <c r="L544" s="26"/>
      <c r="M544" s="27">
        <v>64790</v>
      </c>
      <c r="N544" s="28"/>
      <c r="O544" s="27">
        <v>0</v>
      </c>
      <c r="P544" s="28">
        <v>0.01</v>
      </c>
      <c r="Q544" s="27">
        <v>3410</v>
      </c>
      <c r="R544" s="26">
        <v>402380</v>
      </c>
      <c r="S544" s="115">
        <f ca="1">IF(PROVEEDORES[[#This Row],[FECHA DE PAGO]]=0,TODAY()-PROVEEDORES[[#This Row],[FECHA DE FACTURACIÓN]]-PROVEEDORES[[#This Row],[PLAZO Días]],0)</f>
        <v>0</v>
      </c>
      <c r="T54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5" spans="1:20" ht="21.9" customHeight="1" x14ac:dyDescent="0.3">
      <c r="A545" s="113" t="str">
        <f>+IF(PROVEEDORES[[#This Row],[FECHA DE PAGO]]=PROVEEDORES[[#This Row],[FECHA DE FACTURACIÓN]],"DE CONTADO","CRÉDITO")</f>
        <v>CRÉDITO</v>
      </c>
      <c r="B545" s="51" t="str">
        <f>+IF((PROVEEDORES[[#This Row],[FECHA DE PAGO]]-PROVEEDORES[[#This Row],[FECHA DE FACTURACIÓN]])&gt;PROVEEDORES[[#This Row],[PLAZO Días]],"PAGO VENCIDO")</f>
        <v>PAGO VENCIDO</v>
      </c>
      <c r="C545" s="25">
        <f>+VLOOKUP(PROVEEDORES[[#This Row],[PROVEEDOR]],TERCEROS_INFO[#All],2,FALSE)</f>
        <v>30</v>
      </c>
      <c r="D545" s="30">
        <f>+SUMIFS(PROVEEDORES[Total],PROVEEDORES[PROVEEDOR],PROVEEDORES[[#This Row],[PROVEEDOR]],PROVEEDORES[FECHA DE PAGO],"")</f>
        <v>0</v>
      </c>
      <c r="E545" s="30"/>
      <c r="F545" s="73" t="str">
        <f>+VLOOKUP(PROVEEDORES[[#This Row],[PROVEEDOR]],TERCEROS_INFO[[PROVEEDOR]:[CORREO]],5,FALSE)</f>
        <v>avelinacomer@gmail.com;girlesa.ruiz@servipilas.com;joriescobar64@gmail.com</v>
      </c>
      <c r="G545" s="111">
        <v>44411</v>
      </c>
      <c r="H545" s="31" t="s">
        <v>1000</v>
      </c>
      <c r="I545" s="111">
        <v>44380</v>
      </c>
      <c r="J545" s="48" t="s">
        <v>754</v>
      </c>
      <c r="K545" s="26">
        <v>773200</v>
      </c>
      <c r="L545" s="26"/>
      <c r="M545" s="27">
        <v>0</v>
      </c>
      <c r="N545" s="28">
        <v>0.1</v>
      </c>
      <c r="O545" s="27">
        <v>77320</v>
      </c>
      <c r="P545" s="28">
        <v>0</v>
      </c>
      <c r="Q545" s="27">
        <v>0</v>
      </c>
      <c r="R545" s="26">
        <v>695880</v>
      </c>
      <c r="S545" s="115">
        <f ca="1">IF(PROVEEDORES[[#This Row],[FECHA DE PAGO]]=0,TODAY()-PROVEEDORES[[#This Row],[FECHA DE FACTURACIÓN]]-PROVEEDORES[[#This Row],[PLAZO Días]],0)</f>
        <v>0</v>
      </c>
      <c r="T5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6" spans="1:20" ht="21.9" customHeight="1" x14ac:dyDescent="0.3">
      <c r="A546" s="113" t="str">
        <f>+IF(PROVEEDORES[[#This Row],[FECHA DE PAGO]]=PROVEEDORES[[#This Row],[FECHA DE FACTURACIÓN]],"DE CONTADO","CRÉDITO")</f>
        <v>DE CONTADO</v>
      </c>
      <c r="B546" s="51" t="b">
        <f>+IF((PROVEEDORES[[#This Row],[FECHA DE PAGO]]-PROVEEDORES[[#This Row],[FECHA DE FACTURACIÓN]])&gt;PROVEEDORES[[#This Row],[PLAZO Días]],"PAGO VENCIDO")</f>
        <v>0</v>
      </c>
      <c r="C546" s="25">
        <f>+VLOOKUP(PROVEEDORES[[#This Row],[PROVEEDOR]],TERCEROS_INFO[#All],2,FALSE)</f>
        <v>30</v>
      </c>
      <c r="D546" s="30">
        <f>+SUMIFS(PROVEEDORES[Total],PROVEEDORES[PROVEEDOR],PROVEEDORES[[#This Row],[PROVEEDOR]],PROVEEDORES[FECHA DE PAGO],"")</f>
        <v>0</v>
      </c>
      <c r="E546" s="30"/>
      <c r="F546" s="73" t="str">
        <f>+VLOOKUP(PROVEEDORES[[#This Row],[PROVEEDOR]],TERCEROS_INFO[[PROVEEDOR]:[CORREO]],5,FALSE)</f>
        <v/>
      </c>
      <c r="G546" s="111">
        <v>44380</v>
      </c>
      <c r="H546" s="31" t="s">
        <v>1052</v>
      </c>
      <c r="I546" s="111">
        <v>44380</v>
      </c>
      <c r="J546" s="48"/>
      <c r="K546" s="26">
        <v>1000000</v>
      </c>
      <c r="L546" s="26"/>
      <c r="M546" s="27">
        <v>0</v>
      </c>
      <c r="N546" s="28"/>
      <c r="O546" s="27">
        <v>0</v>
      </c>
      <c r="P546" s="28">
        <v>0</v>
      </c>
      <c r="Q546" s="27">
        <v>0</v>
      </c>
      <c r="R546" s="26">
        <v>1000000</v>
      </c>
      <c r="S546" s="115">
        <f ca="1">IF(PROVEEDORES[[#This Row],[FECHA DE PAGO]]=0,TODAY()-PROVEEDORES[[#This Row],[FECHA DE FACTURACIÓN]]-PROVEEDORES[[#This Row],[PLAZO Días]],0)</f>
        <v>0</v>
      </c>
      <c r="T54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7" spans="1:20" ht="21.9" customHeight="1" x14ac:dyDescent="0.3">
      <c r="A547" s="113" t="str">
        <f>+IF(PROVEEDORES[[#This Row],[FECHA DE PAGO]]=PROVEEDORES[[#This Row],[FECHA DE FACTURACIÓN]],"DE CONTADO","CRÉDITO")</f>
        <v>CRÉDITO</v>
      </c>
      <c r="B547" s="51" t="str">
        <f>+IF((PROVEEDORES[[#This Row],[FECHA DE PAGO]]-PROVEEDORES[[#This Row],[FECHA DE FACTURACIÓN]])&gt;PROVEEDORES[[#This Row],[PLAZO Días]],"PAGO VENCIDO")</f>
        <v>PAGO VENCIDO</v>
      </c>
      <c r="C547" s="25">
        <f>+VLOOKUP(PROVEEDORES[[#This Row],[PROVEEDOR]],TERCEROS_INFO[#All],2,FALSE)</f>
        <v>30</v>
      </c>
      <c r="D547" s="30">
        <f>+SUMIFS(PROVEEDORES[Total],PROVEEDORES[PROVEEDOR],PROVEEDORES[[#This Row],[PROVEEDOR]],PROVEEDORES[FECHA DE PAGO],"")</f>
        <v>0</v>
      </c>
      <c r="E547" s="30"/>
      <c r="F547" s="73" t="str">
        <f>+VLOOKUP(PROVEEDORES[[#This Row],[PROVEEDOR]],TERCEROS_INFO[[PROVEEDOR]:[CORREO]],5,FALSE)</f>
        <v>variedades.sfg@gmail.com;girlesa.ruiz@servipilas.com;joriescobar64@gmail.com</v>
      </c>
      <c r="G547" s="111">
        <v>44433</v>
      </c>
      <c r="H547" s="31" t="s">
        <v>988</v>
      </c>
      <c r="I547" s="111">
        <v>44383</v>
      </c>
      <c r="J547" s="48" t="s">
        <v>757</v>
      </c>
      <c r="K547" s="26">
        <v>2268500</v>
      </c>
      <c r="L547" s="26"/>
      <c r="M547" s="27">
        <v>0</v>
      </c>
      <c r="N547" s="28"/>
      <c r="O547" s="27">
        <v>0</v>
      </c>
      <c r="P547" s="28">
        <v>0</v>
      </c>
      <c r="Q547" s="27">
        <v>0</v>
      </c>
      <c r="R547" s="26">
        <v>2268500</v>
      </c>
      <c r="S547" s="115">
        <f ca="1">IF(PROVEEDORES[[#This Row],[FECHA DE PAGO]]=0,TODAY()-PROVEEDORES[[#This Row],[FECHA DE FACTURACIÓN]]-PROVEEDORES[[#This Row],[PLAZO Días]],0)</f>
        <v>0</v>
      </c>
      <c r="T54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8" spans="1:20" ht="21.9" customHeight="1" x14ac:dyDescent="0.3">
      <c r="A548" s="113" t="str">
        <f>+IF(PROVEEDORES[[#This Row],[FECHA DE PAGO]]=PROVEEDORES[[#This Row],[FECHA DE FACTURACIÓN]],"DE CONTADO","CRÉDITO")</f>
        <v>CRÉDITO</v>
      </c>
      <c r="B548" s="51" t="str">
        <f>+IF((PROVEEDORES[[#This Row],[FECHA DE PAGO]]-PROVEEDORES[[#This Row],[FECHA DE FACTURACIÓN]])&gt;PROVEEDORES[[#This Row],[PLAZO Días]],"PAGO VENCIDO")</f>
        <v>PAGO VENCIDO</v>
      </c>
      <c r="C548" s="25">
        <f>+VLOOKUP(PROVEEDORES[[#This Row],[PROVEEDOR]],TERCEROS_INFO[#All],2,FALSE)</f>
        <v>90</v>
      </c>
      <c r="D548" s="30">
        <f>+SUMIFS(PROVEEDORES[Total],PROVEEDORES[PROVEEDOR],PROVEEDORES[[#This Row],[PROVEEDOR]],PROVEEDORES[FECHA DE PAGO],"")</f>
        <v>26364243.66155</v>
      </c>
      <c r="E548" s="30"/>
      <c r="F548" s="73" t="str">
        <f>+VLOOKUP(PROVEEDORES[[#This Row],[PROVEEDOR]],TERCEROS_INFO[[PROVEEDOR]:[CORREO]],5,FALSE)</f>
        <v>javiergomez_72@hotmail.com ;girlesa.ruiz@servipilas.com;joriescobar64@gmail.com</v>
      </c>
      <c r="G548" s="111">
        <v>44488</v>
      </c>
      <c r="H548" s="31" t="s">
        <v>12</v>
      </c>
      <c r="I548" s="111">
        <v>44383</v>
      </c>
      <c r="J548" s="48" t="s">
        <v>427</v>
      </c>
      <c r="K548" s="26">
        <v>3039496</v>
      </c>
      <c r="L548" s="26"/>
      <c r="M548" s="27">
        <v>577504.24</v>
      </c>
      <c r="N548" s="28"/>
      <c r="O548" s="27">
        <v>0</v>
      </c>
      <c r="P548" s="28">
        <v>2.5000000000000001E-2</v>
      </c>
      <c r="Q548" s="27">
        <v>75987.400000000009</v>
      </c>
      <c r="R548" s="26">
        <v>3541012.8400000003</v>
      </c>
      <c r="S548" s="115">
        <f ca="1">IF(PROVEEDORES[[#This Row],[FECHA DE PAGO]]=0,TODAY()-PROVEEDORES[[#This Row],[FECHA DE FACTURACIÓN]]-PROVEEDORES[[#This Row],[PLAZO Días]],0)</f>
        <v>0</v>
      </c>
      <c r="T5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49" spans="1:20" ht="21.9" customHeight="1" x14ac:dyDescent="0.3">
      <c r="A549" s="113" t="str">
        <f>+IF(PROVEEDORES[[#This Row],[FECHA DE PAGO]]=PROVEEDORES[[#This Row],[FECHA DE FACTURACIÓN]],"DE CONTADO","CRÉDITO")</f>
        <v>CRÉDITO</v>
      </c>
      <c r="B549" s="51" t="str">
        <f>+IF((PROVEEDORES[[#This Row],[FECHA DE PAGO]]-PROVEEDORES[[#This Row],[FECHA DE FACTURACIÓN]])&gt;PROVEEDORES[[#This Row],[PLAZO Días]],"PAGO VENCIDO")</f>
        <v>PAGO VENCIDO</v>
      </c>
      <c r="C549" s="25">
        <f>+VLOOKUP(PROVEEDORES[[#This Row],[PROVEEDOR]],TERCEROS_INFO[#All],2,FALSE)</f>
        <v>30</v>
      </c>
      <c r="D549" s="30">
        <f>+SUMIFS(PROVEEDORES[Total],PROVEEDORES[PROVEEDOR],PROVEEDORES[[#This Row],[PROVEEDOR]],PROVEEDORES[FECHA DE PAGO],"")</f>
        <v>1119790</v>
      </c>
      <c r="E549" s="30"/>
      <c r="F549" s="73" t="str">
        <f>+VLOOKUP(PROVEEDORES[[#This Row],[PROVEEDOR]],TERCEROS_INFO[[PROVEEDOR]:[CORREO]],5,FALSE)</f>
        <v>MVALENCIA@mps.com.co;girlesa.ruiz@servipilas.com;joriescobar64@gmail.com</v>
      </c>
      <c r="G549" s="111">
        <v>44426</v>
      </c>
      <c r="H549" s="31" t="s">
        <v>17</v>
      </c>
      <c r="I549" s="111">
        <v>44384</v>
      </c>
      <c r="J549" s="48">
        <v>1784491</v>
      </c>
      <c r="K549" s="26">
        <v>401000</v>
      </c>
      <c r="L549" s="26"/>
      <c r="M549" s="27">
        <v>76190</v>
      </c>
      <c r="N549" s="28"/>
      <c r="O549" s="27">
        <v>0</v>
      </c>
      <c r="P549" s="28">
        <v>0</v>
      </c>
      <c r="Q549" s="27">
        <v>0</v>
      </c>
      <c r="R549" s="26">
        <v>477190</v>
      </c>
      <c r="S549" s="115">
        <f ca="1">IF(PROVEEDORES[[#This Row],[FECHA DE PAGO]]=0,TODAY()-PROVEEDORES[[#This Row],[FECHA DE FACTURACIÓN]]-PROVEEDORES[[#This Row],[PLAZO Días]],0)</f>
        <v>0</v>
      </c>
      <c r="T54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0" spans="1:20" ht="21.9" customHeight="1" x14ac:dyDescent="0.3">
      <c r="A550" s="113" t="str">
        <f>+IF(PROVEEDORES[[#This Row],[FECHA DE PAGO]]=PROVEEDORES[[#This Row],[FECHA DE FACTURACIÓN]],"DE CONTADO","CRÉDITO")</f>
        <v>DE CONTADO</v>
      </c>
      <c r="B550" s="51" t="b">
        <f>+IF((PROVEEDORES[[#This Row],[FECHA DE PAGO]]-PROVEEDORES[[#This Row],[FECHA DE FACTURACIÓN]])&gt;PROVEEDORES[[#This Row],[PLAZO Días]],"PAGO VENCIDO")</f>
        <v>0</v>
      </c>
      <c r="C550" s="25">
        <f>+VLOOKUP(PROVEEDORES[[#This Row],[PROVEEDOR]],TERCEROS_INFO[#All],2,FALSE)</f>
        <v>30</v>
      </c>
      <c r="D550" s="30">
        <f>+SUMIFS(PROVEEDORES[Total],PROVEEDORES[PROVEEDOR],PROVEEDORES[[#This Row],[PROVEEDOR]],PROVEEDORES[FECHA DE PAGO],"")</f>
        <v>0</v>
      </c>
      <c r="E550" s="30"/>
      <c r="F550" s="73" t="str">
        <f>+VLOOKUP(PROVEEDORES[[#This Row],[PROVEEDOR]],TERCEROS_INFO[[PROVEEDOR]:[CORREO]],5,FALSE)</f>
        <v/>
      </c>
      <c r="G550" s="111">
        <v>44385</v>
      </c>
      <c r="H550" s="31" t="s">
        <v>1066</v>
      </c>
      <c r="I550" s="111">
        <v>44385</v>
      </c>
      <c r="J550" s="48" t="s">
        <v>758</v>
      </c>
      <c r="K550" s="26">
        <v>160000</v>
      </c>
      <c r="L550" s="26"/>
      <c r="M550" s="27">
        <v>0</v>
      </c>
      <c r="N550" s="28"/>
      <c r="O550" s="27">
        <v>0</v>
      </c>
      <c r="P550" s="28">
        <v>0</v>
      </c>
      <c r="Q550" s="27">
        <v>0</v>
      </c>
      <c r="R550" s="26">
        <v>160000</v>
      </c>
      <c r="S550" s="115">
        <f ca="1">IF(PROVEEDORES[[#This Row],[FECHA DE PAGO]]=0,TODAY()-PROVEEDORES[[#This Row],[FECHA DE FACTURACIÓN]]-PROVEEDORES[[#This Row],[PLAZO Días]],0)</f>
        <v>0</v>
      </c>
      <c r="T55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1" spans="1:20" ht="21.9" customHeight="1" x14ac:dyDescent="0.3">
      <c r="A551" s="113" t="str">
        <f>+IF(PROVEEDORES[[#This Row],[FECHA DE PAGO]]=PROVEEDORES[[#This Row],[FECHA DE FACTURACIÓN]],"DE CONTADO","CRÉDITO")</f>
        <v>CRÉDITO</v>
      </c>
      <c r="B551" s="51" t="str">
        <f>+IF((PROVEEDORES[[#This Row],[FECHA DE PAGO]]-PROVEEDORES[[#This Row],[FECHA DE FACTURACIÓN]])&gt;PROVEEDORES[[#This Row],[PLAZO Días]],"PAGO VENCIDO")</f>
        <v>PAGO VENCIDO</v>
      </c>
      <c r="C551" s="25">
        <f>+VLOOKUP(PROVEEDORES[[#This Row],[PROVEEDOR]],TERCEROS_INFO[#All],2,FALSE)</f>
        <v>30</v>
      </c>
      <c r="D551" s="30">
        <f>+SUMIFS(PROVEEDORES[Total],PROVEEDORES[PROVEEDOR],PROVEEDORES[[#This Row],[PROVEEDOR]],PROVEEDORES[FECHA DE PAGO],"")</f>
        <v>10764600</v>
      </c>
      <c r="E551" s="30"/>
      <c r="F551" s="73" t="str">
        <f>+VLOOKUP(PROVEEDORES[[#This Row],[PROVEEDOR]],TERCEROS_INFO[[PROVEEDOR]:[CORREO]],5,FALSE)</f>
        <v>apresupuesto@widexcolombia.com;girlesa.ruiz@servipilas.com;joriescobar64@gmail.com</v>
      </c>
      <c r="G551" s="111">
        <v>44426</v>
      </c>
      <c r="H551" s="31" t="s">
        <v>11</v>
      </c>
      <c r="I551" s="111">
        <v>44385</v>
      </c>
      <c r="J551" s="48" t="s">
        <v>426</v>
      </c>
      <c r="K551" s="26">
        <v>1320000</v>
      </c>
      <c r="L551" s="26"/>
      <c r="M551" s="27">
        <v>250800</v>
      </c>
      <c r="N551" s="28"/>
      <c r="O551" s="27">
        <v>0</v>
      </c>
      <c r="P551" s="28">
        <v>2.5000000000000001E-2</v>
      </c>
      <c r="Q551" s="27">
        <v>33000</v>
      </c>
      <c r="R551" s="26">
        <v>1537800</v>
      </c>
      <c r="S551" s="115">
        <f ca="1">IF(PROVEEDORES[[#This Row],[FECHA DE PAGO]]=0,TODAY()-PROVEEDORES[[#This Row],[FECHA DE FACTURACIÓN]]-PROVEEDORES[[#This Row],[PLAZO Días]],0)</f>
        <v>0</v>
      </c>
      <c r="T55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2" spans="1:20" ht="21.9" customHeight="1" x14ac:dyDescent="0.3">
      <c r="A552" s="113" t="str">
        <f>+IF(PROVEEDORES[[#This Row],[FECHA DE PAGO]]=PROVEEDORES[[#This Row],[FECHA DE FACTURACIÓN]],"DE CONTADO","CRÉDITO")</f>
        <v>CRÉDITO</v>
      </c>
      <c r="B552" s="51" t="str">
        <f>+IF((PROVEEDORES[[#This Row],[FECHA DE PAGO]]-PROVEEDORES[[#This Row],[FECHA DE FACTURACIÓN]])&gt;PROVEEDORES[[#This Row],[PLAZO Días]],"PAGO VENCIDO")</f>
        <v>PAGO VENCIDO</v>
      </c>
      <c r="C552" s="25">
        <f>+VLOOKUP(PROVEEDORES[[#This Row],[PROVEEDOR]],TERCEROS_INFO[#All],2,FALSE)</f>
        <v>20</v>
      </c>
      <c r="D552" s="30">
        <f>+SUMIFS(PROVEEDORES[Total],PROVEEDORES[PROVEEDOR],PROVEEDORES[[#This Row],[PROVEEDOR]],PROVEEDORES[FECHA DE PAGO],"")</f>
        <v>0</v>
      </c>
      <c r="E552" s="30"/>
      <c r="F552" s="73" t="str">
        <f>+VLOOKUP(PROVEEDORES[[#This Row],[PROVEEDOR]],TERCEROS_INFO[[PROVEEDOR]:[CORREO]],5,FALSE)</f>
        <v>bog.fa1@pressex.co;bog.fm1@pressex.co;kbaumgartner@pressex.co;girlesa.ruiz@servipilas.com;joriescobar64@gmail.com</v>
      </c>
      <c r="G552" s="111">
        <v>44411</v>
      </c>
      <c r="H552" s="31" t="s">
        <v>449</v>
      </c>
      <c r="I552" s="111">
        <v>44386</v>
      </c>
      <c r="J552" s="48" t="s">
        <v>437</v>
      </c>
      <c r="K552" s="26">
        <v>579800</v>
      </c>
      <c r="L552" s="26"/>
      <c r="M552" s="27">
        <v>0</v>
      </c>
      <c r="N552" s="28"/>
      <c r="O552" s="27">
        <v>0</v>
      </c>
      <c r="P552" s="28">
        <v>0.01</v>
      </c>
      <c r="Q552" s="27">
        <v>1608</v>
      </c>
      <c r="R552" s="26">
        <v>578192</v>
      </c>
      <c r="S552" s="115">
        <f ca="1">IF(PROVEEDORES[[#This Row],[FECHA DE PAGO]]=0,TODAY()-PROVEEDORES[[#This Row],[FECHA DE FACTURACIÓN]]-PROVEEDORES[[#This Row],[PLAZO Días]],0)</f>
        <v>0</v>
      </c>
      <c r="T5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3" spans="1:20" ht="21.9" customHeight="1" x14ac:dyDescent="0.3">
      <c r="A553" s="113" t="str">
        <f>+IF(PROVEEDORES[[#This Row],[FECHA DE PAGO]]=PROVEEDORES[[#This Row],[FECHA DE FACTURACIÓN]],"DE CONTADO","CRÉDITO")</f>
        <v>CRÉDITO</v>
      </c>
      <c r="B553" s="51" t="str">
        <f>+IF((PROVEEDORES[[#This Row],[FECHA DE PAGO]]-PROVEEDORES[[#This Row],[FECHA DE FACTURACIÓN]])&gt;PROVEEDORES[[#This Row],[PLAZO Días]],"PAGO VENCIDO")</f>
        <v>PAGO VENCIDO</v>
      </c>
      <c r="C553" s="25">
        <f>+VLOOKUP(PROVEEDORES[[#This Row],[PROVEEDOR]],TERCEROS_INFO[#All],2,FALSE)</f>
        <v>30</v>
      </c>
      <c r="D553" s="30">
        <f>+SUMIFS(PROVEEDORES[Total],PROVEEDORES[PROVEEDOR],PROVEEDORES[[#This Row],[PROVEEDOR]],PROVEEDORES[FECHA DE PAGO],"")</f>
        <v>3750700</v>
      </c>
      <c r="E553" s="30"/>
      <c r="F553" s="73" t="str">
        <f>+VLOOKUP(PROVEEDORES[[#This Row],[PROVEEDOR]],TERCEROS_INFO[[PROVEEDOR]:[CORREO]],5,FALSE)</f>
        <v/>
      </c>
      <c r="G553" s="111">
        <v>44429</v>
      </c>
      <c r="H553" s="31" t="s">
        <v>996</v>
      </c>
      <c r="I553" s="111">
        <v>44387</v>
      </c>
      <c r="J553" s="48" t="s">
        <v>759</v>
      </c>
      <c r="K553" s="26">
        <v>1340300</v>
      </c>
      <c r="L553" s="26"/>
      <c r="M553" s="27">
        <v>0</v>
      </c>
      <c r="N553" s="28"/>
      <c r="O553" s="27">
        <v>0</v>
      </c>
      <c r="P553" s="28">
        <v>0</v>
      </c>
      <c r="Q553" s="27">
        <v>0</v>
      </c>
      <c r="R553" s="26">
        <v>1340300</v>
      </c>
      <c r="S553" s="115">
        <f ca="1">IF(PROVEEDORES[[#This Row],[FECHA DE PAGO]]=0,TODAY()-PROVEEDORES[[#This Row],[FECHA DE FACTURACIÓN]]-PROVEEDORES[[#This Row],[PLAZO Días]],0)</f>
        <v>0</v>
      </c>
      <c r="T55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4" spans="1:20" ht="21.9" customHeight="1" x14ac:dyDescent="0.3">
      <c r="A554" s="113" t="str">
        <f>+IF(PROVEEDORES[[#This Row],[FECHA DE PAGO]]=PROVEEDORES[[#This Row],[FECHA DE FACTURACIÓN]],"DE CONTADO","CRÉDITO")</f>
        <v>CRÉDITO</v>
      </c>
      <c r="B554" s="51" t="str">
        <f>+IF((PROVEEDORES[[#This Row],[FECHA DE PAGO]]-PROVEEDORES[[#This Row],[FECHA DE FACTURACIÓN]])&gt;PROVEEDORES[[#This Row],[PLAZO Días]],"PAGO VENCIDO")</f>
        <v>PAGO VENCIDO</v>
      </c>
      <c r="C554" s="25">
        <f>+VLOOKUP(PROVEEDORES[[#This Row],[PROVEEDOR]],TERCEROS_INFO[#All],2,FALSE)</f>
        <v>30</v>
      </c>
      <c r="D554" s="30">
        <f>+SUMIFS(PROVEEDORES[Total],PROVEEDORES[PROVEEDOR],PROVEEDORES[[#This Row],[PROVEEDOR]],PROVEEDORES[FECHA DE PAGO],"")</f>
        <v>6932910</v>
      </c>
      <c r="E554" s="30"/>
      <c r="F554" s="73" t="str">
        <f>+VLOOKUP(PROVEEDORES[[#This Row],[PROVEEDOR]],TERCEROS_INFO[[PROVEEDOR]:[CORREO]],5,FALSE)</f>
        <v>admin@kinocompanysas.com.co;girlesa.ruiz@servipilas.com;joriescobar64@gmail.com</v>
      </c>
      <c r="G554" s="111">
        <v>44432</v>
      </c>
      <c r="H554" s="31" t="s">
        <v>33</v>
      </c>
      <c r="I554" s="111">
        <v>44387</v>
      </c>
      <c r="J554" s="48">
        <v>1180</v>
      </c>
      <c r="K554" s="26">
        <v>2594000</v>
      </c>
      <c r="L554" s="26"/>
      <c r="M554" s="27">
        <v>492860</v>
      </c>
      <c r="N554" s="28"/>
      <c r="O554" s="27">
        <v>0</v>
      </c>
      <c r="P554" s="28">
        <v>2.5000000000000001E-2</v>
      </c>
      <c r="Q554" s="27">
        <v>64850</v>
      </c>
      <c r="R554" s="26">
        <v>3022010</v>
      </c>
      <c r="S554" s="115">
        <f ca="1">IF(PROVEEDORES[[#This Row],[FECHA DE PAGO]]=0,TODAY()-PROVEEDORES[[#This Row],[FECHA DE FACTURACIÓN]]-PROVEEDORES[[#This Row],[PLAZO Días]],0)</f>
        <v>0</v>
      </c>
      <c r="T5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5" spans="1:20" ht="21.9" customHeight="1" x14ac:dyDescent="0.3">
      <c r="A555" s="113" t="str">
        <f>+IF(PROVEEDORES[[#This Row],[FECHA DE PAGO]]=PROVEEDORES[[#This Row],[FECHA DE FACTURACIÓN]],"DE CONTADO","CRÉDITO")</f>
        <v>CRÉDITO</v>
      </c>
      <c r="B555" s="51" t="b">
        <f>+IF((PROVEEDORES[[#This Row],[FECHA DE PAGO]]-PROVEEDORES[[#This Row],[FECHA DE FACTURACIÓN]])&gt;PROVEEDORES[[#This Row],[PLAZO Días]],"PAGO VENCIDO")</f>
        <v>0</v>
      </c>
      <c r="C555" s="25">
        <f>+VLOOKUP(PROVEEDORES[[#This Row],[PROVEEDOR]],TERCEROS_INFO[#All],2,FALSE)</f>
        <v>30</v>
      </c>
      <c r="D555" s="30">
        <f>+SUMIFS(PROVEEDORES[Total],PROVEEDORES[PROVEEDOR],PROVEEDORES[[#This Row],[PROVEEDOR]],PROVEEDORES[FECHA DE PAGO],"")</f>
        <v>264406</v>
      </c>
      <c r="E555" s="30"/>
      <c r="F555" s="73" t="str">
        <f>+VLOOKUP(PROVEEDORES[[#This Row],[PROVEEDOR]],TERCEROS_INFO[[PROVEEDOR]:[CORREO]],5,FALSE)</f>
        <v>oswaldo.alvarez@logimexsas.com;girlesa.ruiz@servipilas.com;joriescobar64@gmail.com</v>
      </c>
      <c r="G555" s="111">
        <v>44403</v>
      </c>
      <c r="H555" s="31" t="s">
        <v>393</v>
      </c>
      <c r="I555" s="111">
        <v>44389</v>
      </c>
      <c r="J555" s="48" t="s">
        <v>468</v>
      </c>
      <c r="K555" s="26">
        <v>69726</v>
      </c>
      <c r="L555" s="26"/>
      <c r="M555" s="27">
        <v>0</v>
      </c>
      <c r="N555" s="28"/>
      <c r="O555" s="27">
        <v>0</v>
      </c>
      <c r="P555" s="28">
        <v>0</v>
      </c>
      <c r="Q555" s="27">
        <v>0</v>
      </c>
      <c r="R555" s="26">
        <v>69726</v>
      </c>
      <c r="S555" s="115">
        <f ca="1">IF(PROVEEDORES[[#This Row],[FECHA DE PAGO]]=0,TODAY()-PROVEEDORES[[#This Row],[FECHA DE FACTURACIÓN]]-PROVEEDORES[[#This Row],[PLAZO Días]],0)</f>
        <v>0</v>
      </c>
      <c r="T5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6" spans="1:20" ht="21.9" customHeight="1" x14ac:dyDescent="0.3">
      <c r="A556" s="113" t="str">
        <f>+IF(PROVEEDORES[[#This Row],[FECHA DE PAGO]]=PROVEEDORES[[#This Row],[FECHA DE FACTURACIÓN]],"DE CONTADO","CRÉDITO")</f>
        <v>CRÉDITO</v>
      </c>
      <c r="B556" s="51" t="str">
        <f>+IF((PROVEEDORES[[#This Row],[FECHA DE PAGO]]-PROVEEDORES[[#This Row],[FECHA DE FACTURACIÓN]])&gt;PROVEEDORES[[#This Row],[PLAZO Días]],"PAGO VENCIDO")</f>
        <v>PAGO VENCIDO</v>
      </c>
      <c r="C556" s="25">
        <f>+VLOOKUP(PROVEEDORES[[#This Row],[PROVEEDOR]],TERCEROS_INFO[#All],2,FALSE)</f>
        <v>45</v>
      </c>
      <c r="D556" s="30">
        <f>+SUMIFS(PROVEEDORES[Total],PROVEEDORES[PROVEEDOR],PROVEEDORES[[#This Row],[PROVEEDOR]],PROVEEDORES[FECHA DE PAGO],"")</f>
        <v>1070024.2</v>
      </c>
      <c r="E556" s="30"/>
      <c r="F556" s="73" t="str">
        <f>+VLOOKUP(PROVEEDORES[[#This Row],[PROVEEDOR]],TERCEROS_INFO[[PROVEEDOR]:[CORREO]],5,FALSE)</f>
        <v>libardopineda@tronex.com;girlesa.ruiz@servipilas.com;joriescobar64@gmail.com</v>
      </c>
      <c r="G556" s="111">
        <v>44442</v>
      </c>
      <c r="H556" s="31" t="s">
        <v>10</v>
      </c>
      <c r="I556" s="111">
        <v>44389</v>
      </c>
      <c r="J556" s="48" t="s">
        <v>434</v>
      </c>
      <c r="K556" s="26">
        <v>798000</v>
      </c>
      <c r="L556" s="26"/>
      <c r="M556" s="27">
        <v>151620</v>
      </c>
      <c r="N556" s="28"/>
      <c r="O556" s="27">
        <v>0</v>
      </c>
      <c r="P556" s="28">
        <v>0</v>
      </c>
      <c r="Q556" s="27">
        <v>0</v>
      </c>
      <c r="R556" s="26">
        <v>949620</v>
      </c>
      <c r="S556" s="115">
        <f ca="1">IF(PROVEEDORES[[#This Row],[FECHA DE PAGO]]=0,TODAY()-PROVEEDORES[[#This Row],[FECHA DE FACTURACIÓN]]-PROVEEDORES[[#This Row],[PLAZO Días]],0)</f>
        <v>0</v>
      </c>
      <c r="T55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7" spans="1:20" ht="21.9" customHeight="1" x14ac:dyDescent="0.3">
      <c r="A557" s="113" t="str">
        <f>+IF(PROVEEDORES[[#This Row],[FECHA DE PAGO]]=PROVEEDORES[[#This Row],[FECHA DE FACTURACIÓN]],"DE CONTADO","CRÉDITO")</f>
        <v>CRÉDITO</v>
      </c>
      <c r="B557" s="51" t="str">
        <f>+IF((PROVEEDORES[[#This Row],[FECHA DE PAGO]]-PROVEEDORES[[#This Row],[FECHA DE FACTURACIÓN]])&gt;PROVEEDORES[[#This Row],[PLAZO Días]],"PAGO VENCIDO")</f>
        <v>PAGO VENCIDO</v>
      </c>
      <c r="C557" s="25">
        <f>+VLOOKUP(PROVEEDORES[[#This Row],[PROVEEDOR]],TERCEROS_INFO[#All],2,FALSE)</f>
        <v>30</v>
      </c>
      <c r="D557" s="30">
        <f>+SUMIFS(PROVEEDORES[Total],PROVEEDORES[PROVEEDOR],PROVEEDORES[[#This Row],[PROVEEDOR]],PROVEEDORES[FECHA DE PAGO],"")</f>
        <v>1451823</v>
      </c>
      <c r="E557" s="30"/>
      <c r="F557" s="73" t="str">
        <f>+VLOOKUP(PROVEEDORES[[#This Row],[PROVEEDOR]],TERCEROS_INFO[[PROVEEDOR]:[CORREO]],5,FALSE)</f>
        <v>cartera@ienewline.com;andres.arroyave@ienewline.com;girlesa.ruiz@servipilas.com;joriescobar64@gmail.com</v>
      </c>
      <c r="G557" s="111">
        <v>44427</v>
      </c>
      <c r="H557" s="31" t="s">
        <v>1131</v>
      </c>
      <c r="I557" s="111">
        <v>44390</v>
      </c>
      <c r="J557" s="48">
        <v>19589</v>
      </c>
      <c r="K557" s="26">
        <v>114000</v>
      </c>
      <c r="L557" s="26"/>
      <c r="M557" s="27">
        <v>21660</v>
      </c>
      <c r="N557" s="28"/>
      <c r="O557" s="27">
        <v>0</v>
      </c>
      <c r="P557" s="28">
        <v>0</v>
      </c>
      <c r="Q557" s="27">
        <v>0</v>
      </c>
      <c r="R557" s="26">
        <v>135660</v>
      </c>
      <c r="S557" s="115">
        <f ca="1">IF(PROVEEDORES[[#This Row],[FECHA DE PAGO]]=0,TODAY()-PROVEEDORES[[#This Row],[FECHA DE FACTURACIÓN]]-PROVEEDORES[[#This Row],[PLAZO Días]],0)</f>
        <v>0</v>
      </c>
      <c r="T55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8" spans="1:20" ht="21.9" customHeight="1" x14ac:dyDescent="0.3">
      <c r="A558" s="113" t="str">
        <f>+IF(PROVEEDORES[[#This Row],[FECHA DE PAGO]]=PROVEEDORES[[#This Row],[FECHA DE FACTURACIÓN]],"DE CONTADO","CRÉDITO")</f>
        <v>CRÉDITO</v>
      </c>
      <c r="B558" s="51" t="b">
        <f>+IF((PROVEEDORES[[#This Row],[FECHA DE PAGO]]-PROVEEDORES[[#This Row],[FECHA DE FACTURACIÓN]])&gt;PROVEEDORES[[#This Row],[PLAZO Días]],"PAGO VENCIDO")</f>
        <v>0</v>
      </c>
      <c r="C558" s="25">
        <f>+VLOOKUP(PROVEEDORES[[#This Row],[PROVEEDOR]],TERCEROS_INFO[#All],2,FALSE)</f>
        <v>30</v>
      </c>
      <c r="D558" s="30">
        <f>+SUMIFS(PROVEEDORES[Total],PROVEEDORES[PROVEEDOR],PROVEEDORES[[#This Row],[PROVEEDOR]],PROVEEDORES[FECHA DE PAGO],"")</f>
        <v>0</v>
      </c>
      <c r="E558" s="30"/>
      <c r="F558" s="73" t="str">
        <f>+VLOOKUP(PROVEEDORES[[#This Row],[PROVEEDOR]],TERCEROS_INFO[[PROVEEDOR]:[CORREO]],5,FALSE)</f>
        <v>cartera@aerosan.com;girlesa.ruiz@servipilas.com;joriescobar64@gmail.com</v>
      </c>
      <c r="G558" s="111">
        <v>44391</v>
      </c>
      <c r="H558" s="31" t="s">
        <v>57</v>
      </c>
      <c r="I558" s="111">
        <v>44390</v>
      </c>
      <c r="J558" s="48" t="s">
        <v>430</v>
      </c>
      <c r="K558" s="26">
        <v>353601</v>
      </c>
      <c r="L558" s="26"/>
      <c r="M558" s="27">
        <v>67184.19</v>
      </c>
      <c r="N558" s="28"/>
      <c r="O558" s="27">
        <v>0</v>
      </c>
      <c r="P558" s="28">
        <v>0</v>
      </c>
      <c r="Q558" s="27">
        <v>0</v>
      </c>
      <c r="R558" s="26">
        <v>420785.19</v>
      </c>
      <c r="S558" s="115">
        <f ca="1">IF(PROVEEDORES[[#This Row],[FECHA DE PAGO]]=0,TODAY()-PROVEEDORES[[#This Row],[FECHA DE FACTURACIÓN]]-PROVEEDORES[[#This Row],[PLAZO Días]],0)</f>
        <v>0</v>
      </c>
      <c r="T55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59" spans="1:20" ht="21.9" customHeight="1" x14ac:dyDescent="0.3">
      <c r="A559" s="113" t="str">
        <f>+IF(PROVEEDORES[[#This Row],[FECHA DE PAGO]]=PROVEEDORES[[#This Row],[FECHA DE FACTURACIÓN]],"DE CONTADO","CRÉDITO")</f>
        <v>CRÉDITO</v>
      </c>
      <c r="B559" s="51" t="str">
        <f>+IF((PROVEEDORES[[#This Row],[FECHA DE PAGO]]-PROVEEDORES[[#This Row],[FECHA DE FACTURACIÓN]])&gt;PROVEEDORES[[#This Row],[PLAZO Días]],"PAGO VENCIDO")</f>
        <v>PAGO VENCIDO</v>
      </c>
      <c r="C559" s="25">
        <f>+VLOOKUP(PROVEEDORES[[#This Row],[PROVEEDOR]],TERCEROS_INFO[#All],2,FALSE)</f>
        <v>30</v>
      </c>
      <c r="D559" s="30">
        <f>+SUMIFS(PROVEEDORES[Total],PROVEEDORES[PROVEEDOR],PROVEEDORES[[#This Row],[PROVEEDOR]],PROVEEDORES[FECHA DE PAGO],"")</f>
        <v>6482443.1751999995</v>
      </c>
      <c r="E559" s="30"/>
      <c r="F559" s="73" t="str">
        <f>+VLOOKUP(PROVEEDORES[[#This Row],[PROVEEDOR]],TERCEROS_INFO[[PROVEEDOR]:[CORREO]],5,FALSE)</f>
        <v>angela.navas@hyrdistribuciones.com;girlesa.ruiz@servipilas.com;joriescobar64@gmail.com</v>
      </c>
      <c r="G559" s="111">
        <v>44426</v>
      </c>
      <c r="H559" s="31" t="s">
        <v>18</v>
      </c>
      <c r="I559" s="111">
        <v>44390</v>
      </c>
      <c r="J559" s="48">
        <v>1040307</v>
      </c>
      <c r="K559" s="26">
        <v>822858</v>
      </c>
      <c r="L559" s="26"/>
      <c r="M559" s="27">
        <v>156343.01999999999</v>
      </c>
      <c r="N559" s="28"/>
      <c r="O559" s="27">
        <v>0</v>
      </c>
      <c r="P559" s="28">
        <v>0</v>
      </c>
      <c r="Q559" s="27">
        <v>0</v>
      </c>
      <c r="R559" s="26">
        <v>979201.02</v>
      </c>
      <c r="S559" s="115">
        <f ca="1">IF(PROVEEDORES[[#This Row],[FECHA DE PAGO]]=0,TODAY()-PROVEEDORES[[#This Row],[FECHA DE FACTURACIÓN]]-PROVEEDORES[[#This Row],[PLAZO Días]],0)</f>
        <v>0</v>
      </c>
      <c r="T5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0" spans="1:20" ht="21.9" customHeight="1" x14ac:dyDescent="0.3">
      <c r="A560" s="113" t="str">
        <f>+IF(PROVEEDORES[[#This Row],[FECHA DE PAGO]]=PROVEEDORES[[#This Row],[FECHA DE FACTURACIÓN]],"DE CONTADO","CRÉDITO")</f>
        <v>CRÉDITO</v>
      </c>
      <c r="B560" s="51" t="str">
        <f>+IF((PROVEEDORES[[#This Row],[FECHA DE PAGO]]-PROVEEDORES[[#This Row],[FECHA DE FACTURACIÓN]])&gt;PROVEEDORES[[#This Row],[PLAZO Días]],"PAGO VENCIDO")</f>
        <v>PAGO VENCIDO</v>
      </c>
      <c r="C560" s="25">
        <f>+VLOOKUP(PROVEEDORES[[#This Row],[PROVEEDOR]],TERCEROS_INFO[#All],2,FALSE)</f>
        <v>30</v>
      </c>
      <c r="D560" s="30">
        <f>+SUMIFS(PROVEEDORES[Total],PROVEEDORES[PROVEEDOR],PROVEEDORES[[#This Row],[PROVEEDOR]],PROVEEDORES[FECHA DE PAGO],"")</f>
        <v>0</v>
      </c>
      <c r="E560" s="30"/>
      <c r="F560" s="73" t="str">
        <f>+VLOOKUP(PROVEEDORES[[#This Row],[PROVEEDOR]],TERCEROS_INFO[[PROVEEDOR]:[CORREO]],5,FALSE)</f>
        <v>yermingg@hotmail.com;girlesa.ruiz@servipilas.com;joriescobar64@gmail.com</v>
      </c>
      <c r="G560" s="111">
        <v>44442</v>
      </c>
      <c r="H560" s="31" t="s">
        <v>1085</v>
      </c>
      <c r="I560" s="111">
        <v>44390</v>
      </c>
      <c r="J560" s="48" t="s">
        <v>761</v>
      </c>
      <c r="K560" s="26">
        <v>1470000</v>
      </c>
      <c r="L560" s="26"/>
      <c r="M560" s="27">
        <v>0</v>
      </c>
      <c r="N560" s="28"/>
      <c r="O560" s="27">
        <v>0</v>
      </c>
      <c r="P560" s="28">
        <v>0</v>
      </c>
      <c r="Q560" s="27">
        <v>0</v>
      </c>
      <c r="R560" s="26">
        <v>1470000</v>
      </c>
      <c r="S560" s="115">
        <f ca="1">IF(PROVEEDORES[[#This Row],[FECHA DE PAGO]]=0,TODAY()-PROVEEDORES[[#This Row],[FECHA DE FACTURACIÓN]]-PROVEEDORES[[#This Row],[PLAZO Días]],0)</f>
        <v>0</v>
      </c>
      <c r="T56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1" spans="1:20" ht="21.9" customHeight="1" x14ac:dyDescent="0.3">
      <c r="A561" s="113" t="str">
        <f>+IF(PROVEEDORES[[#This Row],[FECHA DE PAGO]]=PROVEEDORES[[#This Row],[FECHA DE FACTURACIÓN]],"DE CONTADO","CRÉDITO")</f>
        <v>CRÉDITO</v>
      </c>
      <c r="B561" s="51" t="b">
        <f>+IF((PROVEEDORES[[#This Row],[FECHA DE PAGO]]-PROVEEDORES[[#This Row],[FECHA DE FACTURACIÓN]])&gt;PROVEEDORES[[#This Row],[PLAZO Días]],"PAGO VENCIDO")</f>
        <v>0</v>
      </c>
      <c r="C561" s="25">
        <f>+VLOOKUP(PROVEEDORES[[#This Row],[PROVEEDOR]],TERCEROS_INFO[#All],2,FALSE)</f>
        <v>30</v>
      </c>
      <c r="D561" s="30">
        <f>+SUMIFS(PROVEEDORES[Total],PROVEEDORES[PROVEEDOR],PROVEEDORES[[#This Row],[PROVEEDOR]],PROVEEDORES[FECHA DE PAGO],"")</f>
        <v>0</v>
      </c>
      <c r="E561" s="30"/>
      <c r="F561" s="73" t="str">
        <f>+VLOOKUP(PROVEEDORES[[#This Row],[PROVEEDOR]],TERCEROS_INFO[[PROVEEDOR]:[CORREO]],5,FALSE)</f>
        <v/>
      </c>
      <c r="G561" s="111">
        <v>44391</v>
      </c>
      <c r="H561" s="31" t="s">
        <v>1007</v>
      </c>
      <c r="I561" s="111">
        <v>44390</v>
      </c>
      <c r="J561" s="48" t="s">
        <v>760</v>
      </c>
      <c r="K561" s="26">
        <v>2097000</v>
      </c>
      <c r="L561" s="26"/>
      <c r="M561" s="27">
        <v>0</v>
      </c>
      <c r="N561" s="28"/>
      <c r="O561" s="27">
        <v>0</v>
      </c>
      <c r="P561" s="28">
        <v>0</v>
      </c>
      <c r="Q561" s="27">
        <v>0</v>
      </c>
      <c r="R561" s="26">
        <v>2097000</v>
      </c>
      <c r="S561" s="115">
        <f ca="1">IF(PROVEEDORES[[#This Row],[FECHA DE PAGO]]=0,TODAY()-PROVEEDORES[[#This Row],[FECHA DE FACTURACIÓN]]-PROVEEDORES[[#This Row],[PLAZO Días]],0)</f>
        <v>0</v>
      </c>
      <c r="T56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2" spans="1:20" ht="21.9" customHeight="1" x14ac:dyDescent="0.3">
      <c r="A562" s="113" t="str">
        <f>+IF(PROVEEDORES[[#This Row],[FECHA DE PAGO]]=PROVEEDORES[[#This Row],[FECHA DE FACTURACIÓN]],"DE CONTADO","CRÉDITO")</f>
        <v>CRÉDITO</v>
      </c>
      <c r="B562" s="51" t="str">
        <f>+IF((PROVEEDORES[[#This Row],[FECHA DE PAGO]]-PROVEEDORES[[#This Row],[FECHA DE FACTURACIÓN]])&gt;PROVEEDORES[[#This Row],[PLAZO Días]],"PAGO VENCIDO")</f>
        <v>PAGO VENCIDO</v>
      </c>
      <c r="C562" s="25">
        <f>+VLOOKUP(PROVEEDORES[[#This Row],[PROVEEDOR]],TERCEROS_INFO[#All],2,FALSE)</f>
        <v>90</v>
      </c>
      <c r="D562" s="30">
        <f>+SUMIFS(PROVEEDORES[Total],PROVEEDORES[PROVEEDOR],PROVEEDORES[[#This Row],[PROVEEDOR]],PROVEEDORES[FECHA DE PAGO],"")</f>
        <v>26364243.66155</v>
      </c>
      <c r="E562" s="30"/>
      <c r="F562" s="73" t="str">
        <f>+VLOOKUP(PROVEEDORES[[#This Row],[PROVEEDOR]],TERCEROS_INFO[[PROVEEDOR]:[CORREO]],5,FALSE)</f>
        <v>javiergomez_72@hotmail.com ;girlesa.ruiz@servipilas.com;joriescobar64@gmail.com</v>
      </c>
      <c r="G562" s="111">
        <v>44491</v>
      </c>
      <c r="H562" s="31" t="s">
        <v>12</v>
      </c>
      <c r="I562" s="111">
        <v>44390</v>
      </c>
      <c r="J562" s="48" t="s">
        <v>436</v>
      </c>
      <c r="K562" s="26">
        <v>6247056</v>
      </c>
      <c r="L562" s="26"/>
      <c r="M562" s="27">
        <v>1186940.6399999999</v>
      </c>
      <c r="N562" s="28"/>
      <c r="O562" s="27">
        <v>0</v>
      </c>
      <c r="P562" s="28">
        <v>2.5000000000000001E-2</v>
      </c>
      <c r="Q562" s="27">
        <v>156176.4</v>
      </c>
      <c r="R562" s="26">
        <v>7277820.2399999993</v>
      </c>
      <c r="S562" s="115">
        <f ca="1">IF(PROVEEDORES[[#This Row],[FECHA DE PAGO]]=0,TODAY()-PROVEEDORES[[#This Row],[FECHA DE FACTURACIÓN]]-PROVEEDORES[[#This Row],[PLAZO Días]],0)</f>
        <v>0</v>
      </c>
      <c r="T5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3" spans="1:20" ht="21.9" customHeight="1" x14ac:dyDescent="0.3">
      <c r="A563" s="113" t="str">
        <f>+IF(PROVEEDORES[[#This Row],[FECHA DE PAGO]]=PROVEEDORES[[#This Row],[FECHA DE FACTURACIÓN]],"DE CONTADO","CRÉDITO")</f>
        <v>CRÉDITO</v>
      </c>
      <c r="B563" s="51" t="str">
        <f>+IF((PROVEEDORES[[#This Row],[FECHA DE PAGO]]-PROVEEDORES[[#This Row],[FECHA DE FACTURACIÓN]])&gt;PROVEEDORES[[#This Row],[PLAZO Días]],"PAGO VENCIDO")</f>
        <v>PAGO VENCIDO</v>
      </c>
      <c r="C563" s="25">
        <f>+VLOOKUP(PROVEEDORES[[#This Row],[PROVEEDOR]],TERCEROS_INFO[#All],2,FALSE)</f>
        <v>30</v>
      </c>
      <c r="D563" s="30">
        <f>+SUMIFS(PROVEEDORES[Total],PROVEEDORES[PROVEEDOR],PROVEEDORES[[#This Row],[PROVEEDOR]],PROVEEDORES[FECHA DE PAGO],"")</f>
        <v>1451823</v>
      </c>
      <c r="E563" s="30"/>
      <c r="F563" s="73" t="str">
        <f>+VLOOKUP(PROVEEDORES[[#This Row],[PROVEEDOR]],TERCEROS_INFO[[PROVEEDOR]:[CORREO]],5,FALSE)</f>
        <v>cartera@ienewline.com;andres.arroyave@ienewline.com;girlesa.ruiz@servipilas.com;joriescobar64@gmail.com</v>
      </c>
      <c r="G563" s="111">
        <v>44426</v>
      </c>
      <c r="H563" s="31" t="s">
        <v>1131</v>
      </c>
      <c r="I563" s="111">
        <v>44390</v>
      </c>
      <c r="J563" s="48">
        <v>19575</v>
      </c>
      <c r="K563" s="26">
        <v>9750000</v>
      </c>
      <c r="L563" s="26"/>
      <c r="M563" s="27">
        <v>1852500</v>
      </c>
      <c r="N563" s="28"/>
      <c r="O563" s="27">
        <v>0</v>
      </c>
      <c r="P563" s="28">
        <v>2.5000000000000001E-2</v>
      </c>
      <c r="Q563" s="27">
        <v>243750</v>
      </c>
      <c r="R563" s="26">
        <v>10644250</v>
      </c>
      <c r="S563" s="115">
        <f ca="1">IF(PROVEEDORES[[#This Row],[FECHA DE PAGO]]=0,TODAY()-PROVEEDORES[[#This Row],[FECHA DE FACTURACIÓN]]-PROVEEDORES[[#This Row],[PLAZO Días]],0)</f>
        <v>0</v>
      </c>
      <c r="T5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4" spans="1:20" ht="21.9" customHeight="1" x14ac:dyDescent="0.3">
      <c r="A564" s="113" t="str">
        <f>+IF(PROVEEDORES[[#This Row],[FECHA DE PAGO]]=PROVEEDORES[[#This Row],[FECHA DE FACTURACIÓN]],"DE CONTADO","CRÉDITO")</f>
        <v>CRÉDITO</v>
      </c>
      <c r="B564" s="51" t="b">
        <f>+IF((PROVEEDORES[[#This Row],[FECHA DE PAGO]]-PROVEEDORES[[#This Row],[FECHA DE FACTURACIÓN]])&gt;PROVEEDORES[[#This Row],[PLAZO Días]],"PAGO VENCIDO")</f>
        <v>0</v>
      </c>
      <c r="C564" s="25">
        <f>+VLOOKUP(PROVEEDORES[[#This Row],[PROVEEDOR]],TERCEROS_INFO[#All],2,FALSE)</f>
        <v>90</v>
      </c>
      <c r="D564" s="30">
        <f>+SUMIFS(PROVEEDORES[Total],PROVEEDORES[PROVEEDOR],PROVEEDORES[[#This Row],[PROVEEDOR]],PROVEEDORES[FECHA DE PAGO],"")</f>
        <v>39058718</v>
      </c>
      <c r="E564" s="30"/>
      <c r="F564" s="73" t="str">
        <f>+VLOOKUP(PROVEEDORES[[#This Row],[PROVEEDOR]],TERCEROS_INFO[[PROVEEDOR]:[CORREO]],5,FALSE)</f>
        <v>mcastillo@kenextrading.com;agarcia@kenextrading.com;girlesa.ruiz@servipilas.com;joriescobar64@gmail.com</v>
      </c>
      <c r="G564" s="111">
        <v>44476</v>
      </c>
      <c r="H564" s="31" t="s">
        <v>31</v>
      </c>
      <c r="I564" s="111">
        <v>44390</v>
      </c>
      <c r="J564" s="48">
        <v>54504</v>
      </c>
      <c r="K564" s="26">
        <v>53381991</v>
      </c>
      <c r="L564" s="26"/>
      <c r="M564" s="27">
        <v>0</v>
      </c>
      <c r="N564" s="28"/>
      <c r="O564" s="27">
        <v>0</v>
      </c>
      <c r="P564" s="28">
        <v>0</v>
      </c>
      <c r="Q564" s="27">
        <v>0</v>
      </c>
      <c r="R564" s="26">
        <v>53381991</v>
      </c>
      <c r="S564" s="115">
        <f ca="1">IF(PROVEEDORES[[#This Row],[FECHA DE PAGO]]=0,TODAY()-PROVEEDORES[[#This Row],[FECHA DE FACTURACIÓN]]-PROVEEDORES[[#This Row],[PLAZO Días]],0)</f>
        <v>0</v>
      </c>
      <c r="T5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5" spans="1:20" ht="21.9" customHeight="1" x14ac:dyDescent="0.3">
      <c r="A565" s="113" t="str">
        <f>+IF(PROVEEDORES[[#This Row],[FECHA DE PAGO]]=PROVEEDORES[[#This Row],[FECHA DE FACTURACIÓN]],"DE CONTADO","CRÉDITO")</f>
        <v>CRÉDITO</v>
      </c>
      <c r="B565" s="51" t="str">
        <f>+IF((PROVEEDORES[[#This Row],[FECHA DE PAGO]]-PROVEEDORES[[#This Row],[FECHA DE FACTURACIÓN]])&gt;PROVEEDORES[[#This Row],[PLAZO Días]],"PAGO VENCIDO")</f>
        <v>PAGO VENCIDO</v>
      </c>
      <c r="C565" s="25">
        <f>+VLOOKUP(PROVEEDORES[[#This Row],[PROVEEDOR]],TERCEROS_INFO[#All],2,FALSE)</f>
        <v>30</v>
      </c>
      <c r="D565" s="30">
        <f>+SUMIFS(PROVEEDORES[Total],PROVEEDORES[PROVEEDOR],PROVEEDORES[[#This Row],[PROVEEDOR]],PROVEEDORES[FECHA DE PAGO],"")</f>
        <v>3355018.0749999997</v>
      </c>
      <c r="E565" s="30"/>
      <c r="F565" s="73" t="str">
        <f>+VLOOKUP(PROVEEDORES[[#This Row],[PROVEEDOR]],TERCEROS_INFO[[PROVEEDOR]:[CORREO]],5,FALSE)</f>
        <v>yermingg@hotmail.com;girlesa.ruiz@servipilas.com;joriescobar64@gmail.com</v>
      </c>
      <c r="G565" s="111">
        <v>44442</v>
      </c>
      <c r="H565" s="31" t="s">
        <v>224</v>
      </c>
      <c r="I565" s="111">
        <v>44391</v>
      </c>
      <c r="J565" s="48">
        <v>316</v>
      </c>
      <c r="K565" s="26">
        <v>324370</v>
      </c>
      <c r="L565" s="26"/>
      <c r="M565" s="27">
        <v>61630.3</v>
      </c>
      <c r="N565" s="28"/>
      <c r="O565" s="27">
        <v>0</v>
      </c>
      <c r="P565" s="28">
        <v>0</v>
      </c>
      <c r="Q565" s="27">
        <v>0</v>
      </c>
      <c r="R565" s="26">
        <v>386000.3</v>
      </c>
      <c r="S565" s="115">
        <f ca="1">IF(PROVEEDORES[[#This Row],[FECHA DE PAGO]]=0,TODAY()-PROVEEDORES[[#This Row],[FECHA DE FACTURACIÓN]]-PROVEEDORES[[#This Row],[PLAZO Días]],0)</f>
        <v>0</v>
      </c>
      <c r="T5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6" spans="1:20" ht="21.9" customHeight="1" x14ac:dyDescent="0.3">
      <c r="A566" s="113" t="str">
        <f>+IF(PROVEEDORES[[#This Row],[FECHA DE PAGO]]=PROVEEDORES[[#This Row],[FECHA DE FACTURACIÓN]],"DE CONTADO","CRÉDITO")</f>
        <v>CRÉDITO</v>
      </c>
      <c r="B566" s="51" t="b">
        <f>+IF((PROVEEDORES[[#This Row],[FECHA DE PAGO]]-PROVEEDORES[[#This Row],[FECHA DE FACTURACIÓN]])&gt;PROVEEDORES[[#This Row],[PLAZO Días]],"PAGO VENCIDO")</f>
        <v>0</v>
      </c>
      <c r="C566" s="25">
        <f>+VLOOKUP(PROVEEDORES[[#This Row],[PROVEEDOR]],TERCEROS_INFO[#All],2,FALSE)</f>
        <v>30</v>
      </c>
      <c r="D566" s="30">
        <f>+SUMIFS(PROVEEDORES[Total],PROVEEDORES[PROVEEDOR],PROVEEDORES[[#This Row],[PROVEEDOR]],PROVEEDORES[FECHA DE PAGO],"")</f>
        <v>0</v>
      </c>
      <c r="E566" s="30"/>
      <c r="F566" s="73" t="str">
        <f>+VLOOKUP(PROVEEDORES[[#This Row],[PROVEEDOR]],TERCEROS_INFO[[PROVEEDOR]:[CORREO]],5,FALSE)</f>
        <v>oswaldo.alvarez@logimexsas.com;girlesa.ruiz@servipilas.com;joriescobar64@gmail.com</v>
      </c>
      <c r="G566" s="111">
        <v>44393</v>
      </c>
      <c r="H566" s="31" t="s">
        <v>120</v>
      </c>
      <c r="I566" s="111">
        <v>44391</v>
      </c>
      <c r="J566" s="48" t="s">
        <v>762</v>
      </c>
      <c r="K566" s="26">
        <v>1531000</v>
      </c>
      <c r="L566" s="26"/>
      <c r="M566" s="27">
        <v>0</v>
      </c>
      <c r="N566" s="28"/>
      <c r="O566" s="27">
        <v>0</v>
      </c>
      <c r="P566" s="28">
        <v>0</v>
      </c>
      <c r="Q566" s="27">
        <v>0</v>
      </c>
      <c r="R566" s="26">
        <v>1531000</v>
      </c>
      <c r="S566" s="115">
        <f ca="1">IF(PROVEEDORES[[#This Row],[FECHA DE PAGO]]=0,TODAY()-PROVEEDORES[[#This Row],[FECHA DE FACTURACIÓN]]-PROVEEDORES[[#This Row],[PLAZO Días]],0)</f>
        <v>0</v>
      </c>
      <c r="T56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7" spans="1:20" ht="21.9" customHeight="1" x14ac:dyDescent="0.3">
      <c r="A567" s="113" t="str">
        <f>+IF(PROVEEDORES[[#This Row],[FECHA DE PAGO]]=PROVEEDORES[[#This Row],[FECHA DE FACTURACIÓN]],"DE CONTADO","CRÉDITO")</f>
        <v>CRÉDITO</v>
      </c>
      <c r="B567" s="51" t="b">
        <f>+IF((PROVEEDORES[[#This Row],[FECHA DE PAGO]]-PROVEEDORES[[#This Row],[FECHA DE FACTURACIÓN]])&gt;PROVEEDORES[[#This Row],[PLAZO Días]],"PAGO VENCIDO")</f>
        <v>0</v>
      </c>
      <c r="C567" s="25">
        <f>+VLOOKUP(PROVEEDORES[[#This Row],[PROVEEDOR]],TERCEROS_INFO[#All],2,FALSE)</f>
        <v>30</v>
      </c>
      <c r="D567" s="30">
        <f>+SUMIFS(PROVEEDORES[Total],PROVEEDORES[PROVEEDOR],PROVEEDORES[[#This Row],[PROVEEDOR]],PROVEEDORES[FECHA DE PAGO],"")</f>
        <v>0</v>
      </c>
      <c r="E567" s="30"/>
      <c r="F567" s="73" t="str">
        <f>+VLOOKUP(PROVEEDORES[[#This Row],[PROVEEDOR]],TERCEROS_INFO[[PROVEEDOR]:[CORREO]],5,FALSE)</f>
        <v/>
      </c>
      <c r="G567" s="111">
        <v>44393</v>
      </c>
      <c r="H567" s="31" t="s">
        <v>56</v>
      </c>
      <c r="I567" s="111">
        <v>44391</v>
      </c>
      <c r="J567" s="48">
        <v>54504</v>
      </c>
      <c r="K567" s="26">
        <v>13177000</v>
      </c>
      <c r="L567" s="26"/>
      <c r="M567" s="27">
        <v>0</v>
      </c>
      <c r="N567" s="28"/>
      <c r="O567" s="27">
        <v>0</v>
      </c>
      <c r="P567" s="28">
        <v>0</v>
      </c>
      <c r="Q567" s="27">
        <v>0</v>
      </c>
      <c r="R567" s="26">
        <v>13177000</v>
      </c>
      <c r="S567" s="115">
        <f ca="1">IF(PROVEEDORES[[#This Row],[FECHA DE PAGO]]=0,TODAY()-PROVEEDORES[[#This Row],[FECHA DE FACTURACIÓN]]-PROVEEDORES[[#This Row],[PLAZO Días]],0)</f>
        <v>0</v>
      </c>
      <c r="T5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8" spans="1:20" ht="21.9" customHeight="1" x14ac:dyDescent="0.3">
      <c r="A568" s="113" t="str">
        <f>+IF(PROVEEDORES[[#This Row],[FECHA DE PAGO]]=PROVEEDORES[[#This Row],[FECHA DE FACTURACIÓN]],"DE CONTADO","CRÉDITO")</f>
        <v>DE CONTADO</v>
      </c>
      <c r="B568" s="51" t="b">
        <f>+IF((PROVEEDORES[[#This Row],[FECHA DE PAGO]]-PROVEEDORES[[#This Row],[FECHA DE FACTURACIÓN]])&gt;PROVEEDORES[[#This Row],[PLAZO Días]],"PAGO VENCIDO")</f>
        <v>0</v>
      </c>
      <c r="C568" s="25">
        <f>+VLOOKUP(PROVEEDORES[[#This Row],[PROVEEDOR]],TERCEROS_INFO[#All],2,FALSE)</f>
        <v>30</v>
      </c>
      <c r="D568" s="30">
        <f>+SUMIFS(PROVEEDORES[Total],PROVEEDORES[PROVEEDOR],PROVEEDORES[[#This Row],[PROVEEDOR]],PROVEEDORES[FECHA DE PAGO],"")</f>
        <v>0</v>
      </c>
      <c r="E568" s="30"/>
      <c r="F568" s="73" t="str">
        <f>+VLOOKUP(PROVEEDORES[[#This Row],[PROVEEDOR]],TERCEROS_INFO[[PROVEEDOR]:[CORREO]],5,FALSE)</f>
        <v/>
      </c>
      <c r="G568" s="111">
        <v>44392</v>
      </c>
      <c r="H568" s="31" t="s">
        <v>1016</v>
      </c>
      <c r="I568" s="111">
        <v>44392</v>
      </c>
      <c r="J568" s="48" t="s">
        <v>763</v>
      </c>
      <c r="K568" s="26">
        <v>39000</v>
      </c>
      <c r="L568" s="26"/>
      <c r="M568" s="27">
        <v>0</v>
      </c>
      <c r="N568" s="28"/>
      <c r="O568" s="27">
        <v>0</v>
      </c>
      <c r="P568" s="28">
        <v>0</v>
      </c>
      <c r="Q568" s="27">
        <v>0</v>
      </c>
      <c r="R568" s="26">
        <v>39000</v>
      </c>
      <c r="S568" s="115">
        <f ca="1">IF(PROVEEDORES[[#This Row],[FECHA DE PAGO]]=0,TODAY()-PROVEEDORES[[#This Row],[FECHA DE FACTURACIÓN]]-PROVEEDORES[[#This Row],[PLAZO Días]],0)</f>
        <v>0</v>
      </c>
      <c r="T5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69" spans="1:20" ht="21.9" customHeight="1" x14ac:dyDescent="0.3">
      <c r="A569" s="113" t="str">
        <f>+IF(PROVEEDORES[[#This Row],[FECHA DE PAGO]]=PROVEEDORES[[#This Row],[FECHA DE FACTURACIÓN]],"DE CONTADO","CRÉDITO")</f>
        <v>CRÉDITO</v>
      </c>
      <c r="B569" s="51" t="str">
        <f>+IF((PROVEEDORES[[#This Row],[FECHA DE PAGO]]-PROVEEDORES[[#This Row],[FECHA DE FACTURACIÓN]])&gt;PROVEEDORES[[#This Row],[PLAZO Días]],"PAGO VENCIDO")</f>
        <v>PAGO VENCIDO</v>
      </c>
      <c r="C569" s="25">
        <f>+VLOOKUP(PROVEEDORES[[#This Row],[PROVEEDOR]],TERCEROS_INFO[#All],2,FALSE)</f>
        <v>30</v>
      </c>
      <c r="D569" s="30">
        <f>+SUMIFS(PROVEEDORES[Total],PROVEEDORES[PROVEEDOR],PROVEEDORES[[#This Row],[PROVEEDOR]],PROVEEDORES[FECHA DE PAGO],"")</f>
        <v>0</v>
      </c>
      <c r="E569" s="30"/>
      <c r="F569" s="73" t="str">
        <f>+VLOOKUP(PROVEEDORES[[#This Row],[PROVEEDOR]],TERCEROS_INFO[[PROVEEDOR]:[CORREO]],5,FALSE)</f>
        <v>cxc11@unitecusa.com.co;jefecartera@unitecusa.com.co;girlesa.ruiz@servipilas.com;joriescobar64@gmail.com</v>
      </c>
      <c r="G569" s="111">
        <v>44426</v>
      </c>
      <c r="H569" s="31" t="s">
        <v>14</v>
      </c>
      <c r="I569" s="111">
        <v>44392</v>
      </c>
      <c r="J569" s="48" t="s">
        <v>435</v>
      </c>
      <c r="K569" s="26">
        <v>142856</v>
      </c>
      <c r="L569" s="26"/>
      <c r="M569" s="27">
        <v>27142.639999999999</v>
      </c>
      <c r="N569" s="28"/>
      <c r="O569" s="27">
        <v>0</v>
      </c>
      <c r="P569" s="28">
        <v>0</v>
      </c>
      <c r="Q569" s="27">
        <v>0</v>
      </c>
      <c r="R569" s="26">
        <v>169998.64</v>
      </c>
      <c r="S569" s="115">
        <f ca="1">IF(PROVEEDORES[[#This Row],[FECHA DE PAGO]]=0,TODAY()-PROVEEDORES[[#This Row],[FECHA DE FACTURACIÓN]]-PROVEEDORES[[#This Row],[PLAZO Días]],0)</f>
        <v>0</v>
      </c>
      <c r="T56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0" spans="1:20" ht="21.9" customHeight="1" x14ac:dyDescent="0.3">
      <c r="A570" s="113" t="str">
        <f>+IF(PROVEEDORES[[#This Row],[FECHA DE PAGO]]=PROVEEDORES[[#This Row],[FECHA DE FACTURACIÓN]],"DE CONTADO","CRÉDITO")</f>
        <v>CRÉDITO</v>
      </c>
      <c r="B570" s="51" t="b">
        <f>+IF((PROVEEDORES[[#This Row],[FECHA DE PAGO]]-PROVEEDORES[[#This Row],[FECHA DE FACTURACIÓN]])&gt;PROVEEDORES[[#This Row],[PLAZO Días]],"PAGO VENCIDO")</f>
        <v>0</v>
      </c>
      <c r="C570" s="25">
        <f>+VLOOKUP(PROVEEDORES[[#This Row],[PROVEEDOR]],TERCEROS_INFO[#All],2,FALSE)</f>
        <v>30</v>
      </c>
      <c r="D570" s="30">
        <f>+SUMIFS(PROVEEDORES[Total],PROVEEDORES[PROVEEDOR],PROVEEDORES[[#This Row],[PROVEEDOR]],PROVEEDORES[FECHA DE PAGO],"")</f>
        <v>0</v>
      </c>
      <c r="E570" s="30"/>
      <c r="F570" s="73" t="str">
        <f>+VLOOKUP(PROVEEDORES[[#This Row],[PROVEEDOR]],TERCEROS_INFO[[PROVEEDOR]:[CORREO]],5,FALSE)</f>
        <v>inspecciones@bomberossabaneta.com;girlesa.ruiz@servipilas.com;joriescobar64@gmail.com</v>
      </c>
      <c r="G570" s="111">
        <v>44396</v>
      </c>
      <c r="H570" s="31" t="s">
        <v>431</v>
      </c>
      <c r="I570" s="111">
        <v>44392</v>
      </c>
      <c r="J570" s="48">
        <v>2132</v>
      </c>
      <c r="K570" s="26">
        <v>259473</v>
      </c>
      <c r="L570" s="26"/>
      <c r="M570" s="27">
        <v>0</v>
      </c>
      <c r="N570" s="28"/>
      <c r="O570" s="27">
        <v>0</v>
      </c>
      <c r="P570" s="28">
        <v>0</v>
      </c>
      <c r="Q570" s="27">
        <v>0</v>
      </c>
      <c r="R570" s="26">
        <v>259473</v>
      </c>
      <c r="S570" s="115">
        <f ca="1">IF(PROVEEDORES[[#This Row],[FECHA DE PAGO]]=0,TODAY()-PROVEEDORES[[#This Row],[FECHA DE FACTURACIÓN]]-PROVEEDORES[[#This Row],[PLAZO Días]],0)</f>
        <v>0</v>
      </c>
      <c r="T57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1" spans="1:20" ht="21.9" customHeight="1" x14ac:dyDescent="0.3">
      <c r="A571" s="113" t="str">
        <f>+IF(PROVEEDORES[[#This Row],[FECHA DE PAGO]]=PROVEEDORES[[#This Row],[FECHA DE FACTURACIÓN]],"DE CONTADO","CRÉDITO")</f>
        <v>CRÉDITO</v>
      </c>
      <c r="B571" s="51" t="str">
        <f>+IF((PROVEEDORES[[#This Row],[FECHA DE PAGO]]-PROVEEDORES[[#This Row],[FECHA DE FACTURACIÓN]])&gt;PROVEEDORES[[#This Row],[PLAZO Días]],"PAGO VENCIDO")</f>
        <v>PAGO VENCIDO</v>
      </c>
      <c r="C571" s="25">
        <f>+VLOOKUP(PROVEEDORES[[#This Row],[PROVEEDOR]],TERCEROS_INFO[#All],2,FALSE)</f>
        <v>30</v>
      </c>
      <c r="D571" s="30">
        <f>+SUMIFS(PROVEEDORES[Total],PROVEEDORES[PROVEEDOR],PROVEEDORES[[#This Row],[PROVEEDOR]],PROVEEDORES[FECHA DE PAGO],"")</f>
        <v>-30345</v>
      </c>
      <c r="E571" s="30"/>
      <c r="F571" s="73" t="str">
        <f>+VLOOKUP(PROVEEDORES[[#This Row],[PROVEEDOR]],TERCEROS_INFO[[PROVEEDOR]:[CORREO]],5,FALSE)</f>
        <v>ventasmegamundo@yahoo.es;girlesa.ruiz@servipilas.com;joriescobar64@gmail.com</v>
      </c>
      <c r="G571" s="111">
        <v>44442</v>
      </c>
      <c r="H571" s="31" t="s">
        <v>1146</v>
      </c>
      <c r="I571" s="111">
        <v>44392</v>
      </c>
      <c r="J571" s="48">
        <v>1416</v>
      </c>
      <c r="K571" s="26">
        <v>2333613.44</v>
      </c>
      <c r="L571" s="26"/>
      <c r="M571" s="27">
        <v>443386.55359999998</v>
      </c>
      <c r="N571" s="28"/>
      <c r="O571" s="27">
        <v>0</v>
      </c>
      <c r="P571" s="28">
        <v>2.5000000000000001E-2</v>
      </c>
      <c r="Q571" s="27">
        <v>58340.336000000003</v>
      </c>
      <c r="R571" s="26">
        <v>2718659.6575999996</v>
      </c>
      <c r="S571" s="115">
        <f ca="1">IF(PROVEEDORES[[#This Row],[FECHA DE PAGO]]=0,TODAY()-PROVEEDORES[[#This Row],[FECHA DE FACTURACIÓN]]-PROVEEDORES[[#This Row],[PLAZO Días]],0)</f>
        <v>0</v>
      </c>
      <c r="T5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2" spans="1:20" ht="21.9" customHeight="1" x14ac:dyDescent="0.3">
      <c r="A572" s="113" t="str">
        <f>+IF(PROVEEDORES[[#This Row],[FECHA DE PAGO]]=PROVEEDORES[[#This Row],[FECHA DE FACTURACIÓN]],"DE CONTADO","CRÉDITO")</f>
        <v>CRÉDITO</v>
      </c>
      <c r="B572" s="51" t="str">
        <f>+IF((PROVEEDORES[[#This Row],[FECHA DE PAGO]]-PROVEEDORES[[#This Row],[FECHA DE FACTURACIÓN]])&gt;PROVEEDORES[[#This Row],[PLAZO Días]],"PAGO VENCIDO")</f>
        <v>PAGO VENCIDO</v>
      </c>
      <c r="C572" s="25">
        <f>+VLOOKUP(PROVEEDORES[[#This Row],[PROVEEDOR]],TERCEROS_INFO[#All],2,FALSE)</f>
        <v>30</v>
      </c>
      <c r="D572" s="30">
        <f>+SUMIFS(PROVEEDORES[Total],PROVEEDORES[PROVEEDOR],PROVEEDORES[[#This Row],[PROVEEDOR]],PROVEEDORES[FECHA DE PAGO],"")</f>
        <v>0</v>
      </c>
      <c r="E572" s="30"/>
      <c r="F572" s="73" t="str">
        <f>+VLOOKUP(PROVEEDORES[[#This Row],[PROVEEDOR]],TERCEROS_INFO[[PROVEEDOR]:[CORREO]],5,FALSE)</f>
        <v>contabilidad@comercialweb.com.co;info@servipilas.com</v>
      </c>
      <c r="G572" s="111">
        <v>44552</v>
      </c>
      <c r="H572" s="31" t="s">
        <v>344</v>
      </c>
      <c r="I572" s="111">
        <v>44393</v>
      </c>
      <c r="J572" s="48" t="s">
        <v>651</v>
      </c>
      <c r="K572" s="26">
        <v>-21000</v>
      </c>
      <c r="L572" s="26"/>
      <c r="M572" s="27">
        <v>0</v>
      </c>
      <c r="N572" s="28"/>
      <c r="O572" s="27">
        <v>0</v>
      </c>
      <c r="P572" s="28">
        <v>0</v>
      </c>
      <c r="Q572" s="27">
        <v>0</v>
      </c>
      <c r="R572" s="26">
        <v>-21000</v>
      </c>
      <c r="S572" s="115">
        <f ca="1">IF(PROVEEDORES[[#This Row],[FECHA DE PAGO]]=0,TODAY()-PROVEEDORES[[#This Row],[FECHA DE FACTURACIÓN]]-PROVEEDORES[[#This Row],[PLAZO Días]],0)</f>
        <v>0</v>
      </c>
      <c r="T57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3" spans="1:20" ht="21.9" customHeight="1" x14ac:dyDescent="0.3">
      <c r="A573" s="113" t="str">
        <f>+IF(PROVEEDORES[[#This Row],[FECHA DE PAGO]]=PROVEEDORES[[#This Row],[FECHA DE FACTURACIÓN]],"DE CONTADO","CRÉDITO")</f>
        <v>DE CONTADO</v>
      </c>
      <c r="B573" s="51" t="b">
        <f>+IF((PROVEEDORES[[#This Row],[FECHA DE PAGO]]-PROVEEDORES[[#This Row],[FECHA DE FACTURACIÓN]])&gt;PROVEEDORES[[#This Row],[PLAZO Días]],"PAGO VENCIDO")</f>
        <v>0</v>
      </c>
      <c r="C573" s="25">
        <f>+VLOOKUP(PROVEEDORES[[#This Row],[PROVEEDOR]],TERCEROS_INFO[#All],2,FALSE)</f>
        <v>30</v>
      </c>
      <c r="D573" s="30">
        <f>+SUMIFS(PROVEEDORES[Total],PROVEEDORES[PROVEEDOR],PROVEEDORES[[#This Row],[PROVEEDOR]],PROVEEDORES[FECHA DE PAGO],"")</f>
        <v>0</v>
      </c>
      <c r="E573" s="30"/>
      <c r="F573" s="73" t="str">
        <f>+VLOOKUP(PROVEEDORES[[#This Row],[PROVEEDOR]],TERCEROS_INFO[[PROVEEDOR]:[CORREO]],5,FALSE)</f>
        <v/>
      </c>
      <c r="G573" s="111">
        <v>44393</v>
      </c>
      <c r="H573" s="31" t="s">
        <v>1037</v>
      </c>
      <c r="I573" s="111">
        <v>44393</v>
      </c>
      <c r="J573" s="48" t="s">
        <v>764</v>
      </c>
      <c r="K573" s="26">
        <v>1648000</v>
      </c>
      <c r="L573" s="26"/>
      <c r="M573" s="27">
        <v>0</v>
      </c>
      <c r="N573" s="28"/>
      <c r="O573" s="27">
        <v>0</v>
      </c>
      <c r="P573" s="28">
        <v>0</v>
      </c>
      <c r="Q573" s="27">
        <v>0</v>
      </c>
      <c r="R573" s="26">
        <v>1648000</v>
      </c>
      <c r="S573" s="115">
        <f ca="1">IF(PROVEEDORES[[#This Row],[FECHA DE PAGO]]=0,TODAY()-PROVEEDORES[[#This Row],[FECHA DE FACTURACIÓN]]-PROVEEDORES[[#This Row],[PLAZO Días]],0)</f>
        <v>0</v>
      </c>
      <c r="T57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4" spans="1:20" ht="21.9" customHeight="1" x14ac:dyDescent="0.3">
      <c r="A574" s="113" t="str">
        <f>+IF(PROVEEDORES[[#This Row],[FECHA DE PAGO]]=PROVEEDORES[[#This Row],[FECHA DE FACTURACIÓN]],"DE CONTADO","CRÉDITO")</f>
        <v>DE CONTADO</v>
      </c>
      <c r="B574" s="51" t="b">
        <f>+IF((PROVEEDORES[[#This Row],[FECHA DE PAGO]]-PROVEEDORES[[#This Row],[FECHA DE FACTURACIÓN]])&gt;PROVEEDORES[[#This Row],[PLAZO Días]],"PAGO VENCIDO")</f>
        <v>0</v>
      </c>
      <c r="C574" s="25">
        <f>+VLOOKUP(PROVEEDORES[[#This Row],[PROVEEDOR]],TERCEROS_INFO[#All],2,FALSE)</f>
        <v>30</v>
      </c>
      <c r="D574" s="30">
        <f>+SUMIFS(PROVEEDORES[Total],PROVEEDORES[PROVEEDOR],PROVEEDORES[[#This Row],[PROVEEDOR]],PROVEEDORES[FECHA DE PAGO],"")</f>
        <v>0</v>
      </c>
      <c r="E574" s="30"/>
      <c r="F574" s="73" t="str">
        <f>+VLOOKUP(PROVEEDORES[[#This Row],[PROVEEDOR]],TERCEROS_INFO[[PROVEEDOR]:[CORREO]],5,FALSE)</f>
        <v/>
      </c>
      <c r="G574" s="111">
        <v>44394</v>
      </c>
      <c r="H574" s="31" t="s">
        <v>1052</v>
      </c>
      <c r="I574" s="111">
        <v>44394</v>
      </c>
      <c r="J574" s="48"/>
      <c r="K574" s="26">
        <v>1736800</v>
      </c>
      <c r="L574" s="26"/>
      <c r="M574" s="27">
        <v>0</v>
      </c>
      <c r="N574" s="28"/>
      <c r="O574" s="27">
        <v>0</v>
      </c>
      <c r="P574" s="28">
        <v>0</v>
      </c>
      <c r="Q574" s="27">
        <v>0</v>
      </c>
      <c r="R574" s="26">
        <v>1736800</v>
      </c>
      <c r="S574" s="115">
        <f ca="1">IF(PROVEEDORES[[#This Row],[FECHA DE PAGO]]=0,TODAY()-PROVEEDORES[[#This Row],[FECHA DE FACTURACIÓN]]-PROVEEDORES[[#This Row],[PLAZO Días]],0)</f>
        <v>0</v>
      </c>
      <c r="T57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5" spans="1:20" ht="21.9" customHeight="1" x14ac:dyDescent="0.3">
      <c r="A575" s="113" t="str">
        <f>+IF(PROVEEDORES[[#This Row],[FECHA DE PAGO]]=PROVEEDORES[[#This Row],[FECHA DE FACTURACIÓN]],"DE CONTADO","CRÉDITO")</f>
        <v>CRÉDITO</v>
      </c>
      <c r="B575" s="51" t="str">
        <f>+IF((PROVEEDORES[[#This Row],[FECHA DE PAGO]]-PROVEEDORES[[#This Row],[FECHA DE FACTURACIÓN]])&gt;PROVEEDORES[[#This Row],[PLAZO Días]],"PAGO VENCIDO")</f>
        <v>PAGO VENCIDO</v>
      </c>
      <c r="C575" s="25">
        <f>+VLOOKUP(PROVEEDORES[[#This Row],[PROVEEDOR]],TERCEROS_INFO[#All],2,FALSE)</f>
        <v>30</v>
      </c>
      <c r="D575" s="30">
        <f>+SUMIFS(PROVEEDORES[Total],PROVEEDORES[PROVEEDOR],PROVEEDORES[[#This Row],[PROVEEDOR]],PROVEEDORES[FECHA DE PAGO],"")</f>
        <v>1451823</v>
      </c>
      <c r="E575" s="30"/>
      <c r="F575" s="73" t="str">
        <f>+VLOOKUP(PROVEEDORES[[#This Row],[PROVEEDOR]],TERCEROS_INFO[[PROVEEDOR]:[CORREO]],5,FALSE)</f>
        <v>cartera@ienewline.com;andres.arroyave@ienewline.com;girlesa.ruiz@servipilas.com;joriescobar64@gmail.com</v>
      </c>
      <c r="G575" s="111">
        <v>44427</v>
      </c>
      <c r="H575" s="31" t="s">
        <v>1131</v>
      </c>
      <c r="I575" s="111">
        <v>44394</v>
      </c>
      <c r="J575" s="48">
        <v>19771</v>
      </c>
      <c r="K575" s="26">
        <v>2139000</v>
      </c>
      <c r="L575" s="26"/>
      <c r="M575" s="27">
        <v>406410</v>
      </c>
      <c r="N575" s="28"/>
      <c r="O575" s="27">
        <v>0</v>
      </c>
      <c r="P575" s="28">
        <v>2.5000000000000001E-2</v>
      </c>
      <c r="Q575" s="27">
        <v>53475</v>
      </c>
      <c r="R575" s="26">
        <v>2491935</v>
      </c>
      <c r="S575" s="115">
        <f ca="1">IF(PROVEEDORES[[#This Row],[FECHA DE PAGO]]=0,TODAY()-PROVEEDORES[[#This Row],[FECHA DE FACTURACIÓN]]-PROVEEDORES[[#This Row],[PLAZO Días]],0)</f>
        <v>0</v>
      </c>
      <c r="T57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6" spans="1:20" ht="21.9" customHeight="1" x14ac:dyDescent="0.3">
      <c r="A576" s="113" t="str">
        <f>+IF(PROVEEDORES[[#This Row],[FECHA DE PAGO]]=PROVEEDORES[[#This Row],[FECHA DE FACTURACIÓN]],"DE CONTADO","CRÉDITO")</f>
        <v>CRÉDITO</v>
      </c>
      <c r="B576" s="51" t="str">
        <f>+IF((PROVEEDORES[[#This Row],[FECHA DE PAGO]]-PROVEEDORES[[#This Row],[FECHA DE FACTURACIÓN]])&gt;PROVEEDORES[[#This Row],[PLAZO Días]],"PAGO VENCIDO")</f>
        <v>PAGO VENCIDO</v>
      </c>
      <c r="C576" s="25">
        <f>+VLOOKUP(PROVEEDORES[[#This Row],[PROVEEDOR]],TERCEROS_INFO[#All],2,FALSE)</f>
        <v>30</v>
      </c>
      <c r="D576" s="30">
        <f>+SUMIFS(PROVEEDORES[Total],PROVEEDORES[PROVEEDOR],PROVEEDORES[[#This Row],[PROVEEDOR]],PROVEEDORES[FECHA DE PAGO],"")</f>
        <v>0</v>
      </c>
      <c r="E576" s="30"/>
      <c r="F576" s="73" t="str">
        <f>+VLOOKUP(PROVEEDORES[[#This Row],[PROVEEDOR]],TERCEROS_INFO[[PROVEEDOR]:[CORREO]],5,FALSE)</f>
        <v>jarlysas@gmail.com;o.clockinternational@gmail.com;girlesa.ruiz@servipilas.com;joriescobar64@gmail.com</v>
      </c>
      <c r="G576" s="111">
        <v>44445</v>
      </c>
      <c r="H576" s="31" t="s">
        <v>459</v>
      </c>
      <c r="I576" s="111">
        <v>44394</v>
      </c>
      <c r="J576" s="48">
        <v>57</v>
      </c>
      <c r="K576" s="26">
        <v>3229000</v>
      </c>
      <c r="L576" s="26"/>
      <c r="M576" s="27">
        <v>613510</v>
      </c>
      <c r="N576" s="28"/>
      <c r="O576" s="27">
        <v>0</v>
      </c>
      <c r="P576" s="28">
        <v>2.5000000000000001E-2</v>
      </c>
      <c r="Q576" s="27">
        <v>80725</v>
      </c>
      <c r="R576" s="26">
        <v>3761785</v>
      </c>
      <c r="S576" s="115">
        <f ca="1">IF(PROVEEDORES[[#This Row],[FECHA DE PAGO]]=0,TODAY()-PROVEEDORES[[#This Row],[FECHA DE FACTURACIÓN]]-PROVEEDORES[[#This Row],[PLAZO Días]],0)</f>
        <v>0</v>
      </c>
      <c r="T5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7" spans="1:20" ht="21.9" customHeight="1" x14ac:dyDescent="0.3">
      <c r="A577" s="113" t="str">
        <f>+IF(PROVEEDORES[[#This Row],[FECHA DE PAGO]]=PROVEEDORES[[#This Row],[FECHA DE FACTURACIÓN]],"DE CONTADO","CRÉDITO")</f>
        <v>CRÉDITO</v>
      </c>
      <c r="B577" s="51" t="str">
        <f>+IF((PROVEEDORES[[#This Row],[FECHA DE PAGO]]-PROVEEDORES[[#This Row],[FECHA DE FACTURACIÓN]])&gt;PROVEEDORES[[#This Row],[PLAZO Días]],"PAGO VENCIDO")</f>
        <v>PAGO VENCIDO</v>
      </c>
      <c r="C577" s="25">
        <f>+VLOOKUP(PROVEEDORES[[#This Row],[PROVEEDOR]],TERCEROS_INFO[#All],2,FALSE)</f>
        <v>30</v>
      </c>
      <c r="D577" s="30">
        <f>+SUMIFS(PROVEEDORES[Total],PROVEEDORES[PROVEEDOR],PROVEEDORES[[#This Row],[PROVEEDOR]],PROVEEDORES[FECHA DE PAGO],"")</f>
        <v>0</v>
      </c>
      <c r="E577" s="30"/>
      <c r="F577" s="73" t="str">
        <f>+VLOOKUP(PROVEEDORES[[#This Row],[PROVEEDOR]],TERCEROS_INFO[[PROVEEDOR]:[CORREO]],5,FALSE)</f>
        <v>propertymarketingsas@hotmail.com;girlesa.ruiz@servipilas.com;joriescobar64@gmail.com</v>
      </c>
      <c r="G577" s="111">
        <v>44432</v>
      </c>
      <c r="H577" s="31" t="s">
        <v>486</v>
      </c>
      <c r="I577" s="111">
        <v>44396</v>
      </c>
      <c r="J577" s="48" t="s">
        <v>746</v>
      </c>
      <c r="K577" s="26">
        <v>-1000000</v>
      </c>
      <c r="L577" s="26"/>
      <c r="M577" s="27">
        <v>0</v>
      </c>
      <c r="N577" s="28"/>
      <c r="O577" s="27">
        <v>0</v>
      </c>
      <c r="P577" s="28">
        <v>0</v>
      </c>
      <c r="Q577" s="27">
        <v>0</v>
      </c>
      <c r="R577" s="26">
        <v>-1000000</v>
      </c>
      <c r="S577" s="115">
        <f ca="1">IF(PROVEEDORES[[#This Row],[FECHA DE PAGO]]=0,TODAY()-PROVEEDORES[[#This Row],[FECHA DE FACTURACIÓN]]-PROVEEDORES[[#This Row],[PLAZO Días]],0)</f>
        <v>0</v>
      </c>
      <c r="T5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8" spans="1:20" ht="21.9" customHeight="1" x14ac:dyDescent="0.3">
      <c r="A578" s="113" t="str">
        <f>+IF(PROVEEDORES[[#This Row],[FECHA DE PAGO]]=PROVEEDORES[[#This Row],[FECHA DE FACTURACIÓN]],"DE CONTADO","CRÉDITO")</f>
        <v>CRÉDITO</v>
      </c>
      <c r="B578" s="51" t="str">
        <f>+IF((PROVEEDORES[[#This Row],[FECHA DE PAGO]]-PROVEEDORES[[#This Row],[FECHA DE FACTURACIÓN]])&gt;PROVEEDORES[[#This Row],[PLAZO Días]],"PAGO VENCIDO")</f>
        <v>PAGO VENCIDO</v>
      </c>
      <c r="C578" s="25">
        <f>+VLOOKUP(PROVEEDORES[[#This Row],[PROVEEDOR]],TERCEROS_INFO[#All],2,FALSE)</f>
        <v>30</v>
      </c>
      <c r="D578" s="30">
        <f>+SUMIFS(PROVEEDORES[Total],PROVEEDORES[PROVEEDOR],PROVEEDORES[[#This Row],[PROVEEDOR]],PROVEEDORES[FECHA DE PAGO],"")</f>
        <v>5060410.5999999996</v>
      </c>
      <c r="E578" s="30"/>
      <c r="F578" s="73" t="str">
        <f>+VLOOKUP(PROVEEDORES[[#This Row],[PROVEEDOR]],TERCEROS_INFO[[PROVEEDOR]:[CORREO]],5,FALSE)</f>
        <v>CBastidas@vyp.com.co;girlesa.ruiz@servipilas.com;joriescobar64@gmail.com</v>
      </c>
      <c r="G578" s="111">
        <v>44496</v>
      </c>
      <c r="H578" s="31" t="s">
        <v>347</v>
      </c>
      <c r="I578" s="111">
        <v>44396</v>
      </c>
      <c r="J578" s="48" t="s">
        <v>937</v>
      </c>
      <c r="K578" s="26">
        <v>-956801</v>
      </c>
      <c r="L578" s="26"/>
      <c r="M578" s="27">
        <v>0</v>
      </c>
      <c r="N578" s="28"/>
      <c r="O578" s="27">
        <v>0</v>
      </c>
      <c r="P578" s="28">
        <v>0</v>
      </c>
      <c r="Q578" s="27">
        <v>0</v>
      </c>
      <c r="R578" s="26">
        <v>-956801</v>
      </c>
      <c r="S578" s="115">
        <f ca="1">IF(PROVEEDORES[[#This Row],[FECHA DE PAGO]]=0,TODAY()-PROVEEDORES[[#This Row],[FECHA DE FACTURACIÓN]]-PROVEEDORES[[#This Row],[PLAZO Días]],0)</f>
        <v>0</v>
      </c>
      <c r="T57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79" spans="1:20" ht="21.9" customHeight="1" x14ac:dyDescent="0.3">
      <c r="A579" s="113" t="str">
        <f>+IF(PROVEEDORES[[#This Row],[FECHA DE PAGO]]=PROVEEDORES[[#This Row],[FECHA DE FACTURACIÓN]],"DE CONTADO","CRÉDITO")</f>
        <v>CRÉDITO</v>
      </c>
      <c r="B579" s="51" t="str">
        <f>+IF((PROVEEDORES[[#This Row],[FECHA DE PAGO]]-PROVEEDORES[[#This Row],[FECHA DE FACTURACIÓN]])&gt;PROVEEDORES[[#This Row],[PLAZO Días]],"PAGO VENCIDO")</f>
        <v>PAGO VENCIDO</v>
      </c>
      <c r="C579" s="25">
        <f>+VLOOKUP(PROVEEDORES[[#This Row],[PROVEEDOR]],TERCEROS_INFO[#All],2,FALSE)</f>
        <v>30</v>
      </c>
      <c r="D579" s="30">
        <f>+SUMIFS(PROVEEDORES[Total],PROVEEDORES[PROVEEDOR],PROVEEDORES[[#This Row],[PROVEEDOR]],PROVEEDORES[FECHA DE PAGO],"")</f>
        <v>5060410.5999999996</v>
      </c>
      <c r="E579" s="30"/>
      <c r="F579" s="73" t="str">
        <f>+VLOOKUP(PROVEEDORES[[#This Row],[PROVEEDOR]],TERCEROS_INFO[[PROVEEDOR]:[CORREO]],5,FALSE)</f>
        <v>CBastidas@vyp.com.co;girlesa.ruiz@servipilas.com;joriescobar64@gmail.com</v>
      </c>
      <c r="G579" s="111">
        <v>44432</v>
      </c>
      <c r="H579" s="31" t="s">
        <v>347</v>
      </c>
      <c r="I579" s="111">
        <v>44396</v>
      </c>
      <c r="J579" s="48" t="s">
        <v>939</v>
      </c>
      <c r="K579" s="26">
        <v>13179.25</v>
      </c>
      <c r="L579" s="26"/>
      <c r="M579" s="27">
        <v>0</v>
      </c>
      <c r="N579" s="28"/>
      <c r="O579" s="27">
        <v>0</v>
      </c>
      <c r="P579" s="28">
        <v>0</v>
      </c>
      <c r="Q579" s="27">
        <v>0</v>
      </c>
      <c r="R579" s="26">
        <v>13179.25</v>
      </c>
      <c r="S579" s="115">
        <f ca="1">IF(PROVEEDORES[[#This Row],[FECHA DE PAGO]]=0,TODAY()-PROVEEDORES[[#This Row],[FECHA DE FACTURACIÓN]]-PROVEEDORES[[#This Row],[PLAZO Días]],0)</f>
        <v>0</v>
      </c>
      <c r="T5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0" spans="1:20" ht="21.9" customHeight="1" x14ac:dyDescent="0.3">
      <c r="A580" s="113" t="str">
        <f>+IF(PROVEEDORES[[#This Row],[FECHA DE PAGO]]=PROVEEDORES[[#This Row],[FECHA DE FACTURACIÓN]],"DE CONTADO","CRÉDITO")</f>
        <v>CRÉDITO</v>
      </c>
      <c r="B580" s="51" t="str">
        <f>+IF((PROVEEDORES[[#This Row],[FECHA DE PAGO]]-PROVEEDORES[[#This Row],[FECHA DE FACTURACIÓN]])&gt;PROVEEDORES[[#This Row],[PLAZO Días]],"PAGO VENCIDO")</f>
        <v>PAGO VENCIDO</v>
      </c>
      <c r="C580" s="25">
        <f>+VLOOKUP(PROVEEDORES[[#This Row],[PROVEEDOR]],TERCEROS_INFO[#All],2,FALSE)</f>
        <v>30</v>
      </c>
      <c r="D580" s="30">
        <f>+SUMIFS(PROVEEDORES[Total],PROVEEDORES[PROVEEDOR],PROVEEDORES[[#This Row],[PROVEEDOR]],PROVEEDORES[FECHA DE PAGO],"")</f>
        <v>1645000</v>
      </c>
      <c r="E580" s="30"/>
      <c r="F580" s="73" t="str">
        <f>+VLOOKUP(PROVEEDORES[[#This Row],[PROVEEDOR]],TERCEROS_INFO[[PROVEEDOR]:[CORREO]],5,FALSE)</f>
        <v/>
      </c>
      <c r="G580" s="111">
        <v>44431</v>
      </c>
      <c r="H580" s="31" t="s">
        <v>1070</v>
      </c>
      <c r="I580" s="111">
        <v>44396</v>
      </c>
      <c r="J580" s="48" t="s">
        <v>765</v>
      </c>
      <c r="K580" s="26">
        <v>1033000</v>
      </c>
      <c r="L580" s="26"/>
      <c r="M580" s="27">
        <v>0</v>
      </c>
      <c r="N580" s="28"/>
      <c r="O580" s="27">
        <v>0</v>
      </c>
      <c r="P580" s="28">
        <v>0</v>
      </c>
      <c r="Q580" s="27">
        <v>0</v>
      </c>
      <c r="R580" s="26">
        <v>1033000</v>
      </c>
      <c r="S580" s="115">
        <f ca="1">IF(PROVEEDORES[[#This Row],[FECHA DE PAGO]]=0,TODAY()-PROVEEDORES[[#This Row],[FECHA DE FACTURACIÓN]]-PROVEEDORES[[#This Row],[PLAZO Días]],0)</f>
        <v>0</v>
      </c>
      <c r="T5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1" spans="1:20" ht="21.9" customHeight="1" x14ac:dyDescent="0.3">
      <c r="A581" s="113" t="str">
        <f>+IF(PROVEEDORES[[#This Row],[FECHA DE PAGO]]=PROVEEDORES[[#This Row],[FECHA DE FACTURACIÓN]],"DE CONTADO","CRÉDITO")</f>
        <v>CRÉDITO</v>
      </c>
      <c r="B581" s="51" t="str">
        <f>+IF((PROVEEDORES[[#This Row],[FECHA DE PAGO]]-PROVEEDORES[[#This Row],[FECHA DE FACTURACIÓN]])&gt;PROVEEDORES[[#This Row],[PLAZO Días]],"PAGO VENCIDO")</f>
        <v>PAGO VENCIDO</v>
      </c>
      <c r="C581" s="25">
        <f>+VLOOKUP(PROVEEDORES[[#This Row],[PROVEEDOR]],TERCEROS_INFO[#All],2,FALSE)</f>
        <v>90</v>
      </c>
      <c r="D581" s="30">
        <f>+SUMIFS(PROVEEDORES[Total],PROVEEDORES[PROVEEDOR],PROVEEDORES[[#This Row],[PROVEEDOR]],PROVEEDORES[FECHA DE PAGO],"")</f>
        <v>0</v>
      </c>
      <c r="E581" s="30"/>
      <c r="F581" s="73" t="str">
        <f>+VLOOKUP(PROVEEDORES[[#This Row],[PROVEEDOR]],TERCEROS_INFO[[PROVEEDOR]:[CORREO]],5,FALSE)</f>
        <v>financiero@dmariocolombia.com;cartera@dmariocolombia.com.co;girlesa.ruiz@servipilas.com;joriescobar64@gmail.com</v>
      </c>
      <c r="G581" s="111">
        <v>44491</v>
      </c>
      <c r="H581" s="31" t="s">
        <v>438</v>
      </c>
      <c r="I581" s="111">
        <v>44396</v>
      </c>
      <c r="J581" s="48" t="s">
        <v>439</v>
      </c>
      <c r="K581" s="26">
        <v>4774790</v>
      </c>
      <c r="L581" s="26"/>
      <c r="M581" s="27">
        <v>907210.1</v>
      </c>
      <c r="N581" s="28"/>
      <c r="O581" s="27">
        <v>0</v>
      </c>
      <c r="P581" s="28">
        <v>2.5000000000000001E-2</v>
      </c>
      <c r="Q581" s="27">
        <v>119369.75</v>
      </c>
      <c r="R581" s="26">
        <v>5562630.3499999996</v>
      </c>
      <c r="S581" s="115">
        <f ca="1">IF(PROVEEDORES[[#This Row],[FECHA DE PAGO]]=0,TODAY()-PROVEEDORES[[#This Row],[FECHA DE FACTURACIÓN]]-PROVEEDORES[[#This Row],[PLAZO Días]],0)</f>
        <v>0</v>
      </c>
      <c r="T5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2" spans="1:20" ht="21.9" customHeight="1" x14ac:dyDescent="0.3">
      <c r="A582" s="113" t="str">
        <f>+IF(PROVEEDORES[[#This Row],[FECHA DE PAGO]]=PROVEEDORES[[#This Row],[FECHA DE FACTURACIÓN]],"DE CONTADO","CRÉDITO")</f>
        <v>CRÉDITO</v>
      </c>
      <c r="B582" s="51" t="str">
        <f>+IF((PROVEEDORES[[#This Row],[FECHA DE PAGO]]-PROVEEDORES[[#This Row],[FECHA DE FACTURACIÓN]])&gt;PROVEEDORES[[#This Row],[PLAZO Días]],"PAGO VENCIDO")</f>
        <v>PAGO VENCIDO</v>
      </c>
      <c r="C582" s="25">
        <f>+VLOOKUP(PROVEEDORES[[#This Row],[PROVEEDOR]],TERCEROS_INFO[#All],2,FALSE)</f>
        <v>30</v>
      </c>
      <c r="D582" s="30">
        <f>+SUMIFS(PROVEEDORES[Total],PROVEEDORES[PROVEEDOR],PROVEEDORES[[#This Row],[PROVEEDOR]],PROVEEDORES[FECHA DE PAGO],"")</f>
        <v>4078650.6</v>
      </c>
      <c r="E582" s="30"/>
      <c r="F582" s="73" t="str">
        <f>+VLOOKUP(PROVEEDORES[[#This Row],[PROVEEDOR]],TERCEROS_INFO[[PROVEEDOR]:[CORREO]],5,FALSE)</f>
        <v>financiera@nalpicentral.com;girlesa.ruiz@servipilas.com;joriescobar64@gmail.com</v>
      </c>
      <c r="G582" s="111">
        <v>44442</v>
      </c>
      <c r="H582" s="31" t="s">
        <v>1095</v>
      </c>
      <c r="I582" s="111">
        <v>44400</v>
      </c>
      <c r="J582" s="48">
        <v>21790</v>
      </c>
      <c r="K582" s="26">
        <v>232800</v>
      </c>
      <c r="L582" s="26"/>
      <c r="M582" s="27">
        <v>44232</v>
      </c>
      <c r="N582" s="28"/>
      <c r="O582" s="27">
        <v>0</v>
      </c>
      <c r="P582" s="28">
        <v>0</v>
      </c>
      <c r="Q582" s="27">
        <v>0</v>
      </c>
      <c r="R582" s="26">
        <v>277032</v>
      </c>
      <c r="S582" s="115">
        <f ca="1">IF(PROVEEDORES[[#This Row],[FECHA DE PAGO]]=0,TODAY()-PROVEEDORES[[#This Row],[FECHA DE FACTURACIÓN]]-PROVEEDORES[[#This Row],[PLAZO Días]],0)</f>
        <v>0</v>
      </c>
      <c r="T58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3" spans="1:20" ht="21.9" customHeight="1" x14ac:dyDescent="0.3">
      <c r="A583" s="113" t="str">
        <f>+IF(PROVEEDORES[[#This Row],[FECHA DE PAGO]]=PROVEEDORES[[#This Row],[FECHA DE FACTURACIÓN]],"DE CONTADO","CRÉDITO")</f>
        <v>CRÉDITO</v>
      </c>
      <c r="B583" s="51" t="str">
        <f>+IF((PROVEEDORES[[#This Row],[FECHA DE PAGO]]-PROVEEDORES[[#This Row],[FECHA DE FACTURACIÓN]])&gt;PROVEEDORES[[#This Row],[PLAZO Días]],"PAGO VENCIDO")</f>
        <v>PAGO VENCIDO</v>
      </c>
      <c r="C583" s="25">
        <f>+VLOOKUP(PROVEEDORES[[#This Row],[PROVEEDOR]],TERCEROS_INFO[#All],2,FALSE)</f>
        <v>30</v>
      </c>
      <c r="D583" s="30">
        <f>+SUMIFS(PROVEEDORES[Total],PROVEEDORES[PROVEEDOR],PROVEEDORES[[#This Row],[PROVEEDOR]],PROVEEDORES[FECHA DE PAGO],"")</f>
        <v>2324514.0150000001</v>
      </c>
      <c r="E583" s="30"/>
      <c r="F583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583" s="111">
        <v>44442</v>
      </c>
      <c r="H583" s="31" t="s">
        <v>24</v>
      </c>
      <c r="I583" s="111">
        <v>44400</v>
      </c>
      <c r="J583" s="48" t="s">
        <v>441</v>
      </c>
      <c r="K583" s="26">
        <v>585000</v>
      </c>
      <c r="L583" s="26"/>
      <c r="M583" s="27">
        <v>111150</v>
      </c>
      <c r="N583" s="28"/>
      <c r="O583" s="27">
        <v>0</v>
      </c>
      <c r="P583" s="28">
        <v>0</v>
      </c>
      <c r="Q583" s="27">
        <v>0</v>
      </c>
      <c r="R583" s="26">
        <v>696150</v>
      </c>
      <c r="S583" s="115">
        <f ca="1">IF(PROVEEDORES[[#This Row],[FECHA DE PAGO]]=0,TODAY()-PROVEEDORES[[#This Row],[FECHA DE FACTURACIÓN]]-PROVEEDORES[[#This Row],[PLAZO Días]],0)</f>
        <v>0</v>
      </c>
      <c r="T58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4" spans="1:20" ht="21.9" customHeight="1" x14ac:dyDescent="0.3">
      <c r="A584" s="113" t="str">
        <f>+IF(PROVEEDORES[[#This Row],[FECHA DE PAGO]]=PROVEEDORES[[#This Row],[FECHA DE FACTURACIÓN]],"DE CONTADO","CRÉDITO")</f>
        <v>CRÉDITO</v>
      </c>
      <c r="B584" s="51" t="str">
        <f>+IF((PROVEEDORES[[#This Row],[FECHA DE PAGO]]-PROVEEDORES[[#This Row],[FECHA DE FACTURACIÓN]])&gt;PROVEEDORES[[#This Row],[PLAZO Días]],"PAGO VENCIDO")</f>
        <v>PAGO VENCIDO</v>
      </c>
      <c r="C584" s="25">
        <f>+VLOOKUP(PROVEEDORES[[#This Row],[PROVEEDOR]],TERCEROS_INFO[#All],2,FALSE)</f>
        <v>20</v>
      </c>
      <c r="D584" s="30">
        <f>+SUMIFS(PROVEEDORES[Total],PROVEEDORES[PROVEEDOR],PROVEEDORES[[#This Row],[PROVEEDOR]],PROVEEDORES[FECHA DE PAGO],"")</f>
        <v>0</v>
      </c>
      <c r="E584" s="30"/>
      <c r="F584" s="73">
        <f>+VLOOKUP(PROVEEDORES[[#This Row],[PROVEEDOR]],TERCEROS_INFO[[PROVEEDOR]:[CORREO]],5,FALSE)</f>
        <v>0</v>
      </c>
      <c r="G584" s="111">
        <v>44448</v>
      </c>
      <c r="H584" s="31" t="s">
        <v>1051</v>
      </c>
      <c r="I584" s="111">
        <v>44400</v>
      </c>
      <c r="J584" s="48" t="s">
        <v>766</v>
      </c>
      <c r="K584" s="26">
        <v>1793000</v>
      </c>
      <c r="L584" s="26"/>
      <c r="M584" s="27">
        <v>0</v>
      </c>
      <c r="N584" s="28"/>
      <c r="O584" s="27">
        <v>0</v>
      </c>
      <c r="P584" s="28">
        <v>0</v>
      </c>
      <c r="Q584" s="27">
        <v>0</v>
      </c>
      <c r="R584" s="26">
        <v>1793000</v>
      </c>
      <c r="S584" s="115">
        <f ca="1">IF(PROVEEDORES[[#This Row],[FECHA DE PAGO]]=0,TODAY()-PROVEEDORES[[#This Row],[FECHA DE FACTURACIÓN]]-PROVEEDORES[[#This Row],[PLAZO Días]],0)</f>
        <v>0</v>
      </c>
      <c r="T5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5" spans="1:20" ht="21.9" customHeight="1" x14ac:dyDescent="0.3">
      <c r="A585" s="113" t="str">
        <f>+IF(PROVEEDORES[[#This Row],[FECHA DE PAGO]]=PROVEEDORES[[#This Row],[FECHA DE FACTURACIÓN]],"DE CONTADO","CRÉDITO")</f>
        <v>CRÉDITO</v>
      </c>
      <c r="B585" s="51" t="b">
        <f>+IF((PROVEEDORES[[#This Row],[FECHA DE PAGO]]-PROVEEDORES[[#This Row],[FECHA DE FACTURACIÓN]])&gt;PROVEEDORES[[#This Row],[PLAZO Días]],"PAGO VENCIDO")</f>
        <v>0</v>
      </c>
      <c r="C585" s="25">
        <f>+VLOOKUP(PROVEEDORES[[#This Row],[PROVEEDOR]],TERCEROS_INFO[#All],2,FALSE)</f>
        <v>30</v>
      </c>
      <c r="D585" s="30">
        <f>+SUMIFS(PROVEEDORES[Total],PROVEEDORES[PROVEEDOR],PROVEEDORES[[#This Row],[PROVEEDOR]],PROVEEDORES[FECHA DE PAGO],"")</f>
        <v>0</v>
      </c>
      <c r="E585" s="30"/>
      <c r="F585" s="73" t="str">
        <f>+VLOOKUP(PROVEEDORES[[#This Row],[PROVEEDOR]],TERCEROS_INFO[[PROVEEDOR]:[CORREO]],5,FALSE)</f>
        <v/>
      </c>
      <c r="G585" s="111">
        <v>44279</v>
      </c>
      <c r="H585" s="31" t="s">
        <v>27</v>
      </c>
      <c r="I585" s="111">
        <v>44400</v>
      </c>
      <c r="J585" s="48">
        <v>129398</v>
      </c>
      <c r="K585" s="26">
        <v>8204000</v>
      </c>
      <c r="L585" s="26"/>
      <c r="M585" s="27">
        <v>0</v>
      </c>
      <c r="N585" s="28"/>
      <c r="O585" s="27">
        <v>0</v>
      </c>
      <c r="P585" s="28">
        <v>0</v>
      </c>
      <c r="Q585" s="27">
        <v>0</v>
      </c>
      <c r="R585" s="26">
        <v>8204000</v>
      </c>
      <c r="S585" s="115">
        <f ca="1">IF(PROVEEDORES[[#This Row],[FECHA DE PAGO]]=0,TODAY()-PROVEEDORES[[#This Row],[FECHA DE FACTURACIÓN]]-PROVEEDORES[[#This Row],[PLAZO Días]],0)</f>
        <v>0</v>
      </c>
      <c r="T58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6" spans="1:20" ht="21.9" customHeight="1" x14ac:dyDescent="0.3">
      <c r="A586" s="113" t="str">
        <f>+IF(PROVEEDORES[[#This Row],[FECHA DE PAGO]]=PROVEEDORES[[#This Row],[FECHA DE FACTURACIÓN]],"DE CONTADO","CRÉDITO")</f>
        <v>CRÉDITO</v>
      </c>
      <c r="B586" s="51" t="str">
        <f>+IF((PROVEEDORES[[#This Row],[FECHA DE PAGO]]-PROVEEDORES[[#This Row],[FECHA DE FACTURACIÓN]])&gt;PROVEEDORES[[#This Row],[PLAZO Días]],"PAGO VENCIDO")</f>
        <v>PAGO VENCIDO</v>
      </c>
      <c r="C586" s="25">
        <f>+VLOOKUP(PROVEEDORES[[#This Row],[PROVEEDOR]],TERCEROS_INFO[#All],2,FALSE)</f>
        <v>30</v>
      </c>
      <c r="D586" s="30">
        <f>+SUMIFS(PROVEEDORES[Total],PROVEEDORES[PROVEEDOR],PROVEEDORES[[#This Row],[PROVEEDOR]],PROVEEDORES[FECHA DE PAGO],"")</f>
        <v>2324514.0150000001</v>
      </c>
      <c r="E586" s="30"/>
      <c r="F586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586" s="111">
        <v>44442</v>
      </c>
      <c r="H586" s="31" t="s">
        <v>24</v>
      </c>
      <c r="I586" s="111">
        <v>44401</v>
      </c>
      <c r="J586" s="48" t="s">
        <v>440</v>
      </c>
      <c r="K586" s="26">
        <v>585000</v>
      </c>
      <c r="L586" s="26"/>
      <c r="M586" s="27">
        <v>111150</v>
      </c>
      <c r="N586" s="28"/>
      <c r="O586" s="27">
        <v>0</v>
      </c>
      <c r="P586" s="28">
        <v>0</v>
      </c>
      <c r="Q586" s="27">
        <v>0</v>
      </c>
      <c r="R586" s="26">
        <v>696150</v>
      </c>
      <c r="S586" s="115">
        <f ca="1">IF(PROVEEDORES[[#This Row],[FECHA DE PAGO]]=0,TODAY()-PROVEEDORES[[#This Row],[FECHA DE FACTURACIÓN]]-PROVEEDORES[[#This Row],[PLAZO Días]],0)</f>
        <v>0</v>
      </c>
      <c r="T58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7" spans="1:20" ht="21.9" customHeight="1" x14ac:dyDescent="0.3">
      <c r="A587" s="113" t="str">
        <f>+IF(PROVEEDORES[[#This Row],[FECHA DE PAGO]]=PROVEEDORES[[#This Row],[FECHA DE FACTURACIÓN]],"DE CONTADO","CRÉDITO")</f>
        <v>CRÉDITO</v>
      </c>
      <c r="B587" s="51" t="str">
        <f>+IF((PROVEEDORES[[#This Row],[FECHA DE PAGO]]-PROVEEDORES[[#This Row],[FECHA DE FACTURACIÓN]])&gt;PROVEEDORES[[#This Row],[PLAZO Días]],"PAGO VENCIDO")</f>
        <v>PAGO VENCIDO</v>
      </c>
      <c r="C587" s="25">
        <f>+VLOOKUP(PROVEEDORES[[#This Row],[PROVEEDOR]],TERCEROS_INFO[#All],2,FALSE)</f>
        <v>30</v>
      </c>
      <c r="D587" s="30">
        <f>+SUMIFS(PROVEEDORES[Total],PROVEEDORES[PROVEEDOR],PROVEEDORES[[#This Row],[PROVEEDOR]],PROVEEDORES[FECHA DE PAGO],"")</f>
        <v>0</v>
      </c>
      <c r="E587" s="30"/>
      <c r="F587" s="73">
        <f>+VLOOKUP(PROVEEDORES[[#This Row],[PROVEEDOR]],TERCEROS_INFO[[PROVEEDOR]:[CORREO]],5,FALSE)</f>
        <v>0</v>
      </c>
      <c r="G587" s="111">
        <v>44448</v>
      </c>
      <c r="H587" s="31" t="s">
        <v>415</v>
      </c>
      <c r="I587" s="111">
        <v>44403</v>
      </c>
      <c r="J587" s="48" t="s">
        <v>463</v>
      </c>
      <c r="K587" s="26">
        <v>302520</v>
      </c>
      <c r="L587" s="26"/>
      <c r="M587" s="27">
        <v>57478.8</v>
      </c>
      <c r="N587" s="28"/>
      <c r="O587" s="27">
        <v>0</v>
      </c>
      <c r="P587" s="28">
        <v>0</v>
      </c>
      <c r="Q587" s="27">
        <v>0</v>
      </c>
      <c r="R587" s="26">
        <v>359998.8</v>
      </c>
      <c r="S587" s="115">
        <f ca="1">IF(PROVEEDORES[[#This Row],[FECHA DE PAGO]]=0,TODAY()-PROVEEDORES[[#This Row],[FECHA DE FACTURACIÓN]]-PROVEEDORES[[#This Row],[PLAZO Días]],0)</f>
        <v>0</v>
      </c>
      <c r="T5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8" spans="1:20" ht="21.9" customHeight="1" x14ac:dyDescent="0.3">
      <c r="A588" s="113" t="str">
        <f>+IF(PROVEEDORES[[#This Row],[FECHA DE PAGO]]=PROVEEDORES[[#This Row],[FECHA DE FACTURACIÓN]],"DE CONTADO","CRÉDITO")</f>
        <v>DE CONTADO</v>
      </c>
      <c r="B588" s="51" t="b">
        <f>+IF((PROVEEDORES[[#This Row],[FECHA DE PAGO]]-PROVEEDORES[[#This Row],[FECHA DE FACTURACIÓN]])&gt;PROVEEDORES[[#This Row],[PLAZO Días]],"PAGO VENCIDO")</f>
        <v>0</v>
      </c>
      <c r="C588" s="25">
        <f>+VLOOKUP(PROVEEDORES[[#This Row],[PROVEEDOR]],TERCEROS_INFO[#All],2,FALSE)</f>
        <v>30</v>
      </c>
      <c r="D588" s="30">
        <f>+SUMIFS(PROVEEDORES[Total],PROVEEDORES[PROVEEDOR],PROVEEDORES[[#This Row],[PROVEEDOR]],PROVEEDORES[FECHA DE PAGO],"")</f>
        <v>0</v>
      </c>
      <c r="E588" s="30"/>
      <c r="F588" s="73" t="str">
        <f>+VLOOKUP(PROVEEDORES[[#This Row],[PROVEEDOR]],TERCEROS_INFO[[PROVEEDOR]:[CORREO]],5,FALSE)</f>
        <v/>
      </c>
      <c r="G588" s="111">
        <v>44403</v>
      </c>
      <c r="H588" s="31" t="s">
        <v>1052</v>
      </c>
      <c r="I588" s="111">
        <v>44403</v>
      </c>
      <c r="J588" s="48"/>
      <c r="K588" s="26">
        <v>1000000</v>
      </c>
      <c r="L588" s="26"/>
      <c r="M588" s="27">
        <v>0</v>
      </c>
      <c r="N588" s="28"/>
      <c r="O588" s="27">
        <v>0</v>
      </c>
      <c r="P588" s="28">
        <v>0</v>
      </c>
      <c r="Q588" s="27">
        <v>0</v>
      </c>
      <c r="R588" s="26">
        <v>1000000</v>
      </c>
      <c r="S588" s="115">
        <f ca="1">IF(PROVEEDORES[[#This Row],[FECHA DE PAGO]]=0,TODAY()-PROVEEDORES[[#This Row],[FECHA DE FACTURACIÓN]]-PROVEEDORES[[#This Row],[PLAZO Días]],0)</f>
        <v>0</v>
      </c>
      <c r="T5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89" spans="1:20" ht="21.9" customHeight="1" x14ac:dyDescent="0.3">
      <c r="A589" s="113" t="str">
        <f>+IF(PROVEEDORES[[#This Row],[FECHA DE PAGO]]=PROVEEDORES[[#This Row],[FECHA DE FACTURACIÓN]],"DE CONTADO","CRÉDITO")</f>
        <v>CRÉDITO</v>
      </c>
      <c r="B589" s="51" t="str">
        <f>+IF((PROVEEDORES[[#This Row],[FECHA DE PAGO]]-PROVEEDORES[[#This Row],[FECHA DE FACTURACIÓN]])&gt;PROVEEDORES[[#This Row],[PLAZO Días]],"PAGO VENCIDO")</f>
        <v>PAGO VENCIDO</v>
      </c>
      <c r="C589" s="25">
        <f>+VLOOKUP(PROVEEDORES[[#This Row],[PROVEEDOR]],TERCEROS_INFO[#All],2,FALSE)</f>
        <v>30</v>
      </c>
      <c r="D589" s="30">
        <f>+SUMIFS(PROVEEDORES[Total],PROVEEDORES[PROVEEDOR],PROVEEDORES[[#This Row],[PROVEEDOR]],PROVEEDORES[FECHA DE PAGO],"")</f>
        <v>1064947.47</v>
      </c>
      <c r="E589" s="30"/>
      <c r="F589" s="73" t="str">
        <f>+VLOOKUP(PROVEEDORES[[#This Row],[PROVEEDOR]],TERCEROS_INFO[[PROVEEDOR]:[CORREO]],5,FALSE)</f>
        <v>supervisorventasbridge@gmail.com;newtimewatches1@gmail.com;girlesa.ruiz@servipilas.com;joriescobar64@gmail.com</v>
      </c>
      <c r="G589" s="111">
        <v>44442</v>
      </c>
      <c r="H589" s="31" t="s">
        <v>137</v>
      </c>
      <c r="I589" s="111">
        <v>44404</v>
      </c>
      <c r="J589" s="48">
        <v>37</v>
      </c>
      <c r="K589" s="26">
        <v>504000</v>
      </c>
      <c r="L589" s="26">
        <v>100800</v>
      </c>
      <c r="M589" s="27">
        <v>76608</v>
      </c>
      <c r="N589" s="28"/>
      <c r="O589" s="27">
        <v>0</v>
      </c>
      <c r="P589" s="28">
        <v>0</v>
      </c>
      <c r="Q589" s="27">
        <v>0</v>
      </c>
      <c r="R589" s="26">
        <v>479808</v>
      </c>
      <c r="S589" s="115">
        <f ca="1">IF(PROVEEDORES[[#This Row],[FECHA DE PAGO]]=0,TODAY()-PROVEEDORES[[#This Row],[FECHA DE FACTURACIÓN]]-PROVEEDORES[[#This Row],[PLAZO Días]],0)</f>
        <v>0</v>
      </c>
      <c r="T5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0" spans="1:20" ht="21.9" customHeight="1" x14ac:dyDescent="0.3">
      <c r="A590" s="113" t="str">
        <f>+IF(PROVEEDORES[[#This Row],[FECHA DE PAGO]]=PROVEEDORES[[#This Row],[FECHA DE FACTURACIÓN]],"DE CONTADO","CRÉDITO")</f>
        <v>CRÉDITO</v>
      </c>
      <c r="B590" s="51" t="str">
        <f>+IF((PROVEEDORES[[#This Row],[FECHA DE PAGO]]-PROVEEDORES[[#This Row],[FECHA DE FACTURACIÓN]])&gt;PROVEEDORES[[#This Row],[PLAZO Días]],"PAGO VENCIDO")</f>
        <v>PAGO VENCIDO</v>
      </c>
      <c r="C590" s="25">
        <f>+VLOOKUP(PROVEEDORES[[#This Row],[PROVEEDOR]],TERCEROS_INFO[#All],2,FALSE)</f>
        <v>30</v>
      </c>
      <c r="D590" s="30">
        <f>+SUMIFS(PROVEEDORES[Total],PROVEEDORES[PROVEEDOR],PROVEEDORES[[#This Row],[PROVEEDOR]],PROVEEDORES[FECHA DE PAGO],"")</f>
        <v>0</v>
      </c>
      <c r="E590" s="30"/>
      <c r="F590" s="73" t="str">
        <f>+VLOOKUP(PROVEEDORES[[#This Row],[PROVEEDOR]],TERCEROS_INFO[[PROVEEDOR]:[CORREO]],5,FALSE)</f>
        <v>swizzeraux2@gmail.com;girlesa.ruiz@servipilas.com;joriescobar64@gmail.com</v>
      </c>
      <c r="G590" s="111">
        <v>44442</v>
      </c>
      <c r="H590" s="31" t="s">
        <v>1077</v>
      </c>
      <c r="I590" s="111">
        <v>44404</v>
      </c>
      <c r="J590" s="48" t="s">
        <v>767</v>
      </c>
      <c r="K590" s="26">
        <v>803250</v>
      </c>
      <c r="L590" s="26"/>
      <c r="M590" s="27">
        <v>0</v>
      </c>
      <c r="N590" s="28"/>
      <c r="O590" s="27">
        <v>0</v>
      </c>
      <c r="P590" s="28">
        <v>0</v>
      </c>
      <c r="Q590" s="27">
        <v>0</v>
      </c>
      <c r="R590" s="26">
        <v>803250</v>
      </c>
      <c r="S590" s="115">
        <f ca="1">IF(PROVEEDORES[[#This Row],[FECHA DE PAGO]]=0,TODAY()-PROVEEDORES[[#This Row],[FECHA DE FACTURACIÓN]]-PROVEEDORES[[#This Row],[PLAZO Días]],0)</f>
        <v>0</v>
      </c>
      <c r="T5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1" spans="1:20" ht="21.9" customHeight="1" x14ac:dyDescent="0.3">
      <c r="A591" s="113" t="str">
        <f>+IF(PROVEEDORES[[#This Row],[FECHA DE PAGO]]=PROVEEDORES[[#This Row],[FECHA DE FACTURACIÓN]],"DE CONTADO","CRÉDITO")</f>
        <v>CRÉDITO</v>
      </c>
      <c r="B591" s="51" t="str">
        <f>+IF((PROVEEDORES[[#This Row],[FECHA DE PAGO]]-PROVEEDORES[[#This Row],[FECHA DE FACTURACIÓN]])&gt;PROVEEDORES[[#This Row],[PLAZO Días]],"PAGO VENCIDO")</f>
        <v>PAGO VENCIDO</v>
      </c>
      <c r="C591" s="25">
        <f>+VLOOKUP(PROVEEDORES[[#This Row],[PROVEEDOR]],TERCEROS_INFO[#All],2,FALSE)</f>
        <v>30</v>
      </c>
      <c r="D591" s="30">
        <f>+SUMIFS(PROVEEDORES[Total],PROVEEDORES[PROVEEDOR],PROVEEDORES[[#This Row],[PROVEEDOR]],PROVEEDORES[FECHA DE PAGO],"")</f>
        <v>10764600</v>
      </c>
      <c r="E591" s="30"/>
      <c r="F591" s="73" t="str">
        <f>+VLOOKUP(PROVEEDORES[[#This Row],[PROVEEDOR]],TERCEROS_INFO[[PROVEEDOR]:[CORREO]],5,FALSE)</f>
        <v>apresupuesto@widexcolombia.com;girlesa.ruiz@servipilas.com;joriescobar64@gmail.com</v>
      </c>
      <c r="G591" s="111">
        <v>44442</v>
      </c>
      <c r="H591" s="31" t="s">
        <v>11</v>
      </c>
      <c r="I591" s="111">
        <v>44404</v>
      </c>
      <c r="J591" s="48" t="s">
        <v>442</v>
      </c>
      <c r="K591" s="26">
        <v>2640000</v>
      </c>
      <c r="L591" s="26"/>
      <c r="M591" s="27">
        <v>501600</v>
      </c>
      <c r="N591" s="28"/>
      <c r="O591" s="27">
        <v>0</v>
      </c>
      <c r="P591" s="28">
        <v>2.5000000000000001E-2</v>
      </c>
      <c r="Q591" s="27">
        <v>66000</v>
      </c>
      <c r="R591" s="26">
        <v>3075600</v>
      </c>
      <c r="S591" s="115">
        <f ca="1">IF(PROVEEDORES[[#This Row],[FECHA DE PAGO]]=0,TODAY()-PROVEEDORES[[#This Row],[FECHA DE FACTURACIÓN]]-PROVEEDORES[[#This Row],[PLAZO Días]],0)</f>
        <v>0</v>
      </c>
      <c r="T5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2" spans="1:20" ht="21.9" customHeight="1" x14ac:dyDescent="0.3">
      <c r="A592" s="113" t="str">
        <f>+IF(PROVEEDORES[[#This Row],[FECHA DE PAGO]]=PROVEEDORES[[#This Row],[FECHA DE FACTURACIÓN]],"DE CONTADO","CRÉDITO")</f>
        <v>CRÉDITO</v>
      </c>
      <c r="B592" s="51" t="b">
        <f>+IF((PROVEEDORES[[#This Row],[FECHA DE PAGO]]-PROVEEDORES[[#This Row],[FECHA DE FACTURACIÓN]])&gt;PROVEEDORES[[#This Row],[PLAZO Días]],"PAGO VENCIDO")</f>
        <v>0</v>
      </c>
      <c r="C592" s="25">
        <f>+VLOOKUP(PROVEEDORES[[#This Row],[PROVEEDOR]],TERCEROS_INFO[#All],2,FALSE)</f>
        <v>30</v>
      </c>
      <c r="D592" s="30">
        <f>+SUMIFS(PROVEEDORES[Total],PROVEEDORES[PROVEEDOR],PROVEEDORES[[#This Row],[PROVEEDOR]],PROVEEDORES[FECHA DE PAGO],"")</f>
        <v>0</v>
      </c>
      <c r="E592" s="30"/>
      <c r="F592" s="73" t="str">
        <f>+VLOOKUP(PROVEEDORES[[#This Row],[PROVEEDOR]],TERCEROS_INFO[[PROVEEDOR]:[CORREO]],5,FALSE)</f>
        <v>oswaldo.alvarez@logimexsas.com;girlesa.ruiz@servipilas.com;joriescobar64@gmail.com</v>
      </c>
      <c r="G592" s="111">
        <v>44426</v>
      </c>
      <c r="H592" s="31" t="s">
        <v>120</v>
      </c>
      <c r="I592" s="111">
        <v>44405</v>
      </c>
      <c r="J592" s="48" t="s">
        <v>467</v>
      </c>
      <c r="K592" s="26">
        <v>54742.78</v>
      </c>
      <c r="L592" s="26"/>
      <c r="M592" s="27">
        <v>0</v>
      </c>
      <c r="N592" s="28"/>
      <c r="O592" s="27">
        <v>0</v>
      </c>
      <c r="P592" s="28">
        <v>0</v>
      </c>
      <c r="Q592" s="27">
        <v>0</v>
      </c>
      <c r="R592" s="26">
        <v>54742.78</v>
      </c>
      <c r="S592" s="115">
        <f ca="1">IF(PROVEEDORES[[#This Row],[FECHA DE PAGO]]=0,TODAY()-PROVEEDORES[[#This Row],[FECHA DE FACTURACIÓN]]-PROVEEDORES[[#This Row],[PLAZO Días]],0)</f>
        <v>0</v>
      </c>
      <c r="T5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3" spans="1:20" ht="21.9" customHeight="1" x14ac:dyDescent="0.3">
      <c r="A593" s="113" t="str">
        <f>+IF(PROVEEDORES[[#This Row],[FECHA DE PAGO]]=PROVEEDORES[[#This Row],[FECHA DE FACTURACIÓN]],"DE CONTADO","CRÉDITO")</f>
        <v>CRÉDITO</v>
      </c>
      <c r="B593" s="51" t="b">
        <f>+IF((PROVEEDORES[[#This Row],[FECHA DE PAGO]]-PROVEEDORES[[#This Row],[FECHA DE FACTURACIÓN]])&gt;PROVEEDORES[[#This Row],[PLAZO Días]],"PAGO VENCIDO")</f>
        <v>0</v>
      </c>
      <c r="C593" s="25">
        <f>+VLOOKUP(PROVEEDORES[[#This Row],[PROVEEDOR]],TERCEROS_INFO[#All],2,FALSE)</f>
        <v>30</v>
      </c>
      <c r="D593" s="30">
        <f>+SUMIFS(PROVEEDORES[Total],PROVEEDORES[PROVEEDOR],PROVEEDORES[[#This Row],[PROVEEDOR]],PROVEEDORES[FECHA DE PAGO],"")</f>
        <v>0</v>
      </c>
      <c r="E593" s="30"/>
      <c r="F593" s="73" t="str">
        <f>+VLOOKUP(PROVEEDORES[[#This Row],[PROVEEDOR]],TERCEROS_INFO[[PROVEEDOR]:[CORREO]],5,FALSE)</f>
        <v>cartera@jeway.com.co;girlesa.ruiz@servipilas.com;joriescobar64@gmail.com</v>
      </c>
      <c r="G593" s="111">
        <v>44433</v>
      </c>
      <c r="H593" s="31" t="s">
        <v>34</v>
      </c>
      <c r="I593" s="111">
        <v>44406</v>
      </c>
      <c r="J593" s="48">
        <v>2174</v>
      </c>
      <c r="K593" s="26">
        <v>193122</v>
      </c>
      <c r="L593" s="26"/>
      <c r="M593" s="27">
        <v>36693.18</v>
      </c>
      <c r="N593" s="28"/>
      <c r="O593" s="27">
        <v>0</v>
      </c>
      <c r="P593" s="28">
        <v>0</v>
      </c>
      <c r="Q593" s="27">
        <v>0</v>
      </c>
      <c r="R593" s="26">
        <v>229815.18</v>
      </c>
      <c r="S593" s="115">
        <f ca="1">IF(PROVEEDORES[[#This Row],[FECHA DE PAGO]]=0,TODAY()-PROVEEDORES[[#This Row],[FECHA DE FACTURACIÓN]]-PROVEEDORES[[#This Row],[PLAZO Días]],0)</f>
        <v>0</v>
      </c>
      <c r="T5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4" spans="1:20" ht="21.9" customHeight="1" x14ac:dyDescent="0.3">
      <c r="A594" s="113" t="str">
        <f>+IF(PROVEEDORES[[#This Row],[FECHA DE PAGO]]=PROVEEDORES[[#This Row],[FECHA DE FACTURACIÓN]],"DE CONTADO","CRÉDITO")</f>
        <v>CRÉDITO</v>
      </c>
      <c r="B594" s="51" t="str">
        <f>+IF((PROVEEDORES[[#This Row],[FECHA DE PAGO]]-PROVEEDORES[[#This Row],[FECHA DE FACTURACIÓN]])&gt;PROVEEDORES[[#This Row],[PLAZO Días]],"PAGO VENCIDO")</f>
        <v>PAGO VENCIDO</v>
      </c>
      <c r="C594" s="25">
        <f>+VLOOKUP(PROVEEDORES[[#This Row],[PROVEEDOR]],TERCEROS_INFO[#All],2,FALSE)</f>
        <v>30</v>
      </c>
      <c r="D594" s="30">
        <f>+SUMIFS(PROVEEDORES[Total],PROVEEDORES[PROVEEDOR],PROVEEDORES[[#This Row],[PROVEEDOR]],PROVEEDORES[FECHA DE PAGO],"")</f>
        <v>0</v>
      </c>
      <c r="E594" s="30"/>
      <c r="F594" s="73" t="str">
        <f>+VLOOKUP(PROVEEDORES[[#This Row],[PROVEEDOR]],TERCEROS_INFO[[PROVEEDOR]:[CORREO]],5,FALSE)</f>
        <v>globalpowerc2018@gmail.com;girlesa.ruiz@servipilas.com;joriescobar64@gmail.com</v>
      </c>
      <c r="G594" s="111">
        <v>44459</v>
      </c>
      <c r="H594" s="31" t="s">
        <v>1057</v>
      </c>
      <c r="I594" s="111">
        <v>44407</v>
      </c>
      <c r="J594" s="48" t="s">
        <v>772</v>
      </c>
      <c r="K594" s="26">
        <v>66000</v>
      </c>
      <c r="L594" s="26"/>
      <c r="M594" s="27">
        <v>0</v>
      </c>
      <c r="N594" s="28"/>
      <c r="O594" s="27">
        <v>0</v>
      </c>
      <c r="P594" s="28">
        <v>0</v>
      </c>
      <c r="Q594" s="27">
        <v>0</v>
      </c>
      <c r="R594" s="26">
        <v>66000</v>
      </c>
      <c r="S594" s="115">
        <f ca="1">IF(PROVEEDORES[[#This Row],[FECHA DE PAGO]]=0,TODAY()-PROVEEDORES[[#This Row],[FECHA DE FACTURACIÓN]]-PROVEEDORES[[#This Row],[PLAZO Días]],0)</f>
        <v>0</v>
      </c>
      <c r="T5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5" spans="1:20" ht="21.9" customHeight="1" x14ac:dyDescent="0.3">
      <c r="A595" s="113" t="str">
        <f>+IF(PROVEEDORES[[#This Row],[FECHA DE PAGO]]=PROVEEDORES[[#This Row],[FECHA DE FACTURACIÓN]],"DE CONTADO","CRÉDITO")</f>
        <v>DE CONTADO</v>
      </c>
      <c r="B595" s="51" t="b">
        <f>+IF((PROVEEDORES[[#This Row],[FECHA DE PAGO]]-PROVEEDORES[[#This Row],[FECHA DE FACTURACIÓN]])&gt;PROVEEDORES[[#This Row],[PLAZO Días]],"PAGO VENCIDO")</f>
        <v>0</v>
      </c>
      <c r="C595" s="25">
        <f>+VLOOKUP(PROVEEDORES[[#This Row],[PROVEEDOR]],TERCEROS_INFO[#All],2,FALSE)</f>
        <v>30</v>
      </c>
      <c r="D595" s="30">
        <f>+SUMIFS(PROVEEDORES[Total],PROVEEDORES[PROVEEDOR],PROVEEDORES[[#This Row],[PROVEEDOR]],PROVEEDORES[FECHA DE PAGO],"")</f>
        <v>0</v>
      </c>
      <c r="E595" s="30"/>
      <c r="F595" s="73" t="str">
        <f>+VLOOKUP(PROVEEDORES[[#This Row],[PROVEEDOR]],TERCEROS_INFO[[PROVEEDOR]:[CORREO]],5,FALSE)</f>
        <v/>
      </c>
      <c r="G595" s="111">
        <v>44407</v>
      </c>
      <c r="H595" s="31" t="s">
        <v>1016</v>
      </c>
      <c r="I595" s="111">
        <v>44407</v>
      </c>
      <c r="J595" s="48" t="s">
        <v>770</v>
      </c>
      <c r="K595" s="26">
        <v>95000</v>
      </c>
      <c r="L595" s="26"/>
      <c r="M595" s="27">
        <v>0</v>
      </c>
      <c r="N595" s="28"/>
      <c r="O595" s="27">
        <v>0</v>
      </c>
      <c r="P595" s="28">
        <v>0</v>
      </c>
      <c r="Q595" s="27">
        <v>0</v>
      </c>
      <c r="R595" s="26">
        <v>95000</v>
      </c>
      <c r="S595" s="115">
        <f ca="1">IF(PROVEEDORES[[#This Row],[FECHA DE PAGO]]=0,TODAY()-PROVEEDORES[[#This Row],[FECHA DE FACTURACIÓN]]-PROVEEDORES[[#This Row],[PLAZO Días]],0)</f>
        <v>0</v>
      </c>
      <c r="T5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6" spans="1:20" ht="21.9" customHeight="1" x14ac:dyDescent="0.3">
      <c r="A596" s="113" t="str">
        <f>+IF(PROVEEDORES[[#This Row],[FECHA DE PAGO]]=PROVEEDORES[[#This Row],[FECHA DE FACTURACIÓN]],"DE CONTADO","CRÉDITO")</f>
        <v>DE CONTADO</v>
      </c>
      <c r="B596" s="51" t="b">
        <f>+IF((PROVEEDORES[[#This Row],[FECHA DE PAGO]]-PROVEEDORES[[#This Row],[FECHA DE FACTURACIÓN]])&gt;PROVEEDORES[[#This Row],[PLAZO Días]],"PAGO VENCIDO")</f>
        <v>0</v>
      </c>
      <c r="C596" s="25">
        <f>+VLOOKUP(PROVEEDORES[[#This Row],[PROVEEDOR]],TERCEROS_INFO[#All],2,FALSE)</f>
        <v>30</v>
      </c>
      <c r="D596" s="30">
        <f>+SUMIFS(PROVEEDORES[Total],PROVEEDORES[PROVEEDOR],PROVEEDORES[[#This Row],[PROVEEDOR]],PROVEEDORES[FECHA DE PAGO],"")</f>
        <v>0</v>
      </c>
      <c r="E596" s="30"/>
      <c r="F596" s="73" t="str">
        <f>+VLOOKUP(PROVEEDORES[[#This Row],[PROVEEDOR]],TERCEROS_INFO[[PROVEEDOR]:[CORREO]],5,FALSE)</f>
        <v/>
      </c>
      <c r="G596" s="111">
        <v>44407</v>
      </c>
      <c r="H596" s="31" t="s">
        <v>1016</v>
      </c>
      <c r="I596" s="111">
        <v>44407</v>
      </c>
      <c r="J596" s="48" t="s">
        <v>771</v>
      </c>
      <c r="K596" s="26">
        <v>96000</v>
      </c>
      <c r="L596" s="26"/>
      <c r="M596" s="27">
        <v>0</v>
      </c>
      <c r="N596" s="28"/>
      <c r="O596" s="27">
        <v>0</v>
      </c>
      <c r="P596" s="28">
        <v>0</v>
      </c>
      <c r="Q596" s="27">
        <v>0</v>
      </c>
      <c r="R596" s="26">
        <v>96000</v>
      </c>
      <c r="S596" s="115">
        <f ca="1">IF(PROVEEDORES[[#This Row],[FECHA DE PAGO]]=0,TODAY()-PROVEEDORES[[#This Row],[FECHA DE FACTURACIÓN]]-PROVEEDORES[[#This Row],[PLAZO Días]],0)</f>
        <v>0</v>
      </c>
      <c r="T59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7" spans="1:20" ht="21.9" customHeight="1" x14ac:dyDescent="0.3">
      <c r="A597" s="113" t="str">
        <f>+IF(PROVEEDORES[[#This Row],[FECHA DE PAGO]]=PROVEEDORES[[#This Row],[FECHA DE FACTURACIÓN]],"DE CONTADO","CRÉDITO")</f>
        <v>CRÉDITO</v>
      </c>
      <c r="B597" s="51" t="str">
        <f>+IF((PROVEEDORES[[#This Row],[FECHA DE PAGO]]-PROVEEDORES[[#This Row],[FECHA DE FACTURACIÓN]])&gt;PROVEEDORES[[#This Row],[PLAZO Días]],"PAGO VENCIDO")</f>
        <v>PAGO VENCIDO</v>
      </c>
      <c r="C597" s="25">
        <f>+VLOOKUP(PROVEEDORES[[#This Row],[PROVEEDOR]],TERCEROS_INFO[#All],2,FALSE)</f>
        <v>30</v>
      </c>
      <c r="D597" s="30">
        <f>+SUMIFS(PROVEEDORES[Total],PROVEEDORES[PROVEEDOR],PROVEEDORES[[#This Row],[PROVEEDOR]],PROVEEDORES[FECHA DE PAGO],"")</f>
        <v>0</v>
      </c>
      <c r="E597" s="30"/>
      <c r="F597" s="73" t="str">
        <f>+VLOOKUP(PROVEEDORES[[#This Row],[PROVEEDOR]],TERCEROS_INFO[[PROVEEDOR]:[CORREO]],5,FALSE)</f>
        <v/>
      </c>
      <c r="G597" s="111">
        <v>44441</v>
      </c>
      <c r="H597" s="31" t="s">
        <v>989</v>
      </c>
      <c r="I597" s="111">
        <v>44407</v>
      </c>
      <c r="J597" s="48" t="s">
        <v>768</v>
      </c>
      <c r="K597" s="26">
        <v>124600</v>
      </c>
      <c r="L597" s="26"/>
      <c r="M597" s="27">
        <v>0</v>
      </c>
      <c r="N597" s="28"/>
      <c r="O597" s="27">
        <v>0</v>
      </c>
      <c r="P597" s="28">
        <v>0</v>
      </c>
      <c r="Q597" s="27">
        <v>0</v>
      </c>
      <c r="R597" s="26">
        <v>124600</v>
      </c>
      <c r="S597" s="115">
        <f ca="1">IF(PROVEEDORES[[#This Row],[FECHA DE PAGO]]=0,TODAY()-PROVEEDORES[[#This Row],[FECHA DE FACTURACIÓN]]-PROVEEDORES[[#This Row],[PLAZO Días]],0)</f>
        <v>0</v>
      </c>
      <c r="T59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8" spans="1:20" ht="21.9" customHeight="1" x14ac:dyDescent="0.3">
      <c r="A598" s="113" t="str">
        <f>+IF(PROVEEDORES[[#This Row],[FECHA DE PAGO]]=PROVEEDORES[[#This Row],[FECHA DE FACTURACIÓN]],"DE CONTADO","CRÉDITO")</f>
        <v>DE CONTADO</v>
      </c>
      <c r="B598" s="51" t="b">
        <f>+IF((PROVEEDORES[[#This Row],[FECHA DE PAGO]]-PROVEEDORES[[#This Row],[FECHA DE FACTURACIÓN]])&gt;PROVEEDORES[[#This Row],[PLAZO Días]],"PAGO VENCIDO")</f>
        <v>0</v>
      </c>
      <c r="C598" s="25">
        <f>+VLOOKUP(PROVEEDORES[[#This Row],[PROVEEDOR]],TERCEROS_INFO[#All],2,FALSE)</f>
        <v>30</v>
      </c>
      <c r="D598" s="30">
        <f>+SUMIFS(PROVEEDORES[Total],PROVEEDORES[PROVEEDOR],PROVEEDORES[[#This Row],[PROVEEDOR]],PROVEEDORES[FECHA DE PAGO],"")</f>
        <v>0</v>
      </c>
      <c r="E598" s="30"/>
      <c r="F598" s="73" t="str">
        <f>+VLOOKUP(PROVEEDORES[[#This Row],[PROVEEDOR]],TERCEROS_INFO[[PROVEEDOR]:[CORREO]],5,FALSE)</f>
        <v/>
      </c>
      <c r="G598" s="111">
        <v>44407</v>
      </c>
      <c r="H598" s="31" t="s">
        <v>1016</v>
      </c>
      <c r="I598" s="111">
        <v>44407</v>
      </c>
      <c r="J598" s="48" t="s">
        <v>769</v>
      </c>
      <c r="K598" s="26">
        <v>150000</v>
      </c>
      <c r="L598" s="26"/>
      <c r="M598" s="27">
        <v>0</v>
      </c>
      <c r="N598" s="28"/>
      <c r="O598" s="27">
        <v>0</v>
      </c>
      <c r="P598" s="28">
        <v>0</v>
      </c>
      <c r="Q598" s="27">
        <v>0</v>
      </c>
      <c r="R598" s="26">
        <v>150000</v>
      </c>
      <c r="S598" s="115">
        <f ca="1">IF(PROVEEDORES[[#This Row],[FECHA DE PAGO]]=0,TODAY()-PROVEEDORES[[#This Row],[FECHA DE FACTURACIÓN]]-PROVEEDORES[[#This Row],[PLAZO Días]],0)</f>
        <v>0</v>
      </c>
      <c r="T5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599" spans="1:20" ht="21.9" customHeight="1" x14ac:dyDescent="0.3">
      <c r="A599" s="113" t="str">
        <f>+IF(PROVEEDORES[[#This Row],[FECHA DE PAGO]]=PROVEEDORES[[#This Row],[FECHA DE FACTURACIÓN]],"DE CONTADO","CRÉDITO")</f>
        <v>CRÉDITO</v>
      </c>
      <c r="B599" s="51" t="str">
        <f>+IF((PROVEEDORES[[#This Row],[FECHA DE PAGO]]-PROVEEDORES[[#This Row],[FECHA DE FACTURACIÓN]])&gt;PROVEEDORES[[#This Row],[PLAZO Días]],"PAGO VENCIDO")</f>
        <v>PAGO VENCIDO</v>
      </c>
      <c r="C599" s="25">
        <f>+VLOOKUP(PROVEEDORES[[#This Row],[PROVEEDOR]],TERCEROS_INFO[#All],2,FALSE)</f>
        <v>30</v>
      </c>
      <c r="D599" s="30">
        <f>+SUMIFS(PROVEEDORES[Total],PROVEEDORES[PROVEEDOR],PROVEEDORES[[#This Row],[PROVEEDOR]],PROVEEDORES[FECHA DE PAGO],"")</f>
        <v>4054782.5</v>
      </c>
      <c r="E599" s="30"/>
      <c r="F599" s="73" t="str">
        <f>+VLOOKUP(PROVEEDORES[[#This Row],[PROVEEDOR]],TERCEROS_INFO[[PROVEEDOR]:[CORREO]],5,FALSE)</f>
        <v>globalpowerc2018@gmail.com;girlesa.ruiz@servipilas.com;joriescobar64@gmail.com</v>
      </c>
      <c r="G599" s="111">
        <v>44442</v>
      </c>
      <c r="H599" s="31" t="s">
        <v>482</v>
      </c>
      <c r="I599" s="111">
        <v>44407</v>
      </c>
      <c r="J599" s="48">
        <v>8</v>
      </c>
      <c r="K599" s="26">
        <v>1420000</v>
      </c>
      <c r="L599" s="26"/>
      <c r="M599" s="27">
        <v>269800</v>
      </c>
      <c r="N599" s="28"/>
      <c r="O599" s="27">
        <v>0</v>
      </c>
      <c r="P599" s="28">
        <v>2.5000000000000001E-2</v>
      </c>
      <c r="Q599" s="27">
        <v>35500</v>
      </c>
      <c r="R599" s="26">
        <v>1654300</v>
      </c>
      <c r="S599" s="115">
        <f ca="1">IF(PROVEEDORES[[#This Row],[FECHA DE PAGO]]=0,TODAY()-PROVEEDORES[[#This Row],[FECHA DE FACTURACIÓN]]-PROVEEDORES[[#This Row],[PLAZO Días]],0)</f>
        <v>0</v>
      </c>
      <c r="T5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0" spans="1:20" ht="21.9" customHeight="1" x14ac:dyDescent="0.3">
      <c r="A600" s="113" t="str">
        <f>+IF(PROVEEDORES[[#This Row],[FECHA DE PAGO]]=PROVEEDORES[[#This Row],[FECHA DE FACTURACIÓN]],"DE CONTADO","CRÉDITO")</f>
        <v>CRÉDITO</v>
      </c>
      <c r="B600" s="51" t="b">
        <f>+IF((PROVEEDORES[[#This Row],[FECHA DE PAGO]]-PROVEEDORES[[#This Row],[FECHA DE FACTURACIÓN]])&gt;PROVEEDORES[[#This Row],[PLAZO Días]],"PAGO VENCIDO")</f>
        <v>0</v>
      </c>
      <c r="C600" s="25">
        <f>+VLOOKUP(PROVEEDORES[[#This Row],[PROVEEDOR]],TERCEROS_INFO[#All],2,FALSE)</f>
        <v>30</v>
      </c>
      <c r="D600" s="30">
        <f>+SUMIFS(PROVEEDORES[Total],PROVEEDORES[PROVEEDOR],PROVEEDORES[[#This Row],[PROVEEDOR]],PROVEEDORES[FECHA DE PAGO],"")</f>
        <v>0</v>
      </c>
      <c r="E600" s="30"/>
      <c r="F600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600" s="111">
        <v>44429</v>
      </c>
      <c r="H600" s="31" t="s">
        <v>514</v>
      </c>
      <c r="I600" s="111">
        <v>44407</v>
      </c>
      <c r="J600" s="48" t="s">
        <v>494</v>
      </c>
      <c r="K600" s="26">
        <v>3519330</v>
      </c>
      <c r="L600" s="26"/>
      <c r="M600" s="27">
        <v>668672.69999999995</v>
      </c>
      <c r="N600" s="28"/>
      <c r="O600" s="27">
        <v>0</v>
      </c>
      <c r="P600" s="28">
        <v>0</v>
      </c>
      <c r="Q600" s="27">
        <v>0</v>
      </c>
      <c r="R600" s="26">
        <v>4188002.7</v>
      </c>
      <c r="S600" s="115">
        <f ca="1">IF(PROVEEDORES[[#This Row],[FECHA DE PAGO]]=0,TODAY()-PROVEEDORES[[#This Row],[FECHA DE FACTURACIÓN]]-PROVEEDORES[[#This Row],[PLAZO Días]],0)</f>
        <v>0</v>
      </c>
      <c r="T60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1" spans="1:20" ht="21.9" customHeight="1" x14ac:dyDescent="0.3">
      <c r="A601" s="113" t="str">
        <f>+IF(PROVEEDORES[[#This Row],[FECHA DE PAGO]]=PROVEEDORES[[#This Row],[FECHA DE FACTURACIÓN]],"DE CONTADO","CRÉDITO")</f>
        <v>DE CONTADO</v>
      </c>
      <c r="B601" s="51" t="b">
        <f>+IF((PROVEEDORES[[#This Row],[FECHA DE PAGO]]-PROVEEDORES[[#This Row],[FECHA DE FACTURACIÓN]])&gt;PROVEEDORES[[#This Row],[PLAZO Días]],"PAGO VENCIDO")</f>
        <v>0</v>
      </c>
      <c r="C601" s="25">
        <f>+VLOOKUP(PROVEEDORES[[#This Row],[PROVEEDOR]],TERCEROS_INFO[#All],2,FALSE)</f>
        <v>30</v>
      </c>
      <c r="D601" s="30">
        <f>+SUMIFS(PROVEEDORES[Total],PROVEEDORES[PROVEEDOR],PROVEEDORES[[#This Row],[PROVEEDOR]],PROVEEDORES[FECHA DE PAGO],"")</f>
        <v>0</v>
      </c>
      <c r="E601" s="30"/>
      <c r="F601" s="73" t="str">
        <f>+VLOOKUP(PROVEEDORES[[#This Row],[PROVEEDOR]],TERCEROS_INFO[[PROVEEDOR]:[CORREO]],5,FALSE)</f>
        <v/>
      </c>
      <c r="G601" s="111">
        <v>44408</v>
      </c>
      <c r="H601" s="31" t="s">
        <v>1016</v>
      </c>
      <c r="I601" s="111">
        <v>44408</v>
      </c>
      <c r="J601" s="48" t="s">
        <v>944</v>
      </c>
      <c r="K601" s="26">
        <v>0</v>
      </c>
      <c r="L601" s="26"/>
      <c r="M601" s="27">
        <v>0</v>
      </c>
      <c r="N601" s="28"/>
      <c r="O601" s="27">
        <v>0</v>
      </c>
      <c r="P601" s="28">
        <v>0</v>
      </c>
      <c r="Q601" s="27">
        <v>0</v>
      </c>
      <c r="R601" s="26">
        <v>0</v>
      </c>
      <c r="S601" s="115">
        <f ca="1">IF(PROVEEDORES[[#This Row],[FECHA DE PAGO]]=0,TODAY()-PROVEEDORES[[#This Row],[FECHA DE FACTURACIÓN]]-PROVEEDORES[[#This Row],[PLAZO Días]],0)</f>
        <v>0</v>
      </c>
      <c r="T6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2" spans="1:20" ht="21.9" customHeight="1" x14ac:dyDescent="0.3">
      <c r="A602" s="113" t="str">
        <f>+IF(PROVEEDORES[[#This Row],[FECHA DE PAGO]]=PROVEEDORES[[#This Row],[FECHA DE FACTURACIÓN]],"DE CONTADO","CRÉDITO")</f>
        <v>DE CONTADO</v>
      </c>
      <c r="B602" s="51" t="b">
        <f>+IF((PROVEEDORES[[#This Row],[FECHA DE PAGO]]-PROVEEDORES[[#This Row],[FECHA DE FACTURACIÓN]])&gt;PROVEEDORES[[#This Row],[PLAZO Días]],"PAGO VENCIDO")</f>
        <v>0</v>
      </c>
      <c r="C602" s="25">
        <f>+VLOOKUP(PROVEEDORES[[#This Row],[PROVEEDOR]],TERCEROS_INFO[#All],2,FALSE)</f>
        <v>30</v>
      </c>
      <c r="D602" s="30">
        <f>+SUMIFS(PROVEEDORES[Total],PROVEEDORES[PROVEEDOR],PROVEEDORES[[#This Row],[PROVEEDOR]],PROVEEDORES[FECHA DE PAGO],"")</f>
        <v>0</v>
      </c>
      <c r="E602" s="30"/>
      <c r="F602" s="73" t="str">
        <f>+VLOOKUP(PROVEEDORES[[#This Row],[PROVEEDOR]],TERCEROS_INFO[[PROVEEDOR]:[CORREO]],5,FALSE)</f>
        <v/>
      </c>
      <c r="G602" s="111">
        <v>44408</v>
      </c>
      <c r="H602" s="31" t="s">
        <v>1016</v>
      </c>
      <c r="I602" s="111">
        <v>44408</v>
      </c>
      <c r="J602" s="48" t="s">
        <v>946</v>
      </c>
      <c r="K602" s="26">
        <v>68000</v>
      </c>
      <c r="L602" s="26"/>
      <c r="M602" s="27">
        <v>0</v>
      </c>
      <c r="N602" s="28"/>
      <c r="O602" s="27">
        <v>0</v>
      </c>
      <c r="P602" s="28">
        <v>0</v>
      </c>
      <c r="Q602" s="27">
        <v>0</v>
      </c>
      <c r="R602" s="26">
        <v>68000</v>
      </c>
      <c r="S602" s="115">
        <f ca="1">IF(PROVEEDORES[[#This Row],[FECHA DE PAGO]]=0,TODAY()-PROVEEDORES[[#This Row],[FECHA DE FACTURACIÓN]]-PROVEEDORES[[#This Row],[PLAZO Días]],0)</f>
        <v>0</v>
      </c>
      <c r="T6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3" spans="1:20" ht="21.9" customHeight="1" x14ac:dyDescent="0.3">
      <c r="A603" s="113" t="str">
        <f>+IF(PROVEEDORES[[#This Row],[FECHA DE PAGO]]=PROVEEDORES[[#This Row],[FECHA DE FACTURACIÓN]],"DE CONTADO","CRÉDITO")</f>
        <v>DE CONTADO</v>
      </c>
      <c r="B603" s="51" t="b">
        <f>+IF((PROVEEDORES[[#This Row],[FECHA DE PAGO]]-PROVEEDORES[[#This Row],[FECHA DE FACTURACIÓN]])&gt;PROVEEDORES[[#This Row],[PLAZO Días]],"PAGO VENCIDO")</f>
        <v>0</v>
      </c>
      <c r="C603" s="25">
        <f>+VLOOKUP(PROVEEDORES[[#This Row],[PROVEEDOR]],TERCEROS_INFO[#All],2,FALSE)</f>
        <v>30</v>
      </c>
      <c r="D603" s="30">
        <f>+SUMIFS(PROVEEDORES[Total],PROVEEDORES[PROVEEDOR],PROVEEDORES[[#This Row],[PROVEEDOR]],PROVEEDORES[FECHA DE PAGO],"")</f>
        <v>0</v>
      </c>
      <c r="E603" s="30"/>
      <c r="F603" s="73" t="str">
        <f>+VLOOKUP(PROVEEDORES[[#This Row],[PROVEEDOR]],TERCEROS_INFO[[PROVEEDOR]:[CORREO]],5,FALSE)</f>
        <v/>
      </c>
      <c r="G603" s="111">
        <v>44408</v>
      </c>
      <c r="H603" s="31" t="s">
        <v>1016</v>
      </c>
      <c r="I603" s="111">
        <v>44408</v>
      </c>
      <c r="J603" s="48" t="s">
        <v>182</v>
      </c>
      <c r="K603" s="26">
        <v>114700</v>
      </c>
      <c r="L603" s="26"/>
      <c r="M603" s="27">
        <v>0</v>
      </c>
      <c r="N603" s="28"/>
      <c r="O603" s="27">
        <v>0</v>
      </c>
      <c r="P603" s="28">
        <v>0</v>
      </c>
      <c r="Q603" s="27">
        <v>0</v>
      </c>
      <c r="R603" s="26">
        <v>114700</v>
      </c>
      <c r="S603" s="115">
        <f ca="1">IF(PROVEEDORES[[#This Row],[FECHA DE PAGO]]=0,TODAY()-PROVEEDORES[[#This Row],[FECHA DE FACTURACIÓN]]-PROVEEDORES[[#This Row],[PLAZO Días]],0)</f>
        <v>0</v>
      </c>
      <c r="T6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4" spans="1:20" ht="21.9" customHeight="1" x14ac:dyDescent="0.3">
      <c r="A604" s="113" t="str">
        <f>+IF(PROVEEDORES[[#This Row],[FECHA DE PAGO]]=PROVEEDORES[[#This Row],[FECHA DE FACTURACIÓN]],"DE CONTADO","CRÉDITO")</f>
        <v>DE CONTADO</v>
      </c>
      <c r="B604" s="51" t="b">
        <f>+IF((PROVEEDORES[[#This Row],[FECHA DE PAGO]]-PROVEEDORES[[#This Row],[FECHA DE FACTURACIÓN]])&gt;PROVEEDORES[[#This Row],[PLAZO Días]],"PAGO VENCIDO")</f>
        <v>0</v>
      </c>
      <c r="C604" s="25">
        <f>+VLOOKUP(PROVEEDORES[[#This Row],[PROVEEDOR]],TERCEROS_INFO[#All],2,FALSE)</f>
        <v>30</v>
      </c>
      <c r="D604" s="30">
        <f>+SUMIFS(PROVEEDORES[Total],PROVEEDORES[PROVEEDOR],PROVEEDORES[[#This Row],[PROVEEDOR]],PROVEEDORES[FECHA DE PAGO],"")</f>
        <v>0</v>
      </c>
      <c r="E604" s="30"/>
      <c r="F604" s="73">
        <f>+VLOOKUP(PROVEEDORES[[#This Row],[PROVEEDOR]],TERCEROS_INFO[[PROVEEDOR]:[CORREO]],5,FALSE)</f>
        <v>0</v>
      </c>
      <c r="G604" s="111">
        <v>44408</v>
      </c>
      <c r="H604" s="31" t="s">
        <v>1045</v>
      </c>
      <c r="I604" s="111">
        <v>44408</v>
      </c>
      <c r="J604" s="48"/>
      <c r="K604" s="26">
        <v>378000</v>
      </c>
      <c r="L604" s="26"/>
      <c r="M604" s="27">
        <v>0</v>
      </c>
      <c r="N604" s="28"/>
      <c r="O604" s="27">
        <v>0</v>
      </c>
      <c r="P604" s="28">
        <v>0</v>
      </c>
      <c r="Q604" s="27">
        <v>0</v>
      </c>
      <c r="R604" s="26">
        <v>378000</v>
      </c>
      <c r="S604" s="115">
        <f ca="1">IF(PROVEEDORES[[#This Row],[FECHA DE PAGO]]=0,TODAY()-PROVEEDORES[[#This Row],[FECHA DE FACTURACIÓN]]-PROVEEDORES[[#This Row],[PLAZO Días]],0)</f>
        <v>0</v>
      </c>
      <c r="T6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5" spans="1:20" ht="21.9" customHeight="1" x14ac:dyDescent="0.3">
      <c r="A605" s="113" t="str">
        <f>+IF(PROVEEDORES[[#This Row],[FECHA DE PAGO]]=PROVEEDORES[[#This Row],[FECHA DE FACTURACIÓN]],"DE CONTADO","CRÉDITO")</f>
        <v>DE CONTADO</v>
      </c>
      <c r="B605" s="51" t="b">
        <f>+IF((PROVEEDORES[[#This Row],[FECHA DE PAGO]]-PROVEEDORES[[#This Row],[FECHA DE FACTURACIÓN]])&gt;PROVEEDORES[[#This Row],[PLAZO Días]],"PAGO VENCIDO")</f>
        <v>0</v>
      </c>
      <c r="C605" s="25">
        <f>+VLOOKUP(PROVEEDORES[[#This Row],[PROVEEDOR]],TERCEROS_INFO[#All],2,FALSE)</f>
        <v>30</v>
      </c>
      <c r="D605" s="30">
        <f>+SUMIFS(PROVEEDORES[Total],PROVEEDORES[PROVEEDOR],PROVEEDORES[[#This Row],[PROVEEDOR]],PROVEEDORES[FECHA DE PAGO],"")</f>
        <v>0</v>
      </c>
      <c r="E605" s="30"/>
      <c r="F605" s="73" t="str">
        <f>+VLOOKUP(PROVEEDORES[[#This Row],[PROVEEDOR]],TERCEROS_INFO[[PROVEEDOR]:[CORREO]],5,FALSE)</f>
        <v/>
      </c>
      <c r="G605" s="111">
        <v>44408</v>
      </c>
      <c r="H605" s="31" t="s">
        <v>1003</v>
      </c>
      <c r="I605" s="111">
        <v>44408</v>
      </c>
      <c r="J605" s="48" t="s">
        <v>773</v>
      </c>
      <c r="K605" s="26">
        <v>410000</v>
      </c>
      <c r="L605" s="26"/>
      <c r="M605" s="27">
        <v>0</v>
      </c>
      <c r="N605" s="28"/>
      <c r="O605" s="27">
        <v>0</v>
      </c>
      <c r="P605" s="28">
        <v>0</v>
      </c>
      <c r="Q605" s="27">
        <v>0</v>
      </c>
      <c r="R605" s="26">
        <v>410000</v>
      </c>
      <c r="S605" s="115">
        <f ca="1">IF(PROVEEDORES[[#This Row],[FECHA DE PAGO]]=0,TODAY()-PROVEEDORES[[#This Row],[FECHA DE FACTURACIÓN]]-PROVEEDORES[[#This Row],[PLAZO Días]],0)</f>
        <v>0</v>
      </c>
      <c r="T60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6" spans="1:20" ht="21.9" customHeight="1" x14ac:dyDescent="0.3">
      <c r="A606" s="113" t="str">
        <f>+IF(PROVEEDORES[[#This Row],[FECHA DE PAGO]]=PROVEEDORES[[#This Row],[FECHA DE FACTURACIÓN]],"DE CONTADO","CRÉDITO")</f>
        <v>DE CONTADO</v>
      </c>
      <c r="B606" s="51" t="b">
        <f>+IF((PROVEEDORES[[#This Row],[FECHA DE PAGO]]-PROVEEDORES[[#This Row],[FECHA DE FACTURACIÓN]])&gt;PROVEEDORES[[#This Row],[PLAZO Días]],"PAGO VENCIDO")</f>
        <v>0</v>
      </c>
      <c r="C606" s="25">
        <f>+VLOOKUP(PROVEEDORES[[#This Row],[PROVEEDOR]],TERCEROS_INFO[#All],2,FALSE)</f>
        <v>30</v>
      </c>
      <c r="D606" s="30">
        <f>+SUMIFS(PROVEEDORES[Total],PROVEEDORES[PROVEEDOR],PROVEEDORES[[#This Row],[PROVEEDOR]],PROVEEDORES[FECHA DE PAGO],"")</f>
        <v>0</v>
      </c>
      <c r="E606" s="30"/>
      <c r="F606" s="73" t="str">
        <f>+VLOOKUP(PROVEEDORES[[#This Row],[PROVEEDOR]],TERCEROS_INFO[[PROVEEDOR]:[CORREO]],5,FALSE)</f>
        <v/>
      </c>
      <c r="G606" s="111">
        <v>44408</v>
      </c>
      <c r="H606" s="31" t="s">
        <v>1016</v>
      </c>
      <c r="I606" s="111">
        <v>44408</v>
      </c>
      <c r="J606" s="48" t="s">
        <v>945</v>
      </c>
      <c r="K606" s="26">
        <v>460100</v>
      </c>
      <c r="L606" s="26"/>
      <c r="M606" s="27">
        <v>0</v>
      </c>
      <c r="N606" s="28"/>
      <c r="O606" s="27">
        <v>0</v>
      </c>
      <c r="P606" s="28">
        <v>0</v>
      </c>
      <c r="Q606" s="27">
        <v>0</v>
      </c>
      <c r="R606" s="26">
        <v>460100</v>
      </c>
      <c r="S606" s="115">
        <f ca="1">IF(PROVEEDORES[[#This Row],[FECHA DE PAGO]]=0,TODAY()-PROVEEDORES[[#This Row],[FECHA DE FACTURACIÓN]]-PROVEEDORES[[#This Row],[PLAZO Días]],0)</f>
        <v>0</v>
      </c>
      <c r="T60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7" spans="1:20" ht="21.9" customHeight="1" x14ac:dyDescent="0.3">
      <c r="A607" s="113" t="str">
        <f>+IF(PROVEEDORES[[#This Row],[FECHA DE PAGO]]=PROVEEDORES[[#This Row],[FECHA DE FACTURACIÓN]],"DE CONTADO","CRÉDITO")</f>
        <v>CRÉDITO</v>
      </c>
      <c r="B607" s="51" t="str">
        <f>+IF((PROVEEDORES[[#This Row],[FECHA DE PAGO]]-PROVEEDORES[[#This Row],[FECHA DE FACTURACIÓN]])&gt;PROVEEDORES[[#This Row],[PLAZO Días]],"PAGO VENCIDO")</f>
        <v>PAGO VENCIDO</v>
      </c>
      <c r="C607" s="25">
        <f>+VLOOKUP(PROVEEDORES[[#This Row],[PROVEEDOR]],TERCEROS_INFO[#All],2,FALSE)</f>
        <v>30</v>
      </c>
      <c r="D607" s="30">
        <f>+SUMIFS(PROVEEDORES[Total],PROVEEDORES[PROVEEDOR],PROVEEDORES[[#This Row],[PROVEEDOR]],PROVEEDORES[FECHA DE PAGO],"")</f>
        <v>2324514.0150000001</v>
      </c>
      <c r="E607" s="30"/>
      <c r="F607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607" s="111">
        <v>44442</v>
      </c>
      <c r="H607" s="31" t="s">
        <v>24</v>
      </c>
      <c r="I607" s="111">
        <v>44408</v>
      </c>
      <c r="J607" s="48" t="s">
        <v>444</v>
      </c>
      <c r="K607" s="26">
        <v>758000</v>
      </c>
      <c r="L607" s="26"/>
      <c r="M607" s="27">
        <v>144020</v>
      </c>
      <c r="N607" s="28"/>
      <c r="O607" s="27">
        <v>0</v>
      </c>
      <c r="P607" s="28">
        <v>0</v>
      </c>
      <c r="Q607" s="27">
        <v>0</v>
      </c>
      <c r="R607" s="26">
        <v>902020</v>
      </c>
      <c r="S607" s="115">
        <f ca="1">IF(PROVEEDORES[[#This Row],[FECHA DE PAGO]]=0,TODAY()-PROVEEDORES[[#This Row],[FECHA DE FACTURACIÓN]]-PROVEEDORES[[#This Row],[PLAZO Días]],0)</f>
        <v>0</v>
      </c>
      <c r="T60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8" spans="1:20" ht="21.9" customHeight="1" x14ac:dyDescent="0.3">
      <c r="A608" s="113" t="str">
        <f>+IF(PROVEEDORES[[#This Row],[FECHA DE PAGO]]=PROVEEDORES[[#This Row],[FECHA DE FACTURACIÓN]],"DE CONTADO","CRÉDITO")</f>
        <v>DE CONTADO</v>
      </c>
      <c r="B608" s="51" t="b">
        <f>+IF((PROVEEDORES[[#This Row],[FECHA DE PAGO]]-PROVEEDORES[[#This Row],[FECHA DE FACTURACIÓN]])&gt;PROVEEDORES[[#This Row],[PLAZO Días]],"PAGO VENCIDO")</f>
        <v>0</v>
      </c>
      <c r="C608" s="25">
        <f>+VLOOKUP(PROVEEDORES[[#This Row],[PROVEEDOR]],TERCEROS_INFO[#All],2,FALSE)</f>
        <v>30</v>
      </c>
      <c r="D608" s="30">
        <f>+SUMIFS(PROVEEDORES[Total],PROVEEDORES[PROVEEDOR],PROVEEDORES[[#This Row],[PROVEEDOR]],PROVEEDORES[FECHA DE PAGO],"")</f>
        <v>0</v>
      </c>
      <c r="E608" s="30"/>
      <c r="F608" s="73" t="str">
        <f>+VLOOKUP(PROVEEDORES[[#This Row],[PROVEEDOR]],TERCEROS_INFO[[PROVEEDOR]:[CORREO]],5,FALSE)</f>
        <v/>
      </c>
      <c r="G608" s="111">
        <v>44408</v>
      </c>
      <c r="H608" s="31" t="s">
        <v>1016</v>
      </c>
      <c r="I608" s="111">
        <v>44408</v>
      </c>
      <c r="J608" s="48" t="s">
        <v>943</v>
      </c>
      <c r="K608" s="26">
        <v>6425000</v>
      </c>
      <c r="L608" s="26"/>
      <c r="M608" s="27">
        <v>0</v>
      </c>
      <c r="N608" s="28"/>
      <c r="O608" s="27">
        <v>0</v>
      </c>
      <c r="P608" s="28">
        <v>0</v>
      </c>
      <c r="Q608" s="27">
        <v>0</v>
      </c>
      <c r="R608" s="26">
        <v>6425000</v>
      </c>
      <c r="S608" s="115">
        <f ca="1">IF(PROVEEDORES[[#This Row],[FECHA DE PAGO]]=0,TODAY()-PROVEEDORES[[#This Row],[FECHA DE FACTURACIÓN]]-PROVEEDORES[[#This Row],[PLAZO Días]],0)</f>
        <v>0</v>
      </c>
      <c r="T6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09" spans="1:20" ht="21.9" customHeight="1" x14ac:dyDescent="0.3">
      <c r="A609" s="113" t="str">
        <f>+IF(PROVEEDORES[[#This Row],[FECHA DE PAGO]]=PROVEEDORES[[#This Row],[FECHA DE FACTURACIÓN]],"DE CONTADO","CRÉDITO")</f>
        <v>CRÉDITO</v>
      </c>
      <c r="B609" s="51" t="b">
        <f>+IF((PROVEEDORES[[#This Row],[FECHA DE PAGO]]-PROVEEDORES[[#This Row],[FECHA DE FACTURACIÓN]])&gt;PROVEEDORES[[#This Row],[PLAZO Días]],"PAGO VENCIDO")</f>
        <v>0</v>
      </c>
      <c r="C609" s="25">
        <f>+VLOOKUP(PROVEEDORES[[#This Row],[PROVEEDOR]],TERCEROS_INFO[#All],2,FALSE)</f>
        <v>30</v>
      </c>
      <c r="D609" s="30">
        <f>+SUMIFS(PROVEEDORES[Total],PROVEEDORES[PROVEEDOR],PROVEEDORES[[#This Row],[PROVEEDOR]],PROVEEDORES[FECHA DE PAGO],"")</f>
        <v>248736.18000000002</v>
      </c>
      <c r="E609" s="30"/>
      <c r="F609" s="73" t="str">
        <f>+VLOOKUP(PROVEEDORES[[#This Row],[PROVEEDOR]],TERCEROS_INFO[[PROVEEDOR]:[CORREO]],5,FALSE)</f>
        <v>administracion@sapian.com.co;girlesa.ruiz@servipilas.com;joriescobar64@gmail.com</v>
      </c>
      <c r="G609" s="111">
        <v>44432</v>
      </c>
      <c r="H609" s="31" t="s">
        <v>346</v>
      </c>
      <c r="I609" s="111">
        <v>44409</v>
      </c>
      <c r="J609" s="48" t="s">
        <v>453</v>
      </c>
      <c r="K609" s="26">
        <v>203897</v>
      </c>
      <c r="L609" s="26"/>
      <c r="M609" s="27">
        <v>38740.43</v>
      </c>
      <c r="N609" s="28"/>
      <c r="O609" s="27">
        <v>0</v>
      </c>
      <c r="P609" s="28">
        <v>3.5000000000000003E-2</v>
      </c>
      <c r="Q609" s="27">
        <v>7136.3950000000004</v>
      </c>
      <c r="R609" s="26">
        <v>235501.035</v>
      </c>
      <c r="S609" s="115">
        <f ca="1">IF(PROVEEDORES[[#This Row],[FECHA DE PAGO]]=0,TODAY()-PROVEEDORES[[#This Row],[FECHA DE FACTURACIÓN]]-PROVEEDORES[[#This Row],[PLAZO Días]],0)</f>
        <v>0</v>
      </c>
      <c r="T60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0" spans="1:20" ht="21.9" customHeight="1" x14ac:dyDescent="0.3">
      <c r="A610" s="113" t="str">
        <f>+IF(PROVEEDORES[[#This Row],[FECHA DE PAGO]]=PROVEEDORES[[#This Row],[FECHA DE FACTURACIÓN]],"DE CONTADO","CRÉDITO")</f>
        <v>CRÉDITO</v>
      </c>
      <c r="B610" s="51" t="b">
        <f>+IF((PROVEEDORES[[#This Row],[FECHA DE PAGO]]-PROVEEDORES[[#This Row],[FECHA DE FACTURACIÓN]])&gt;PROVEEDORES[[#This Row],[PLAZO Días]],"PAGO VENCIDO")</f>
        <v>0</v>
      </c>
      <c r="C610" s="25">
        <f>+VLOOKUP(PROVEEDORES[[#This Row],[PROVEEDOR]],TERCEROS_INFO[#All],2,FALSE)</f>
        <v>30</v>
      </c>
      <c r="D610" s="30">
        <f>+SUMIFS(PROVEEDORES[Total],PROVEEDORES[PROVEEDOR],PROVEEDORES[[#This Row],[PROVEEDOR]],PROVEEDORES[FECHA DE PAGO],"")</f>
        <v>0</v>
      </c>
      <c r="E610" s="30"/>
      <c r="F610" s="73" t="str">
        <f>+VLOOKUP(PROVEEDORES[[#This Row],[PROVEEDOR]],TERCEROS_INFO[[PROVEEDOR]:[CORREO]],5,FALSE)</f>
        <v>facturacion@losmolinos.com.co</v>
      </c>
      <c r="G610" s="111">
        <v>44428</v>
      </c>
      <c r="H610" s="31" t="s">
        <v>345</v>
      </c>
      <c r="I610" s="111">
        <v>44409</v>
      </c>
      <c r="J610" s="48">
        <v>63851</v>
      </c>
      <c r="K610" s="26">
        <v>302624.74</v>
      </c>
      <c r="L610" s="26"/>
      <c r="M610" s="27">
        <v>0</v>
      </c>
      <c r="N610" s="28"/>
      <c r="O610" s="27">
        <v>54722.770000000004</v>
      </c>
      <c r="P610" s="28">
        <v>0</v>
      </c>
      <c r="Q610" s="27">
        <v>0</v>
      </c>
      <c r="R610" s="26">
        <v>247901.96999999997</v>
      </c>
      <c r="S610" s="115">
        <f ca="1">IF(PROVEEDORES[[#This Row],[FECHA DE PAGO]]=0,TODAY()-PROVEEDORES[[#This Row],[FECHA DE FACTURACIÓN]]-PROVEEDORES[[#This Row],[PLAZO Días]],0)</f>
        <v>0</v>
      </c>
      <c r="T6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1" spans="1:20" ht="21.9" customHeight="1" x14ac:dyDescent="0.3">
      <c r="A611" s="113" t="str">
        <f>+IF(PROVEEDORES[[#This Row],[FECHA DE PAGO]]=PROVEEDORES[[#This Row],[FECHA DE FACTURACIÓN]],"DE CONTADO","CRÉDITO")</f>
        <v>CRÉDITO</v>
      </c>
      <c r="B611" s="51" t="str">
        <f>+IF((PROVEEDORES[[#This Row],[FECHA DE PAGO]]-PROVEEDORES[[#This Row],[FECHA DE FACTURACIÓN]])&gt;PROVEEDORES[[#This Row],[PLAZO Días]],"PAGO VENCIDO")</f>
        <v>PAGO VENCIDO</v>
      </c>
      <c r="C611" s="25">
        <f>+VLOOKUP(PROVEEDORES[[#This Row],[PROVEEDOR]],TERCEROS_INFO[#All],2,FALSE)</f>
        <v>13</v>
      </c>
      <c r="D611" s="30">
        <f>+SUMIFS(PROVEEDORES[Total],PROVEEDORES[PROVEEDOR],PROVEEDORES[[#This Row],[PROVEEDOR]],PROVEEDORES[FECHA DE PAGO],"")</f>
        <v>0</v>
      </c>
      <c r="E611" s="30"/>
      <c r="F611" s="73">
        <f>+VLOOKUP(PROVEEDORES[[#This Row],[PROVEEDOR]],TERCEROS_INFO[[PROVEEDOR]:[CORREO]],5,FALSE)</f>
        <v>0</v>
      </c>
      <c r="G611" s="111">
        <v>44425</v>
      </c>
      <c r="H611" s="31" t="s">
        <v>329</v>
      </c>
      <c r="I611" s="111">
        <v>44409</v>
      </c>
      <c r="J611" s="48" t="s">
        <v>331</v>
      </c>
      <c r="K611" s="26">
        <v>313385</v>
      </c>
      <c r="L611" s="26"/>
      <c r="M611" s="27">
        <v>0</v>
      </c>
      <c r="N611" s="28"/>
      <c r="O611" s="27">
        <v>0</v>
      </c>
      <c r="P611" s="28">
        <v>0</v>
      </c>
      <c r="Q611" s="27">
        <v>0</v>
      </c>
      <c r="R611" s="26">
        <v>313385</v>
      </c>
      <c r="S611" s="115">
        <f ca="1">IF(PROVEEDORES[[#This Row],[FECHA DE PAGO]]=0,TODAY()-PROVEEDORES[[#This Row],[FECHA DE FACTURACIÓN]]-PROVEEDORES[[#This Row],[PLAZO Días]],0)</f>
        <v>0</v>
      </c>
      <c r="T6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2" spans="1:20" ht="21.9" customHeight="1" x14ac:dyDescent="0.3">
      <c r="A612" s="113" t="str">
        <f>+IF(PROVEEDORES[[#This Row],[FECHA DE PAGO]]=PROVEEDORES[[#This Row],[FECHA DE FACTURACIÓN]],"DE CONTADO","CRÉDITO")</f>
        <v>CRÉDITO</v>
      </c>
      <c r="B612" s="51" t="b">
        <f>+IF((PROVEEDORES[[#This Row],[FECHA DE PAGO]]-PROVEEDORES[[#This Row],[FECHA DE FACTURACIÓN]])&gt;PROVEEDORES[[#This Row],[PLAZO Días]],"PAGO VENCIDO")</f>
        <v>0</v>
      </c>
      <c r="C612" s="25">
        <f>+VLOOKUP(PROVEEDORES[[#This Row],[PROVEEDOR]],TERCEROS_INFO[#All],2,FALSE)</f>
        <v>20</v>
      </c>
      <c r="D612" s="30">
        <f>+SUMIFS(PROVEEDORES[Total],PROVEEDORES[PROVEEDOR],PROVEEDORES[[#This Row],[PROVEEDOR]],PROVEEDORES[FECHA DE PAGO],"")</f>
        <v>0</v>
      </c>
      <c r="E612" s="30"/>
      <c r="F612" s="73" t="str">
        <f>+VLOOKUP(PROVEEDORES[[#This Row],[PROVEEDOR]],TERCEROS_INFO[[PROVEEDOR]:[CORREO]],5,FALSE)</f>
        <v>pse</v>
      </c>
      <c r="G612" s="111">
        <v>44425</v>
      </c>
      <c r="H612" s="31" t="s">
        <v>373</v>
      </c>
      <c r="I612" s="111">
        <v>44409</v>
      </c>
      <c r="J612" s="48"/>
      <c r="K612" s="26">
        <v>326232</v>
      </c>
      <c r="L612" s="26"/>
      <c r="M612" s="27">
        <v>0</v>
      </c>
      <c r="N612" s="28"/>
      <c r="O612" s="27">
        <v>0</v>
      </c>
      <c r="P612" s="28">
        <v>0</v>
      </c>
      <c r="Q612" s="27">
        <v>0</v>
      </c>
      <c r="R612" s="26">
        <v>326232</v>
      </c>
      <c r="S612" s="115">
        <f ca="1">IF(PROVEEDORES[[#This Row],[FECHA DE PAGO]]=0,TODAY()-PROVEEDORES[[#This Row],[FECHA DE FACTURACIÓN]]-PROVEEDORES[[#This Row],[PLAZO Días]],0)</f>
        <v>0</v>
      </c>
      <c r="T6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3" spans="1:20" ht="21.9" customHeight="1" x14ac:dyDescent="0.3">
      <c r="A613" s="113" t="str">
        <f>+IF(PROVEEDORES[[#This Row],[FECHA DE PAGO]]=PROVEEDORES[[#This Row],[FECHA DE FACTURACIÓN]],"DE CONTADO","CRÉDITO")</f>
        <v>CRÉDITO</v>
      </c>
      <c r="B613" s="51" t="b">
        <f>+IF((PROVEEDORES[[#This Row],[FECHA DE PAGO]]-PROVEEDORES[[#This Row],[FECHA DE FACTURACIÓN]])&gt;PROVEEDORES[[#This Row],[PLAZO Días]],"PAGO VENCIDO")</f>
        <v>0</v>
      </c>
      <c r="C613" s="25">
        <f>+VLOOKUP(PROVEEDORES[[#This Row],[PROVEEDOR]],TERCEROS_INFO[#All],2,FALSE)</f>
        <v>30</v>
      </c>
      <c r="D613" s="30">
        <f>+SUMIFS(PROVEEDORES[Total],PROVEEDORES[PROVEEDOR],PROVEEDORES[[#This Row],[PROVEEDOR]],PROVEEDORES[FECHA DE PAGO],"")</f>
        <v>0</v>
      </c>
      <c r="E613" s="30"/>
      <c r="F613" s="73" t="str">
        <f>+VLOOKUP(PROVEEDORES[[#This Row],[PROVEEDOR]],TERCEROS_INFO[[PROVEEDOR]:[CORREO]],5,FALSE)</f>
        <v>CARLOSARCILAMENSAJERIA@gmail.com;girlesa.ruiz@servipilas.com;joriescobar64@gmail.com</v>
      </c>
      <c r="G613" s="111">
        <v>44418</v>
      </c>
      <c r="H613" s="31" t="s">
        <v>143</v>
      </c>
      <c r="I613" s="111">
        <v>44409</v>
      </c>
      <c r="J613" s="48">
        <v>120</v>
      </c>
      <c r="K613" s="26">
        <v>535000</v>
      </c>
      <c r="L613" s="26"/>
      <c r="M613" s="27">
        <v>101650</v>
      </c>
      <c r="N613" s="28"/>
      <c r="O613" s="27">
        <v>0</v>
      </c>
      <c r="P613" s="28">
        <v>0.01</v>
      </c>
      <c r="Q613" s="27">
        <v>5350</v>
      </c>
      <c r="R613" s="26">
        <v>631300</v>
      </c>
      <c r="S613" s="115">
        <f ca="1">IF(PROVEEDORES[[#This Row],[FECHA DE PAGO]]=0,TODAY()-PROVEEDORES[[#This Row],[FECHA DE FACTURACIÓN]]-PROVEEDORES[[#This Row],[PLAZO Días]],0)</f>
        <v>0</v>
      </c>
      <c r="T6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4" spans="1:20" ht="21.9" customHeight="1" x14ac:dyDescent="0.3">
      <c r="A614" s="113" t="str">
        <f>+IF(PROVEEDORES[[#This Row],[FECHA DE PAGO]]=PROVEEDORES[[#This Row],[FECHA DE FACTURACIÓN]],"DE CONTADO","CRÉDITO")</f>
        <v>CRÉDITO</v>
      </c>
      <c r="B614" s="51" t="b">
        <f>+IF((PROVEEDORES[[#This Row],[FECHA DE PAGO]]-PROVEEDORES[[#This Row],[FECHA DE FACTURACIÓN]])&gt;PROVEEDORES[[#This Row],[PLAZO Días]],"PAGO VENCIDO")</f>
        <v>0</v>
      </c>
      <c r="C614" s="25">
        <f>+VLOOKUP(PROVEEDORES[[#This Row],[PROVEEDOR]],TERCEROS_INFO[#All],2,FALSE)</f>
        <v>30</v>
      </c>
      <c r="D614" s="30">
        <f>+SUMIFS(PROVEEDORES[Total],PROVEEDORES[PROVEEDOR],PROVEEDORES[[#This Row],[PROVEEDOR]],PROVEEDORES[FECHA DE PAGO],"")</f>
        <v>4862586.33</v>
      </c>
      <c r="E614" s="30"/>
      <c r="F614" s="73" t="str">
        <f>+VLOOKUP(PROVEEDORES[[#This Row],[PROVEEDOR]],TERCEROS_INFO[[PROVEEDOR]:[CORREO]],5,FALSE)</f>
        <v>cartera@conbienes.com;girlesa.ruiz@servipilas.com;joriescobar64@gmail.com</v>
      </c>
      <c r="G614" s="111">
        <v>44432</v>
      </c>
      <c r="H614" s="31" t="s">
        <v>348</v>
      </c>
      <c r="I614" s="111">
        <v>44409</v>
      </c>
      <c r="J614" s="48" t="s">
        <v>584</v>
      </c>
      <c r="K614" s="26">
        <v>716544</v>
      </c>
      <c r="L614" s="26"/>
      <c r="M614" s="27">
        <v>136143.36000000002</v>
      </c>
      <c r="N614" s="28"/>
      <c r="O614" s="27">
        <v>0</v>
      </c>
      <c r="P614" s="28">
        <v>0</v>
      </c>
      <c r="Q614" s="27">
        <v>0</v>
      </c>
      <c r="R614" s="26">
        <v>852687.35999999999</v>
      </c>
      <c r="S614" s="115">
        <f ca="1">IF(PROVEEDORES[[#This Row],[FECHA DE PAGO]]=0,TODAY()-PROVEEDORES[[#This Row],[FECHA DE FACTURACIÓN]]-PROVEEDORES[[#This Row],[PLAZO Días]],0)</f>
        <v>0</v>
      </c>
      <c r="T6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5" spans="1:20" ht="21.9" customHeight="1" x14ac:dyDescent="0.3">
      <c r="A615" s="113" t="str">
        <f>+IF(PROVEEDORES[[#This Row],[FECHA DE PAGO]]=PROVEEDORES[[#This Row],[FECHA DE FACTURACIÓN]],"DE CONTADO","CRÉDITO")</f>
        <v>CRÉDITO</v>
      </c>
      <c r="B615" s="51" t="b">
        <f>+IF((PROVEEDORES[[#This Row],[FECHA DE PAGO]]-PROVEEDORES[[#This Row],[FECHA DE FACTURACIÓN]])&gt;PROVEEDORES[[#This Row],[PLAZO Días]],"PAGO VENCIDO")</f>
        <v>0</v>
      </c>
      <c r="C615" s="25">
        <f>+VLOOKUP(PROVEEDORES[[#This Row],[PROVEEDOR]],TERCEROS_INFO[#All],2,FALSE)</f>
        <v>30</v>
      </c>
      <c r="D615" s="30">
        <f>+SUMIFS(PROVEEDORES[Total],PROVEEDORES[PROVEEDOR],PROVEEDORES[[#This Row],[PROVEEDOR]],PROVEEDORES[FECHA DE PAGO],"")</f>
        <v>0</v>
      </c>
      <c r="E615" s="30"/>
      <c r="F615" s="73" t="str">
        <f>+VLOOKUP(PROVEEDORES[[#This Row],[PROVEEDOR]],TERCEROS_INFO[[PROVEEDOR]:[CORREO]],5,FALSE)</f>
        <v>PSE</v>
      </c>
      <c r="G615" s="111">
        <v>44425</v>
      </c>
      <c r="H615" s="31" t="s">
        <v>353</v>
      </c>
      <c r="I615" s="111">
        <v>44409</v>
      </c>
      <c r="J615" s="48" t="s">
        <v>354</v>
      </c>
      <c r="K615" s="26">
        <v>727051</v>
      </c>
      <c r="L615" s="26"/>
      <c r="M615" s="27">
        <v>0</v>
      </c>
      <c r="N615" s="28"/>
      <c r="O615" s="27">
        <v>0</v>
      </c>
      <c r="P615" s="28">
        <v>0</v>
      </c>
      <c r="Q615" s="27">
        <v>0</v>
      </c>
      <c r="R615" s="26">
        <v>727051</v>
      </c>
      <c r="S615" s="115">
        <f ca="1">IF(PROVEEDORES[[#This Row],[FECHA DE PAGO]]=0,TODAY()-PROVEEDORES[[#This Row],[FECHA DE FACTURACIÓN]]-PROVEEDORES[[#This Row],[PLAZO Días]],0)</f>
        <v>0</v>
      </c>
      <c r="T6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6" spans="1:20" ht="21.9" customHeight="1" x14ac:dyDescent="0.3">
      <c r="A616" s="113" t="str">
        <f>+IF(PROVEEDORES[[#This Row],[FECHA DE PAGO]]=PROVEEDORES[[#This Row],[FECHA DE FACTURACIÓN]],"DE CONTADO","CRÉDITO")</f>
        <v>CRÉDITO</v>
      </c>
      <c r="B616" s="51" t="b">
        <f>+IF((PROVEEDORES[[#This Row],[FECHA DE PAGO]]-PROVEEDORES[[#This Row],[FECHA DE FACTURACIÓN]])&gt;PROVEEDORES[[#This Row],[PLAZO Días]],"PAGO VENCIDO")</f>
        <v>0</v>
      </c>
      <c r="C616" s="25">
        <f>+VLOOKUP(PROVEEDORES[[#This Row],[PROVEEDOR]],TERCEROS_INFO[#All],2,FALSE)</f>
        <v>30</v>
      </c>
      <c r="D616" s="30">
        <f>+SUMIFS(PROVEEDORES[Total],PROVEEDORES[PROVEEDOR],PROVEEDORES[[#This Row],[PROVEEDOR]],PROVEEDORES[FECHA DE PAGO],"")</f>
        <v>0</v>
      </c>
      <c r="E616" s="30"/>
      <c r="F616" s="73" t="str">
        <f>+VLOOKUP(PROVEEDORES[[#This Row],[PROVEEDOR]],TERCEROS_INFO[[PROVEEDOR]:[CORREO]],5,FALSE)</f>
        <v>PSE</v>
      </c>
      <c r="G616" s="111">
        <v>44425</v>
      </c>
      <c r="H616" s="31" t="s">
        <v>353</v>
      </c>
      <c r="I616" s="111">
        <v>44409</v>
      </c>
      <c r="J616" s="48" t="s">
        <v>355</v>
      </c>
      <c r="K616" s="26">
        <v>743959</v>
      </c>
      <c r="L616" s="26"/>
      <c r="M616" s="27">
        <v>0</v>
      </c>
      <c r="N616" s="28"/>
      <c r="O616" s="27">
        <v>0</v>
      </c>
      <c r="P616" s="28">
        <v>0</v>
      </c>
      <c r="Q616" s="27">
        <v>0</v>
      </c>
      <c r="R616" s="26">
        <v>743959</v>
      </c>
      <c r="S616" s="115">
        <f ca="1">IF(PROVEEDORES[[#This Row],[FECHA DE PAGO]]=0,TODAY()-PROVEEDORES[[#This Row],[FECHA DE FACTURACIÓN]]-PROVEEDORES[[#This Row],[PLAZO Días]],0)</f>
        <v>0</v>
      </c>
      <c r="T6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7" spans="1:20" ht="21.9" customHeight="1" x14ac:dyDescent="0.3">
      <c r="A617" s="113" t="str">
        <f>+IF(PROVEEDORES[[#This Row],[FECHA DE PAGO]]=PROVEEDORES[[#This Row],[FECHA DE FACTURACIÓN]],"DE CONTADO","CRÉDITO")</f>
        <v>CRÉDITO</v>
      </c>
      <c r="B617" s="51" t="b">
        <f>+IF((PROVEEDORES[[#This Row],[FECHA DE PAGO]]-PROVEEDORES[[#This Row],[FECHA DE FACTURACIÓN]])&gt;PROVEEDORES[[#This Row],[PLAZO Días]],"PAGO VENCIDO")</f>
        <v>0</v>
      </c>
      <c r="C617" s="25">
        <f>+VLOOKUP(PROVEEDORES[[#This Row],[PROVEEDOR]],TERCEROS_INFO[#All],2,FALSE)</f>
        <v>20</v>
      </c>
      <c r="D617" s="30">
        <f>+SUMIFS(PROVEEDORES[Total],PROVEEDORES[PROVEEDOR],PROVEEDORES[[#This Row],[PROVEEDOR]],PROVEEDORES[FECHA DE PAGO],"")</f>
        <v>0</v>
      </c>
      <c r="E617" s="30"/>
      <c r="F617" s="73" t="str">
        <f>+VLOOKUP(PROVEEDORES[[#This Row],[PROVEEDOR]],TERCEROS_INFO[[PROVEEDOR]:[CORREO]],5,FALSE)</f>
        <v>pse</v>
      </c>
      <c r="G617" s="111">
        <v>44425</v>
      </c>
      <c r="H617" s="31" t="s">
        <v>374</v>
      </c>
      <c r="I617" s="111">
        <v>44409</v>
      </c>
      <c r="J617" s="48"/>
      <c r="K617" s="26">
        <v>866093</v>
      </c>
      <c r="L617" s="26"/>
      <c r="M617" s="27">
        <v>0</v>
      </c>
      <c r="N617" s="28"/>
      <c r="O617" s="27">
        <v>0</v>
      </c>
      <c r="P617" s="28">
        <v>0</v>
      </c>
      <c r="Q617" s="27">
        <v>0</v>
      </c>
      <c r="R617" s="26">
        <v>866093</v>
      </c>
      <c r="S617" s="115">
        <f ca="1">IF(PROVEEDORES[[#This Row],[FECHA DE PAGO]]=0,TODAY()-PROVEEDORES[[#This Row],[FECHA DE FACTURACIÓN]]-PROVEEDORES[[#This Row],[PLAZO Días]],0)</f>
        <v>0</v>
      </c>
      <c r="T6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8" spans="1:20" ht="21.9" customHeight="1" x14ac:dyDescent="0.3">
      <c r="A618" s="113" t="str">
        <f>+IF(PROVEEDORES[[#This Row],[FECHA DE PAGO]]=PROVEEDORES[[#This Row],[FECHA DE FACTURACIÓN]],"DE CONTADO","CRÉDITO")</f>
        <v>CRÉDITO</v>
      </c>
      <c r="B618" s="51" t="b">
        <f>+IF((PROVEEDORES[[#This Row],[FECHA DE PAGO]]-PROVEEDORES[[#This Row],[FECHA DE FACTURACIÓN]])&gt;PROVEEDORES[[#This Row],[PLAZO Días]],"PAGO VENCIDO")</f>
        <v>0</v>
      </c>
      <c r="C618" s="25">
        <f>+VLOOKUP(PROVEEDORES[[#This Row],[PROVEEDOR]],TERCEROS_INFO[#All],2,FALSE)</f>
        <v>30</v>
      </c>
      <c r="D618" s="30">
        <f>+SUMIFS(PROVEEDORES[Total],PROVEEDORES[PROVEEDOR],PROVEEDORES[[#This Row],[PROVEEDOR]],PROVEEDORES[FECHA DE PAGO],"")</f>
        <v>1296896</v>
      </c>
      <c r="E618" s="30"/>
      <c r="F618" s="73" t="str">
        <f>+VLOOKUP(PROVEEDORES[[#This Row],[PROVEEDOR]],TERCEROS_INFO[[PROVEEDOR]:[CORREO]],5,FALSE)</f>
        <v>tesoreria@lacentral.com.co;girlesa.ruiz@servipilas.com;joriescobar64@gmail.com</v>
      </c>
      <c r="G618" s="111">
        <v>44432</v>
      </c>
      <c r="H618" s="31" t="s">
        <v>335</v>
      </c>
      <c r="I618" s="111">
        <v>44409</v>
      </c>
      <c r="J618" s="48">
        <v>8720</v>
      </c>
      <c r="K618" s="26">
        <v>1547710</v>
      </c>
      <c r="L618" s="26"/>
      <c r="M618" s="27">
        <v>0</v>
      </c>
      <c r="N618" s="28"/>
      <c r="O618" s="27">
        <v>107401</v>
      </c>
      <c r="P618" s="28">
        <v>0</v>
      </c>
      <c r="Q618" s="27">
        <v>0</v>
      </c>
      <c r="R618" s="26">
        <v>1440309</v>
      </c>
      <c r="S618" s="115">
        <f ca="1">IF(PROVEEDORES[[#This Row],[FECHA DE PAGO]]=0,TODAY()-PROVEEDORES[[#This Row],[FECHA DE FACTURACIÓN]]-PROVEEDORES[[#This Row],[PLAZO Días]],0)</f>
        <v>0</v>
      </c>
      <c r="T6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19" spans="1:20" ht="21.9" customHeight="1" x14ac:dyDescent="0.3">
      <c r="A619" s="113" t="str">
        <f>+IF(PROVEEDORES[[#This Row],[FECHA DE PAGO]]=PROVEEDORES[[#This Row],[FECHA DE FACTURACIÓN]],"DE CONTADO","CRÉDITO")</f>
        <v>CRÉDITO</v>
      </c>
      <c r="B619" s="51" t="b">
        <f>+IF((PROVEEDORES[[#This Row],[FECHA DE PAGO]]-PROVEEDORES[[#This Row],[FECHA DE FACTURACIÓN]])&gt;PROVEEDORES[[#This Row],[PLAZO Días]],"PAGO VENCIDO")</f>
        <v>0</v>
      </c>
      <c r="C619" s="25">
        <f>+VLOOKUP(PROVEEDORES[[#This Row],[PROVEEDOR]],TERCEROS_INFO[#All],2,FALSE)</f>
        <v>30</v>
      </c>
      <c r="D619" s="30">
        <f>+SUMIFS(PROVEEDORES[Total],PROVEEDORES[PROVEEDOR],PROVEEDORES[[#This Row],[PROVEEDOR]],PROVEEDORES[FECHA DE PAGO],"")</f>
        <v>0</v>
      </c>
      <c r="E619" s="30"/>
      <c r="F619" s="73" t="str">
        <f>+VLOOKUP(PROVEEDORES[[#This Row],[PROVEEDOR]],TERCEROS_INFO[[PROVEEDOR]:[CORREO]],5,FALSE)</f>
        <v>propertymarketingsas@hotmail.com;girlesa.ruiz@servipilas.com;joriescobar64@gmail.com</v>
      </c>
      <c r="G619" s="111">
        <v>44432</v>
      </c>
      <c r="H619" s="31" t="s">
        <v>486</v>
      </c>
      <c r="I619" s="111">
        <v>44409</v>
      </c>
      <c r="J619" s="48" t="s">
        <v>774</v>
      </c>
      <c r="K619" s="26">
        <v>2789636</v>
      </c>
      <c r="L619" s="26"/>
      <c r="M619" s="27">
        <v>0</v>
      </c>
      <c r="N619" s="28"/>
      <c r="O619" s="27">
        <v>0</v>
      </c>
      <c r="P619" s="28">
        <v>3.5000000000000003E-2</v>
      </c>
      <c r="Q619" s="27">
        <v>97637.260000000009</v>
      </c>
      <c r="R619" s="26">
        <v>2691998.74</v>
      </c>
      <c r="S619" s="115">
        <f ca="1">IF(PROVEEDORES[[#This Row],[FECHA DE PAGO]]=0,TODAY()-PROVEEDORES[[#This Row],[FECHA DE FACTURACIÓN]]-PROVEEDORES[[#This Row],[PLAZO Días]],0)</f>
        <v>0</v>
      </c>
      <c r="T6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0" spans="1:20" ht="21.9" customHeight="1" x14ac:dyDescent="0.3">
      <c r="A620" s="113" t="str">
        <f>+IF(PROVEEDORES[[#This Row],[FECHA DE PAGO]]=PROVEEDORES[[#This Row],[FECHA DE FACTURACIÓN]],"DE CONTADO","CRÉDITO")</f>
        <v>CRÉDITO</v>
      </c>
      <c r="B620" s="51" t="b">
        <f>+IF((PROVEEDORES[[#This Row],[FECHA DE PAGO]]-PROVEEDORES[[#This Row],[FECHA DE FACTURACIÓN]])&gt;PROVEEDORES[[#This Row],[PLAZO Días]],"PAGO VENCIDO")</f>
        <v>0</v>
      </c>
      <c r="C620" s="25">
        <f>+VLOOKUP(PROVEEDORES[[#This Row],[PROVEEDOR]],TERCEROS_INFO[#All],2,FALSE)</f>
        <v>30</v>
      </c>
      <c r="D620" s="30">
        <f>+SUMIFS(PROVEEDORES[Total],PROVEEDORES[PROVEEDOR],PROVEEDORES[[#This Row],[PROVEEDOR]],PROVEEDORES[FECHA DE PAGO],"")</f>
        <v>0</v>
      </c>
      <c r="E620" s="30"/>
      <c r="F620" s="73" t="str">
        <f>+VLOOKUP(PROVEEDORES[[#This Row],[PROVEEDOR]],TERCEROS_INFO[[PROVEEDOR]:[CORREO]],5,FALSE)</f>
        <v>girlesa.ruiz@servipilas.com;joriescobar64@gmail.com</v>
      </c>
      <c r="G620" s="111">
        <v>44432</v>
      </c>
      <c r="H620" s="31" t="s">
        <v>339</v>
      </c>
      <c r="I620" s="111">
        <v>44409</v>
      </c>
      <c r="J620" s="48" t="s">
        <v>931</v>
      </c>
      <c r="K620" s="26">
        <v>3023387</v>
      </c>
      <c r="L620" s="26"/>
      <c r="M620" s="27">
        <v>0</v>
      </c>
      <c r="N620" s="28"/>
      <c r="O620" s="27">
        <v>0</v>
      </c>
      <c r="P620" s="28">
        <v>3.5000000000000003E-2</v>
      </c>
      <c r="Q620" s="27">
        <v>105818.54500000001</v>
      </c>
      <c r="R620" s="26">
        <v>2917568.4550000001</v>
      </c>
      <c r="S620" s="115">
        <f ca="1">IF(PROVEEDORES[[#This Row],[FECHA DE PAGO]]=0,TODAY()-PROVEEDORES[[#This Row],[FECHA DE FACTURACIÓN]]-PROVEEDORES[[#This Row],[PLAZO Días]],0)</f>
        <v>0</v>
      </c>
      <c r="T6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1" spans="1:20" ht="21.9" customHeight="1" x14ac:dyDescent="0.3">
      <c r="A621" s="113" t="str">
        <f>+IF(PROVEEDORES[[#This Row],[FECHA DE PAGO]]=PROVEEDORES[[#This Row],[FECHA DE FACTURACIÓN]],"DE CONTADO","CRÉDITO")</f>
        <v>CRÉDITO</v>
      </c>
      <c r="B621" s="51" t="b">
        <f>+IF((PROVEEDORES[[#This Row],[FECHA DE PAGO]]-PROVEEDORES[[#This Row],[FECHA DE FACTURACIÓN]])&gt;PROVEEDORES[[#This Row],[PLAZO Días]],"PAGO VENCIDO")</f>
        <v>0</v>
      </c>
      <c r="C621" s="25">
        <f>+VLOOKUP(PROVEEDORES[[#This Row],[PROVEEDOR]],TERCEROS_INFO[#All],2,FALSE)</f>
        <v>30</v>
      </c>
      <c r="D621" s="30">
        <f>+SUMIFS(PROVEEDORES[Total],PROVEEDORES[PROVEEDOR],PROVEEDORES[[#This Row],[PROVEEDOR]],PROVEEDORES[FECHA DE PAGO],"")</f>
        <v>4862586.33</v>
      </c>
      <c r="E621" s="30"/>
      <c r="F621" s="73" t="str">
        <f>+VLOOKUP(PROVEEDORES[[#This Row],[PROVEEDOR]],TERCEROS_INFO[[PROVEEDOR]:[CORREO]],5,FALSE)</f>
        <v>cartera@conbienes.com;girlesa.ruiz@servipilas.com;joriescobar64@gmail.com</v>
      </c>
      <c r="G621" s="111">
        <v>44432</v>
      </c>
      <c r="H621" s="31" t="s">
        <v>348</v>
      </c>
      <c r="I621" s="111">
        <v>44409</v>
      </c>
      <c r="J621" s="48" t="s">
        <v>585</v>
      </c>
      <c r="K621" s="26">
        <v>3061166</v>
      </c>
      <c r="L621" s="26"/>
      <c r="M621" s="27">
        <v>581621.54</v>
      </c>
      <c r="N621" s="28"/>
      <c r="O621" s="27">
        <v>0</v>
      </c>
      <c r="P621" s="28">
        <v>0</v>
      </c>
      <c r="Q621" s="27">
        <v>0</v>
      </c>
      <c r="R621" s="26">
        <v>3642787.54</v>
      </c>
      <c r="S621" s="115">
        <f ca="1">IF(PROVEEDORES[[#This Row],[FECHA DE PAGO]]=0,TODAY()-PROVEEDORES[[#This Row],[FECHA DE FACTURACIÓN]]-PROVEEDORES[[#This Row],[PLAZO Días]],0)</f>
        <v>0</v>
      </c>
      <c r="T6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2" spans="1:20" ht="21.9" customHeight="1" x14ac:dyDescent="0.3">
      <c r="A622" s="113" t="str">
        <f>+IF(PROVEEDORES[[#This Row],[FECHA DE PAGO]]=PROVEEDORES[[#This Row],[FECHA DE FACTURACIÓN]],"DE CONTADO","CRÉDITO")</f>
        <v>CRÉDITO</v>
      </c>
      <c r="B622" s="51" t="b">
        <f>+IF((PROVEEDORES[[#This Row],[FECHA DE PAGO]]-PROVEEDORES[[#This Row],[FECHA DE FACTURACIÓN]])&gt;PROVEEDORES[[#This Row],[PLAZO Días]],"PAGO VENCIDO")</f>
        <v>0</v>
      </c>
      <c r="C622" s="25">
        <f>+VLOOKUP(PROVEEDORES[[#This Row],[PROVEEDOR]],TERCEROS_INFO[#All],2,FALSE)</f>
        <v>30</v>
      </c>
      <c r="D622" s="30">
        <f>+SUMIFS(PROVEEDORES[Total],PROVEEDORES[PROVEEDOR],PROVEEDORES[[#This Row],[PROVEEDOR]],PROVEEDORES[FECHA DE PAGO],"")</f>
        <v>5060410.5999999996</v>
      </c>
      <c r="E622" s="30"/>
      <c r="F622" s="73" t="str">
        <f>+VLOOKUP(PROVEEDORES[[#This Row],[PROVEEDOR]],TERCEROS_INFO[[PROVEEDOR]:[CORREO]],5,FALSE)</f>
        <v>CBastidas@vyp.com.co;girlesa.ruiz@servipilas.com;joriescobar64@gmail.com</v>
      </c>
      <c r="G622" s="111">
        <v>44432</v>
      </c>
      <c r="H622" s="31" t="s">
        <v>347</v>
      </c>
      <c r="I622" s="111">
        <v>44409</v>
      </c>
      <c r="J622" s="48">
        <v>39977</v>
      </c>
      <c r="K622" s="26">
        <v>4430000</v>
      </c>
      <c r="L622" s="26"/>
      <c r="M622" s="27">
        <v>841700</v>
      </c>
      <c r="N622" s="28"/>
      <c r="O622" s="27">
        <v>0</v>
      </c>
      <c r="P622" s="28">
        <v>3.5000000000000003E-2</v>
      </c>
      <c r="Q622" s="27">
        <v>155050.00000000003</v>
      </c>
      <c r="R622" s="26">
        <v>5116650</v>
      </c>
      <c r="S622" s="115">
        <f ca="1">IF(PROVEEDORES[[#This Row],[FECHA DE PAGO]]=0,TODAY()-PROVEEDORES[[#This Row],[FECHA DE FACTURACIÓN]]-PROVEEDORES[[#This Row],[PLAZO Días]],0)</f>
        <v>0</v>
      </c>
      <c r="T6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3" spans="1:20" ht="21.9" customHeight="1" x14ac:dyDescent="0.3">
      <c r="A623" s="113" t="str">
        <f>+IF(PROVEEDORES[[#This Row],[FECHA DE PAGO]]=PROVEEDORES[[#This Row],[FECHA DE FACTURACIÓN]],"DE CONTADO","CRÉDITO")</f>
        <v>CRÉDITO</v>
      </c>
      <c r="B623" s="51" t="b">
        <f>+IF((PROVEEDORES[[#This Row],[FECHA DE PAGO]]-PROVEEDORES[[#This Row],[FECHA DE FACTURACIÓN]])&gt;PROVEEDORES[[#This Row],[PLAZO Días]],"PAGO VENCIDO")</f>
        <v>0</v>
      </c>
      <c r="C623" s="25">
        <f>+VLOOKUP(PROVEEDORES[[#This Row],[PROVEEDOR]],TERCEROS_INFO[#All],2,FALSE)</f>
        <v>20</v>
      </c>
      <c r="D623" s="30">
        <f>+SUMIFS(PROVEEDORES[Total],PROVEEDORES[PROVEEDOR],PROVEEDORES[[#This Row],[PROVEEDOR]],PROVEEDORES[FECHA DE PAGO],"")</f>
        <v>0</v>
      </c>
      <c r="E623" s="30"/>
      <c r="F623" s="73" t="str">
        <f>+VLOOKUP(PROVEEDORES[[#This Row],[PROVEEDOR]],TERCEROS_INFO[[PROVEEDOR]:[CORREO]],5,FALSE)</f>
        <v>bog.fa1@pressex.co;bog.fm1@pressex.co;kbaumgartner@pressex.co;girlesa.ruiz@servipilas.com;joriescobar64@gmail.com</v>
      </c>
      <c r="G623" s="111">
        <v>44411</v>
      </c>
      <c r="H623" s="31" t="s">
        <v>448</v>
      </c>
      <c r="I623" s="111">
        <v>44410</v>
      </c>
      <c r="J623" s="48" t="s">
        <v>778</v>
      </c>
      <c r="K623" s="26">
        <v>137000</v>
      </c>
      <c r="L623" s="26"/>
      <c r="M623" s="27">
        <v>0</v>
      </c>
      <c r="N623" s="28"/>
      <c r="O623" s="27">
        <v>0</v>
      </c>
      <c r="P623" s="28">
        <v>0.01</v>
      </c>
      <c r="Q623" s="27">
        <v>1370</v>
      </c>
      <c r="R623" s="26">
        <v>135630</v>
      </c>
      <c r="S623" s="115">
        <f ca="1">IF(PROVEEDORES[[#This Row],[FECHA DE PAGO]]=0,TODAY()-PROVEEDORES[[#This Row],[FECHA DE FACTURACIÓN]]-PROVEEDORES[[#This Row],[PLAZO Días]],0)</f>
        <v>0</v>
      </c>
      <c r="T6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4" spans="1:20" ht="21.9" customHeight="1" x14ac:dyDescent="0.3">
      <c r="A624" s="113" t="str">
        <f>+IF(PROVEEDORES[[#This Row],[FECHA DE PAGO]]=PROVEEDORES[[#This Row],[FECHA DE FACTURACIÓN]],"DE CONTADO","CRÉDITO")</f>
        <v>CRÉDITO</v>
      </c>
      <c r="B624" s="51" t="b">
        <f>+IF((PROVEEDORES[[#This Row],[FECHA DE PAGO]]-PROVEEDORES[[#This Row],[FECHA DE FACTURACIÓN]])&gt;PROVEEDORES[[#This Row],[PLAZO Días]],"PAGO VENCIDO")</f>
        <v>0</v>
      </c>
      <c r="C624" s="25">
        <f>+VLOOKUP(PROVEEDORES[[#This Row],[PROVEEDOR]],TERCEROS_INFO[#All],2,FALSE)</f>
        <v>20</v>
      </c>
      <c r="D624" s="30">
        <f>+SUMIFS(PROVEEDORES[Total],PROVEEDORES[PROVEEDOR],PROVEEDORES[[#This Row],[PROVEEDOR]],PROVEEDORES[FECHA DE PAGO],"")</f>
        <v>0</v>
      </c>
      <c r="E624" s="30"/>
      <c r="F624" s="73" t="str">
        <f>+VLOOKUP(PROVEEDORES[[#This Row],[PROVEEDOR]],TERCEROS_INFO[[PROVEEDOR]:[CORREO]],5,FALSE)</f>
        <v>bog.fa1@pressex.co;bog.fm1@pressex.co;kbaumgartner@pressex.co;girlesa.ruiz@servipilas.com;joriescobar64@gmail.com</v>
      </c>
      <c r="G624" s="111">
        <v>44411</v>
      </c>
      <c r="H624" s="31" t="s">
        <v>450</v>
      </c>
      <c r="I624" s="111">
        <v>44410</v>
      </c>
      <c r="J624" s="48" t="s">
        <v>445</v>
      </c>
      <c r="K624" s="26">
        <v>264800</v>
      </c>
      <c r="L624" s="26"/>
      <c r="M624" s="27">
        <v>0</v>
      </c>
      <c r="N624" s="28"/>
      <c r="O624" s="27">
        <v>0</v>
      </c>
      <c r="P624" s="28">
        <v>0.01</v>
      </c>
      <c r="Q624" s="27">
        <v>2648</v>
      </c>
      <c r="R624" s="26">
        <v>262152</v>
      </c>
      <c r="S624" s="115">
        <f ca="1">IF(PROVEEDORES[[#This Row],[FECHA DE PAGO]]=0,TODAY()-PROVEEDORES[[#This Row],[FECHA DE FACTURACIÓN]]-PROVEEDORES[[#This Row],[PLAZO Días]],0)</f>
        <v>0</v>
      </c>
      <c r="T6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5" spans="1:20" ht="21.9" customHeight="1" x14ac:dyDescent="0.3">
      <c r="A625" s="113" t="str">
        <f>+IF(PROVEEDORES[[#This Row],[FECHA DE PAGO]]=PROVEEDORES[[#This Row],[FECHA DE FACTURACIÓN]],"DE CONTADO","CRÉDITO")</f>
        <v>CRÉDITO</v>
      </c>
      <c r="B625" s="51" t="str">
        <f>+IF((PROVEEDORES[[#This Row],[FECHA DE PAGO]]-PROVEEDORES[[#This Row],[FECHA DE FACTURACIÓN]])&gt;PROVEEDORES[[#This Row],[PLAZO Días]],"PAGO VENCIDO")</f>
        <v>PAGO VENCIDO</v>
      </c>
      <c r="C625" s="25">
        <f>+VLOOKUP(PROVEEDORES[[#This Row],[PROVEEDOR]],TERCEROS_INFO[#All],2,FALSE)</f>
        <v>30</v>
      </c>
      <c r="D625" s="30">
        <f>+SUMIFS(PROVEEDORES[Total],PROVEEDORES[PROVEEDOR],PROVEEDORES[[#This Row],[PROVEEDOR]],PROVEEDORES[FECHA DE PAGO],"")</f>
        <v>1645000</v>
      </c>
      <c r="E625" s="30"/>
      <c r="F625" s="73" t="str">
        <f>+VLOOKUP(PROVEEDORES[[#This Row],[PROVEEDOR]],TERCEROS_INFO[[PROVEEDOR]:[CORREO]],5,FALSE)</f>
        <v/>
      </c>
      <c r="G625" s="111">
        <v>44442</v>
      </c>
      <c r="H625" s="31" t="s">
        <v>1070</v>
      </c>
      <c r="I625" s="111">
        <v>44410</v>
      </c>
      <c r="J625" s="48" t="s">
        <v>776</v>
      </c>
      <c r="K625" s="26">
        <v>673605</v>
      </c>
      <c r="L625" s="26"/>
      <c r="M625" s="27">
        <v>0</v>
      </c>
      <c r="N625" s="28"/>
      <c r="O625" s="27">
        <v>0</v>
      </c>
      <c r="P625" s="28">
        <v>0</v>
      </c>
      <c r="Q625" s="27">
        <v>0</v>
      </c>
      <c r="R625" s="26">
        <v>673605</v>
      </c>
      <c r="S625" s="115">
        <f ca="1">IF(PROVEEDORES[[#This Row],[FECHA DE PAGO]]=0,TODAY()-PROVEEDORES[[#This Row],[FECHA DE FACTURACIÓN]]-PROVEEDORES[[#This Row],[PLAZO Días]],0)</f>
        <v>0</v>
      </c>
      <c r="T62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6" spans="1:20" ht="21.9" customHeight="1" x14ac:dyDescent="0.3">
      <c r="A626" s="113" t="str">
        <f>+IF(PROVEEDORES[[#This Row],[FECHA DE PAGO]]=PROVEEDORES[[#This Row],[FECHA DE FACTURACIÓN]],"DE CONTADO","CRÉDITO")</f>
        <v>CRÉDITO</v>
      </c>
      <c r="B626" s="51" t="b">
        <f>+IF((PROVEEDORES[[#This Row],[FECHA DE PAGO]]-PROVEEDORES[[#This Row],[FECHA DE FACTURACIÓN]])&gt;PROVEEDORES[[#This Row],[PLAZO Días]],"PAGO VENCIDO")</f>
        <v>0</v>
      </c>
      <c r="C626" s="25">
        <f>+VLOOKUP(PROVEEDORES[[#This Row],[PROVEEDOR]],TERCEROS_INFO[#All],2,FALSE)</f>
        <v>30</v>
      </c>
      <c r="D626" s="30">
        <f>+SUMIFS(PROVEEDORES[Total],PROVEEDORES[PROVEEDOR],PROVEEDORES[[#This Row],[PROVEEDOR]],PROVEEDORES[FECHA DE PAGO],"")</f>
        <v>0</v>
      </c>
      <c r="E626" s="30"/>
      <c r="F626" s="73" t="str">
        <f>+VLOOKUP(PROVEEDORES[[#This Row],[PROVEEDOR]],TERCEROS_INFO[[PROVEEDOR]:[CORREO]],5,FALSE)</f>
        <v>??;girlesa.ruiz@servipilas.com;joriescobar64@gmail.com</v>
      </c>
      <c r="G626" s="111">
        <v>44419</v>
      </c>
      <c r="H626" s="31" t="s">
        <v>455</v>
      </c>
      <c r="I626" s="111">
        <v>44410</v>
      </c>
      <c r="J626" s="48" t="s">
        <v>457</v>
      </c>
      <c r="K626" s="26">
        <v>1490000</v>
      </c>
      <c r="L626" s="26"/>
      <c r="M626" s="27">
        <v>0</v>
      </c>
      <c r="N626" s="28"/>
      <c r="O626" s="27">
        <v>0</v>
      </c>
      <c r="P626" s="28">
        <v>0</v>
      </c>
      <c r="Q626" s="27">
        <v>0</v>
      </c>
      <c r="R626" s="26">
        <v>1490000</v>
      </c>
      <c r="S626" s="115">
        <f ca="1">IF(PROVEEDORES[[#This Row],[FECHA DE PAGO]]=0,TODAY()-PROVEEDORES[[#This Row],[FECHA DE FACTURACIÓN]]-PROVEEDORES[[#This Row],[PLAZO Días]],0)</f>
        <v>0</v>
      </c>
      <c r="T62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7" spans="1:20" ht="21.9" customHeight="1" x14ac:dyDescent="0.3">
      <c r="A627" s="113" t="str">
        <f>+IF(PROVEEDORES[[#This Row],[FECHA DE PAGO]]=PROVEEDORES[[#This Row],[FECHA DE FACTURACIÓN]],"DE CONTADO","CRÉDITO")</f>
        <v>CRÉDITO</v>
      </c>
      <c r="B627" s="51" t="b">
        <f>+IF((PROVEEDORES[[#This Row],[FECHA DE PAGO]]-PROVEEDORES[[#This Row],[FECHA DE FACTURACIÓN]])&gt;PROVEEDORES[[#This Row],[PLAZO Días]],"PAGO VENCIDO")</f>
        <v>0</v>
      </c>
      <c r="C627" s="25">
        <f>+VLOOKUP(PROVEEDORES[[#This Row],[PROVEEDOR]],TERCEROS_INFO[#All],2,FALSE)</f>
        <v>30</v>
      </c>
      <c r="D627" s="30">
        <f>+SUMIFS(PROVEEDORES[Total],PROVEEDORES[PROVEEDOR],PROVEEDORES[[#This Row],[PROVEEDOR]],PROVEEDORES[FECHA DE PAGO],"")</f>
        <v>0</v>
      </c>
      <c r="E627" s="30"/>
      <c r="F627" s="73" t="str">
        <f>+VLOOKUP(PROVEEDORES[[#This Row],[PROVEEDOR]],TERCEROS_INFO[[PROVEEDOR]:[CORREO]],5,FALSE)</f>
        <v>oswaldo.alvarez@logimexsas.com;girlesa.ruiz@servipilas.com;joriescobar64@gmail.com</v>
      </c>
      <c r="G627" s="111">
        <v>44419</v>
      </c>
      <c r="H627" s="31" t="s">
        <v>456</v>
      </c>
      <c r="I627" s="111">
        <v>44410</v>
      </c>
      <c r="J627" s="48" t="s">
        <v>777</v>
      </c>
      <c r="K627" s="26">
        <v>1791000</v>
      </c>
      <c r="L627" s="26"/>
      <c r="M627" s="27">
        <v>0</v>
      </c>
      <c r="N627" s="28"/>
      <c r="O627" s="27">
        <v>0</v>
      </c>
      <c r="P627" s="28">
        <v>0</v>
      </c>
      <c r="Q627" s="27">
        <v>0</v>
      </c>
      <c r="R627" s="26">
        <v>1791000</v>
      </c>
      <c r="S627" s="115">
        <f ca="1">IF(PROVEEDORES[[#This Row],[FECHA DE PAGO]]=0,TODAY()-PROVEEDORES[[#This Row],[FECHA DE FACTURACIÓN]]-PROVEEDORES[[#This Row],[PLAZO Días]],0)</f>
        <v>0</v>
      </c>
      <c r="T6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8" spans="1:20" ht="21.9" customHeight="1" x14ac:dyDescent="0.3">
      <c r="A628" s="113" t="str">
        <f>+IF(PROVEEDORES[[#This Row],[FECHA DE PAGO]]=PROVEEDORES[[#This Row],[FECHA DE FACTURACIÓN]],"DE CONTADO","CRÉDITO")</f>
        <v>CRÉDITO</v>
      </c>
      <c r="B628" s="51" t="str">
        <f>+IF((PROVEEDORES[[#This Row],[FECHA DE PAGO]]-PROVEEDORES[[#This Row],[FECHA DE FACTURACIÓN]])&gt;PROVEEDORES[[#This Row],[PLAZO Días]],"PAGO VENCIDO")</f>
        <v>PAGO VENCIDO</v>
      </c>
      <c r="C628" s="25">
        <f>+VLOOKUP(PROVEEDORES[[#This Row],[PROVEEDOR]],TERCEROS_INFO[#All],2,FALSE)</f>
        <v>30</v>
      </c>
      <c r="D628" s="30">
        <f>+SUMIFS(PROVEEDORES[Total],PROVEEDORES[PROVEEDOR],PROVEEDORES[[#This Row],[PROVEEDOR]],PROVEEDORES[FECHA DE PAGO],"")</f>
        <v>3750700</v>
      </c>
      <c r="E628" s="30"/>
      <c r="F628" s="73" t="str">
        <f>+VLOOKUP(PROVEEDORES[[#This Row],[PROVEEDOR]],TERCEROS_INFO[[PROVEEDOR]:[CORREO]],5,FALSE)</f>
        <v/>
      </c>
      <c r="G628" s="111">
        <v>44445</v>
      </c>
      <c r="H628" s="31" t="s">
        <v>996</v>
      </c>
      <c r="I628" s="111">
        <v>44410</v>
      </c>
      <c r="J628" s="48" t="s">
        <v>775</v>
      </c>
      <c r="K628" s="26">
        <v>3560300</v>
      </c>
      <c r="L628" s="26"/>
      <c r="M628" s="27">
        <v>0</v>
      </c>
      <c r="N628" s="28"/>
      <c r="O628" s="27">
        <v>0</v>
      </c>
      <c r="P628" s="28">
        <v>0</v>
      </c>
      <c r="Q628" s="27">
        <v>0</v>
      </c>
      <c r="R628" s="26">
        <v>3560300</v>
      </c>
      <c r="S628" s="115">
        <f ca="1">IF(PROVEEDORES[[#This Row],[FECHA DE PAGO]]=0,TODAY()-PROVEEDORES[[#This Row],[FECHA DE FACTURACIÓN]]-PROVEEDORES[[#This Row],[PLAZO Días]],0)</f>
        <v>0</v>
      </c>
      <c r="T62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29" spans="1:20" ht="21.9" customHeight="1" x14ac:dyDescent="0.3">
      <c r="A629" s="113" t="str">
        <f>+IF(PROVEEDORES[[#This Row],[FECHA DE PAGO]]=PROVEEDORES[[#This Row],[FECHA DE FACTURACIÓN]],"DE CONTADO","CRÉDITO")</f>
        <v>CRÉDITO</v>
      </c>
      <c r="B629" s="51" t="str">
        <f>+IF((PROVEEDORES[[#This Row],[FECHA DE PAGO]]-PROVEEDORES[[#This Row],[FECHA DE FACTURACIÓN]])&gt;PROVEEDORES[[#This Row],[PLAZO Días]],"PAGO VENCIDO")</f>
        <v>PAGO VENCIDO</v>
      </c>
      <c r="C629" s="25">
        <f>+VLOOKUP(PROVEEDORES[[#This Row],[PROVEEDOR]],TERCEROS_INFO[#All],2,FALSE)</f>
        <v>30</v>
      </c>
      <c r="D629" s="30">
        <f>+SUMIFS(PROVEEDORES[Total],PROVEEDORES[PROVEEDOR],PROVEEDORES[[#This Row],[PROVEEDOR]],PROVEEDORES[FECHA DE PAGO],"")</f>
        <v>3750700</v>
      </c>
      <c r="E629" s="30"/>
      <c r="F629" s="73" t="str">
        <f>+VLOOKUP(PROVEEDORES[[#This Row],[PROVEEDOR]],TERCEROS_INFO[[PROVEEDOR]:[CORREO]],5,FALSE)</f>
        <v/>
      </c>
      <c r="G629" s="111">
        <v>44448</v>
      </c>
      <c r="H629" s="31" t="s">
        <v>996</v>
      </c>
      <c r="I629" s="111">
        <v>44410</v>
      </c>
      <c r="J629" s="48" t="s">
        <v>775</v>
      </c>
      <c r="K629" s="26">
        <v>3560300</v>
      </c>
      <c r="L629" s="26"/>
      <c r="M629" s="27">
        <v>0</v>
      </c>
      <c r="N629" s="28"/>
      <c r="O629" s="27">
        <v>0</v>
      </c>
      <c r="P629" s="28">
        <v>0</v>
      </c>
      <c r="Q629" s="27">
        <v>0</v>
      </c>
      <c r="R629" s="26">
        <v>3560300</v>
      </c>
      <c r="S629" s="115">
        <f ca="1">IF(PROVEEDORES[[#This Row],[FECHA DE PAGO]]=0,TODAY()-PROVEEDORES[[#This Row],[FECHA DE FACTURACIÓN]]-PROVEEDORES[[#This Row],[PLAZO Días]],0)</f>
        <v>0</v>
      </c>
      <c r="T62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0" spans="1:20" ht="21.9" customHeight="1" x14ac:dyDescent="0.3">
      <c r="A630" s="113" t="str">
        <f>+IF(PROVEEDORES[[#This Row],[FECHA DE PAGO]]=PROVEEDORES[[#This Row],[FECHA DE FACTURACIÓN]],"DE CONTADO","CRÉDITO")</f>
        <v>CRÉDITO</v>
      </c>
      <c r="B630" s="51" t="str">
        <f>+IF((PROVEEDORES[[#This Row],[FECHA DE PAGO]]-PROVEEDORES[[#This Row],[FECHA DE FACTURACIÓN]])&gt;PROVEEDORES[[#This Row],[PLAZO Días]],"PAGO VENCIDO")</f>
        <v>PAGO VENCIDO</v>
      </c>
      <c r="C630" s="25">
        <f>+VLOOKUP(PROVEEDORES[[#This Row],[PROVEEDOR]],TERCEROS_INFO[#All],2,FALSE)</f>
        <v>30</v>
      </c>
      <c r="D630" s="30">
        <f>+SUMIFS(PROVEEDORES[Total],PROVEEDORES[PROVEEDOR],PROVEEDORES[[#This Row],[PROVEEDOR]],PROVEEDORES[FECHA DE PAGO],"")</f>
        <v>0</v>
      </c>
      <c r="E630" s="30"/>
      <c r="F630" s="73" t="str">
        <f>+VLOOKUP(PROVEEDORES[[#This Row],[PROVEEDOR]],TERCEROS_INFO[[PROVEEDOR]:[CORREO]],5,FALSE)</f>
        <v>globalpowerc2018@gmail.com;girlesa.ruiz@servipilas.com;joriescobar64@gmail.com</v>
      </c>
      <c r="G630" s="111">
        <v>44459</v>
      </c>
      <c r="H630" s="31" t="s">
        <v>1057</v>
      </c>
      <c r="I630" s="111">
        <v>44411</v>
      </c>
      <c r="J630" s="48" t="s">
        <v>447</v>
      </c>
      <c r="K630" s="26">
        <v>-773200</v>
      </c>
      <c r="L630" s="26"/>
      <c r="M630" s="27">
        <v>0</v>
      </c>
      <c r="N630" s="28"/>
      <c r="O630" s="27">
        <v>0</v>
      </c>
      <c r="P630" s="28">
        <v>0</v>
      </c>
      <c r="Q630" s="27">
        <v>0</v>
      </c>
      <c r="R630" s="26">
        <v>-773200</v>
      </c>
      <c r="S630" s="115">
        <f ca="1">IF(PROVEEDORES[[#This Row],[FECHA DE PAGO]]=0,TODAY()-PROVEEDORES[[#This Row],[FECHA DE FACTURACIÓN]]-PROVEEDORES[[#This Row],[PLAZO Días]],0)</f>
        <v>0</v>
      </c>
      <c r="T63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1" spans="1:20" ht="21.9" customHeight="1" x14ac:dyDescent="0.3">
      <c r="A631" s="113" t="str">
        <f>+IF(PROVEEDORES[[#This Row],[FECHA DE PAGO]]=PROVEEDORES[[#This Row],[FECHA DE FACTURACIÓN]],"DE CONTADO","CRÉDITO")</f>
        <v>CRÉDITO</v>
      </c>
      <c r="B631" s="51" t="b">
        <f>+IF((PROVEEDORES[[#This Row],[FECHA DE PAGO]]-PROVEEDORES[[#This Row],[FECHA DE FACTURACIÓN]])&gt;PROVEEDORES[[#This Row],[PLAZO Días]],"PAGO VENCIDO")</f>
        <v>0</v>
      </c>
      <c r="C631" s="25">
        <f>+VLOOKUP(PROVEEDORES[[#This Row],[PROVEEDOR]],TERCEROS_INFO[#All],2,FALSE)</f>
        <v>30</v>
      </c>
      <c r="D631" s="30">
        <f>+SUMIFS(PROVEEDORES[Total],PROVEEDORES[PROVEEDOR],PROVEEDORES[[#This Row],[PROVEEDOR]],PROVEEDORES[FECHA DE PAGO],"")</f>
        <v>148000</v>
      </c>
      <c r="E631" s="30"/>
      <c r="F631" s="73" t="str">
        <f>+VLOOKUP(PROVEEDORES[[#This Row],[PROVEEDOR]],TERCEROS_INFO[[PROVEEDOR]:[CORREO]],5,FALSE)</f>
        <v>jarlysas@gmail.com;o.clockinternational@gmail.com;girlesa.ruiz@servipilas.com;joriescobar64@gmail.com</v>
      </c>
      <c r="G631" s="111">
        <v>44414</v>
      </c>
      <c r="H631" s="31" t="s">
        <v>1048</v>
      </c>
      <c r="I631" s="111">
        <v>44411</v>
      </c>
      <c r="J631" s="48" t="s">
        <v>779</v>
      </c>
      <c r="K631" s="26">
        <v>213600</v>
      </c>
      <c r="L631" s="26"/>
      <c r="M631" s="27">
        <v>0</v>
      </c>
      <c r="N631" s="28"/>
      <c r="O631" s="27">
        <v>18800</v>
      </c>
      <c r="P631" s="28">
        <v>0</v>
      </c>
      <c r="Q631" s="27">
        <v>0</v>
      </c>
      <c r="R631" s="26">
        <v>194800</v>
      </c>
      <c r="S631" s="115">
        <f ca="1">IF(PROVEEDORES[[#This Row],[FECHA DE PAGO]]=0,TODAY()-PROVEEDORES[[#This Row],[FECHA DE FACTURACIÓN]]-PROVEEDORES[[#This Row],[PLAZO Días]],0)</f>
        <v>0</v>
      </c>
      <c r="T6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2" spans="1:20" ht="21.9" customHeight="1" x14ac:dyDescent="0.3">
      <c r="A632" s="113" t="str">
        <f>+IF(PROVEEDORES[[#This Row],[FECHA DE PAGO]]=PROVEEDORES[[#This Row],[FECHA DE FACTURACIÓN]],"DE CONTADO","CRÉDITO")</f>
        <v>DE CONTADO</v>
      </c>
      <c r="B632" s="51" t="b">
        <f>+IF((PROVEEDORES[[#This Row],[FECHA DE PAGO]]-PROVEEDORES[[#This Row],[FECHA DE FACTURACIÓN]])&gt;PROVEEDORES[[#This Row],[PLAZO Días]],"PAGO VENCIDO")</f>
        <v>0</v>
      </c>
      <c r="C632" s="25">
        <f>+VLOOKUP(PROVEEDORES[[#This Row],[PROVEEDOR]],TERCEROS_INFO[#All],2,FALSE)</f>
        <v>30</v>
      </c>
      <c r="D632" s="30">
        <f>+SUMIFS(PROVEEDORES[Total],PROVEEDORES[PROVEEDOR],PROVEEDORES[[#This Row],[PROVEEDOR]],PROVEEDORES[FECHA DE PAGO],"")</f>
        <v>0</v>
      </c>
      <c r="E632" s="30"/>
      <c r="F632" s="73" t="str">
        <f>+VLOOKUP(PROVEEDORES[[#This Row],[PROVEEDOR]],TERCEROS_INFO[[PROVEEDOR]:[CORREO]],5,FALSE)</f>
        <v/>
      </c>
      <c r="G632" s="111">
        <v>44411</v>
      </c>
      <c r="H632" s="31" t="s">
        <v>1052</v>
      </c>
      <c r="I632" s="111">
        <v>44411</v>
      </c>
      <c r="J632" s="48"/>
      <c r="K632" s="26">
        <v>1000000</v>
      </c>
      <c r="L632" s="26"/>
      <c r="M632" s="27">
        <v>0</v>
      </c>
      <c r="N632" s="28"/>
      <c r="O632" s="27">
        <v>0</v>
      </c>
      <c r="P632" s="28">
        <v>0</v>
      </c>
      <c r="Q632" s="27">
        <v>0</v>
      </c>
      <c r="R632" s="26">
        <v>1000000</v>
      </c>
      <c r="S632" s="115">
        <f ca="1">IF(PROVEEDORES[[#This Row],[FECHA DE PAGO]]=0,TODAY()-PROVEEDORES[[#This Row],[FECHA DE FACTURACIÓN]]-PROVEEDORES[[#This Row],[PLAZO Días]],0)</f>
        <v>0</v>
      </c>
      <c r="T6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3" spans="1:20" ht="21.9" customHeight="1" x14ac:dyDescent="0.3">
      <c r="A633" s="113" t="str">
        <f>+IF(PROVEEDORES[[#This Row],[FECHA DE PAGO]]=PROVEEDORES[[#This Row],[FECHA DE FACTURACIÓN]],"DE CONTADO","CRÉDITO")</f>
        <v>CRÉDITO</v>
      </c>
      <c r="B633" s="51" t="str">
        <f>+IF((PROVEEDORES[[#This Row],[FECHA DE PAGO]]-PROVEEDORES[[#This Row],[FECHA DE FACTURACIÓN]])&gt;PROVEEDORES[[#This Row],[PLAZO Días]],"PAGO VENCIDO")</f>
        <v>PAGO VENCIDO</v>
      </c>
      <c r="C633" s="25">
        <f>+VLOOKUP(PROVEEDORES[[#This Row],[PROVEEDOR]],TERCEROS_INFO[#All],2,FALSE)</f>
        <v>30</v>
      </c>
      <c r="D633" s="30">
        <f>+SUMIFS(PROVEEDORES[Total],PROVEEDORES[PROVEEDOR],PROVEEDORES[[#This Row],[PROVEEDOR]],PROVEEDORES[FECHA DE PAGO],"")</f>
        <v>1119790</v>
      </c>
      <c r="E633" s="30"/>
      <c r="F633" s="73" t="str">
        <f>+VLOOKUP(PROVEEDORES[[#This Row],[PROVEEDOR]],TERCEROS_INFO[[PROVEEDOR]:[CORREO]],5,FALSE)</f>
        <v>MVALENCIA@mps.com.co;girlesa.ruiz@servipilas.com;joriescobar64@gmail.com</v>
      </c>
      <c r="G633" s="111">
        <v>44442</v>
      </c>
      <c r="H633" s="31" t="s">
        <v>17</v>
      </c>
      <c r="I633" s="111">
        <v>44411</v>
      </c>
      <c r="J633" s="48">
        <v>1795600</v>
      </c>
      <c r="K633" s="26">
        <v>1339866</v>
      </c>
      <c r="L633" s="26"/>
      <c r="M633" s="27">
        <v>0</v>
      </c>
      <c r="N633" s="28"/>
      <c r="O633" s="27">
        <v>0</v>
      </c>
      <c r="P633" s="28">
        <v>0</v>
      </c>
      <c r="Q633" s="27">
        <v>0</v>
      </c>
      <c r="R633" s="26">
        <v>1339866</v>
      </c>
      <c r="S633" s="115">
        <f ca="1">IF(PROVEEDORES[[#This Row],[FECHA DE PAGO]]=0,TODAY()-PROVEEDORES[[#This Row],[FECHA DE FACTURACIÓN]]-PROVEEDORES[[#This Row],[PLAZO Días]],0)</f>
        <v>0</v>
      </c>
      <c r="T6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4" spans="1:20" ht="21.9" customHeight="1" x14ac:dyDescent="0.3">
      <c r="A634" s="113" t="str">
        <f>+IF(PROVEEDORES[[#This Row],[FECHA DE PAGO]]=PROVEEDORES[[#This Row],[FECHA DE FACTURACIÓN]],"DE CONTADO","CRÉDITO")</f>
        <v>CRÉDITO</v>
      </c>
      <c r="B634" s="51" t="b">
        <f>+IF((PROVEEDORES[[#This Row],[FECHA DE PAGO]]-PROVEEDORES[[#This Row],[FECHA DE FACTURACIÓN]])&gt;PROVEEDORES[[#This Row],[PLAZO Días]],"PAGO VENCIDO")</f>
        <v>0</v>
      </c>
      <c r="C634" s="25">
        <f>+VLOOKUP(PROVEEDORES[[#This Row],[PROVEEDOR]],TERCEROS_INFO[#All],2,FALSE)</f>
        <v>30</v>
      </c>
      <c r="D634" s="30">
        <f>+SUMIFS(PROVEEDORES[Total],PROVEEDORES[PROVEEDOR],PROVEEDORES[[#This Row],[PROVEEDOR]],PROVEEDORES[FECHA DE PAGO],"")</f>
        <v>0</v>
      </c>
      <c r="E634" s="30"/>
      <c r="F634" s="73" t="str">
        <f>+VLOOKUP(PROVEEDORES[[#This Row],[PROVEEDOR]],TERCEROS_INFO[[PROVEEDOR]:[CORREO]],5,FALSE)</f>
        <v>??;girlesa.ruiz@servipilas.com;joriescobar64@gmail.com</v>
      </c>
      <c r="G634" s="111">
        <v>44428</v>
      </c>
      <c r="H634" s="31" t="s">
        <v>1084</v>
      </c>
      <c r="I634" s="111">
        <v>44411</v>
      </c>
      <c r="J634" s="48" t="s">
        <v>780</v>
      </c>
      <c r="K634" s="26">
        <v>3850000</v>
      </c>
      <c r="L634" s="26"/>
      <c r="M634" s="27">
        <v>0</v>
      </c>
      <c r="N634" s="28"/>
      <c r="O634" s="27">
        <v>0</v>
      </c>
      <c r="P634" s="28">
        <v>0</v>
      </c>
      <c r="Q634" s="27">
        <v>0</v>
      </c>
      <c r="R634" s="26">
        <v>3850000</v>
      </c>
      <c r="S634" s="115">
        <f ca="1">IF(PROVEEDORES[[#This Row],[FECHA DE PAGO]]=0,TODAY()-PROVEEDORES[[#This Row],[FECHA DE FACTURACIÓN]]-PROVEEDORES[[#This Row],[PLAZO Días]],0)</f>
        <v>0</v>
      </c>
      <c r="T6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5" spans="1:20" ht="21.9" customHeight="1" x14ac:dyDescent="0.3">
      <c r="A635" s="113" t="str">
        <f>+IF(PROVEEDORES[[#This Row],[FECHA DE PAGO]]=PROVEEDORES[[#This Row],[FECHA DE FACTURACIÓN]],"DE CONTADO","CRÉDITO")</f>
        <v>CRÉDITO</v>
      </c>
      <c r="B635" s="51" t="str">
        <f>+IF((PROVEEDORES[[#This Row],[FECHA DE PAGO]]-PROVEEDORES[[#This Row],[FECHA DE FACTURACIÓN]])&gt;PROVEEDORES[[#This Row],[PLAZO Días]],"PAGO VENCIDO")</f>
        <v>PAGO VENCIDO</v>
      </c>
      <c r="C635" s="25">
        <f>+VLOOKUP(PROVEEDORES[[#This Row],[PROVEEDOR]],TERCEROS_INFO[#All],2,FALSE)</f>
        <v>30</v>
      </c>
      <c r="D635" s="30">
        <f>+SUMIFS(PROVEEDORES[Total],PROVEEDORES[PROVEEDOR],PROVEEDORES[[#This Row],[PROVEEDOR]],PROVEEDORES[FECHA DE PAGO],"")</f>
        <v>1451823</v>
      </c>
      <c r="E635" s="30"/>
      <c r="F635" s="73" t="str">
        <f>+VLOOKUP(PROVEEDORES[[#This Row],[PROVEEDOR]],TERCEROS_INFO[[PROVEEDOR]:[CORREO]],5,FALSE)</f>
        <v>cartera@ienewline.com;andres.arroyave@ienewline.com;girlesa.ruiz@servipilas.com;joriescobar64@gmail.com</v>
      </c>
      <c r="G635" s="111">
        <v>44442</v>
      </c>
      <c r="H635" s="31" t="s">
        <v>1131</v>
      </c>
      <c r="I635" s="111">
        <v>44411</v>
      </c>
      <c r="J635" s="48">
        <v>20400</v>
      </c>
      <c r="K635" s="26">
        <v>4769920</v>
      </c>
      <c r="L635" s="26"/>
      <c r="M635" s="27">
        <v>906284.8</v>
      </c>
      <c r="N635" s="28"/>
      <c r="O635" s="27">
        <v>0</v>
      </c>
      <c r="P635" s="28">
        <v>2.5000000000000001E-2</v>
      </c>
      <c r="Q635" s="27">
        <v>119248</v>
      </c>
      <c r="R635" s="26">
        <v>5556956.7999999998</v>
      </c>
      <c r="S635" s="115">
        <f ca="1">IF(PROVEEDORES[[#This Row],[FECHA DE PAGO]]=0,TODAY()-PROVEEDORES[[#This Row],[FECHA DE FACTURACIÓN]]-PROVEEDORES[[#This Row],[PLAZO Días]],0)</f>
        <v>0</v>
      </c>
      <c r="T6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6" spans="1:20" ht="21.9" customHeight="1" x14ac:dyDescent="0.3">
      <c r="A636" s="113" t="str">
        <f>+IF(PROVEEDORES[[#This Row],[FECHA DE PAGO]]=PROVEEDORES[[#This Row],[FECHA DE FACTURACIÓN]],"DE CONTADO","CRÉDITO")</f>
        <v>DE CONTADO</v>
      </c>
      <c r="B636" s="51" t="b">
        <f>+IF((PROVEEDORES[[#This Row],[FECHA DE PAGO]]-PROVEEDORES[[#This Row],[FECHA DE FACTURACIÓN]])&gt;PROVEEDORES[[#This Row],[PLAZO Días]],"PAGO VENCIDO")</f>
        <v>0</v>
      </c>
      <c r="C636" s="25">
        <f>+VLOOKUP(PROVEEDORES[[#This Row],[PROVEEDOR]],TERCEROS_INFO[#All],2,FALSE)</f>
        <v>30</v>
      </c>
      <c r="D636" s="30">
        <f>+SUMIFS(PROVEEDORES[Total],PROVEEDORES[PROVEEDOR],PROVEEDORES[[#This Row],[PROVEEDOR]],PROVEEDORES[FECHA DE PAGO],"")</f>
        <v>0</v>
      </c>
      <c r="E636" s="30"/>
      <c r="F636" s="73" t="str">
        <f>+VLOOKUP(PROVEEDORES[[#This Row],[PROVEEDOR]],TERCEROS_INFO[[PROVEEDOR]:[CORREO]],5,FALSE)</f>
        <v/>
      </c>
      <c r="G636" s="111">
        <v>44412</v>
      </c>
      <c r="H636" s="31" t="s">
        <v>1016</v>
      </c>
      <c r="I636" s="111">
        <v>44412</v>
      </c>
      <c r="J636" s="48" t="s">
        <v>781</v>
      </c>
      <c r="K636" s="26">
        <v>306000</v>
      </c>
      <c r="L636" s="26"/>
      <c r="M636" s="27">
        <v>0</v>
      </c>
      <c r="N636" s="28"/>
      <c r="O636" s="27">
        <v>0</v>
      </c>
      <c r="P636" s="28">
        <v>0</v>
      </c>
      <c r="Q636" s="27">
        <v>0</v>
      </c>
      <c r="R636" s="26">
        <v>306000</v>
      </c>
      <c r="S636" s="115">
        <f ca="1">IF(PROVEEDORES[[#This Row],[FECHA DE PAGO]]=0,TODAY()-PROVEEDORES[[#This Row],[FECHA DE FACTURACIÓN]]-PROVEEDORES[[#This Row],[PLAZO Días]],0)</f>
        <v>0</v>
      </c>
      <c r="T6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7" spans="1:20" ht="21.9" customHeight="1" x14ac:dyDescent="0.3">
      <c r="A637" s="113" t="str">
        <f>+IF(PROVEEDORES[[#This Row],[FECHA DE PAGO]]=PROVEEDORES[[#This Row],[FECHA DE FACTURACIÓN]],"DE CONTADO","CRÉDITO")</f>
        <v>CRÉDITO</v>
      </c>
      <c r="B637" s="51" t="str">
        <f>+IF((PROVEEDORES[[#This Row],[FECHA DE PAGO]]-PROVEEDORES[[#This Row],[FECHA DE FACTURACIÓN]])&gt;PROVEEDORES[[#This Row],[PLAZO Días]],"PAGO VENCIDO")</f>
        <v>PAGO VENCIDO</v>
      </c>
      <c r="C637" s="25">
        <f>+VLOOKUP(PROVEEDORES[[#This Row],[PROVEEDOR]],TERCEROS_INFO[#All],2,FALSE)</f>
        <v>30</v>
      </c>
      <c r="D637" s="30">
        <f>+SUMIFS(PROVEEDORES[Total],PROVEEDORES[PROVEEDOR],PROVEEDORES[[#This Row],[PROVEEDOR]],PROVEEDORES[FECHA DE PAGO],"")</f>
        <v>6482443.1751999995</v>
      </c>
      <c r="E637" s="30"/>
      <c r="F637" s="73" t="str">
        <f>+VLOOKUP(PROVEEDORES[[#This Row],[PROVEEDOR]],TERCEROS_INFO[[PROVEEDOR]:[CORREO]],5,FALSE)</f>
        <v>angela.navas@hyrdistribuciones.com;girlesa.ruiz@servipilas.com;joriescobar64@gmail.com</v>
      </c>
      <c r="G637" s="111">
        <v>44452</v>
      </c>
      <c r="H637" s="31" t="s">
        <v>18</v>
      </c>
      <c r="I637" s="111">
        <v>44412</v>
      </c>
      <c r="J637" s="48">
        <v>1041347</v>
      </c>
      <c r="K637" s="26">
        <v>1530000</v>
      </c>
      <c r="L637" s="26"/>
      <c r="M637" s="27">
        <v>290700</v>
      </c>
      <c r="N637" s="28"/>
      <c r="O637" s="27">
        <v>0</v>
      </c>
      <c r="P637" s="28">
        <v>2.5000000000000001E-2</v>
      </c>
      <c r="Q637" s="27">
        <v>38250</v>
      </c>
      <c r="R637" s="26">
        <v>1782450</v>
      </c>
      <c r="S637" s="115">
        <f ca="1">IF(PROVEEDORES[[#This Row],[FECHA DE PAGO]]=0,TODAY()-PROVEEDORES[[#This Row],[FECHA DE FACTURACIÓN]]-PROVEEDORES[[#This Row],[PLAZO Días]],0)</f>
        <v>0</v>
      </c>
      <c r="T6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8" spans="1:20" ht="21.9" customHeight="1" x14ac:dyDescent="0.3">
      <c r="A638" s="113" t="str">
        <f>+IF(PROVEEDORES[[#This Row],[FECHA DE PAGO]]=PROVEEDORES[[#This Row],[FECHA DE FACTURACIÓN]],"DE CONTADO","CRÉDITO")</f>
        <v>CRÉDITO</v>
      </c>
      <c r="B638" s="51" t="str">
        <f>+IF((PROVEEDORES[[#This Row],[FECHA DE PAGO]]-PROVEEDORES[[#This Row],[FECHA DE FACTURACIÓN]])&gt;PROVEEDORES[[#This Row],[PLAZO Días]],"PAGO VENCIDO")</f>
        <v>PAGO VENCIDO</v>
      </c>
      <c r="C638" s="25">
        <f>+VLOOKUP(PROVEEDORES[[#This Row],[PROVEEDOR]],TERCEROS_INFO[#All],2,FALSE)</f>
        <v>30</v>
      </c>
      <c r="D638" s="30">
        <f>+SUMIFS(PROVEEDORES[Total],PROVEEDORES[PROVEEDOR],PROVEEDORES[[#This Row],[PROVEEDOR]],PROVEEDORES[FECHA DE PAGO],"")</f>
        <v>-30345</v>
      </c>
      <c r="E638" s="30"/>
      <c r="F638" s="73" t="str">
        <f>+VLOOKUP(PROVEEDORES[[#This Row],[PROVEEDOR]],TERCEROS_INFO[[PROVEEDOR]:[CORREO]],5,FALSE)</f>
        <v>ventasmegamundo@yahoo.es;girlesa.ruiz@servipilas.com;joriescobar64@gmail.com</v>
      </c>
      <c r="G638" s="111">
        <v>44452</v>
      </c>
      <c r="H638" s="31" t="s">
        <v>1146</v>
      </c>
      <c r="I638" s="111">
        <v>44412</v>
      </c>
      <c r="J638" s="48">
        <v>1525</v>
      </c>
      <c r="K638" s="26">
        <v>1556722.69</v>
      </c>
      <c r="L638" s="26"/>
      <c r="M638" s="27">
        <v>295777.31109999999</v>
      </c>
      <c r="N638" s="28"/>
      <c r="O638" s="27">
        <v>0</v>
      </c>
      <c r="P638" s="28">
        <v>2.5000000000000001E-2</v>
      </c>
      <c r="Q638" s="27">
        <v>38918.06725</v>
      </c>
      <c r="R638" s="26">
        <v>1813581.9338499999</v>
      </c>
      <c r="S638" s="115">
        <f ca="1">IF(PROVEEDORES[[#This Row],[FECHA DE PAGO]]=0,TODAY()-PROVEEDORES[[#This Row],[FECHA DE FACTURACIÓN]]-PROVEEDORES[[#This Row],[PLAZO Días]],0)</f>
        <v>0</v>
      </c>
      <c r="T63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39" spans="1:20" ht="21.9" customHeight="1" x14ac:dyDescent="0.3">
      <c r="A639" s="113" t="str">
        <f>+IF(PROVEEDORES[[#This Row],[FECHA DE PAGO]]=PROVEEDORES[[#This Row],[FECHA DE FACTURACIÓN]],"DE CONTADO","CRÉDITO")</f>
        <v>CRÉDITO</v>
      </c>
      <c r="B639" s="51" t="str">
        <f>+IF((PROVEEDORES[[#This Row],[FECHA DE PAGO]]-PROVEEDORES[[#This Row],[FECHA DE FACTURACIÓN]])&gt;PROVEEDORES[[#This Row],[PLAZO Días]],"PAGO VENCIDO")</f>
        <v>PAGO VENCIDO</v>
      </c>
      <c r="C639" s="25">
        <f>+VLOOKUP(PROVEEDORES[[#This Row],[PROVEEDOR]],TERCEROS_INFO[#All],2,FALSE)</f>
        <v>90</v>
      </c>
      <c r="D639" s="30">
        <f>+SUMIFS(PROVEEDORES[Total],PROVEEDORES[PROVEEDOR],PROVEEDORES[[#This Row],[PROVEEDOR]],PROVEEDORES[FECHA DE PAGO],"")</f>
        <v>0</v>
      </c>
      <c r="E639" s="30"/>
      <c r="F639" s="73" t="str">
        <f>+VLOOKUP(PROVEEDORES[[#This Row],[PROVEEDOR]],TERCEROS_INFO[[PROVEEDOR]:[CORREO]],5,FALSE)</f>
        <v/>
      </c>
      <c r="G639" s="111">
        <v>44503</v>
      </c>
      <c r="H639" s="31" t="s">
        <v>1024</v>
      </c>
      <c r="I639" s="111">
        <v>44412</v>
      </c>
      <c r="J639" s="48" t="s">
        <v>782</v>
      </c>
      <c r="K639" s="26">
        <v>7943000</v>
      </c>
      <c r="L639" s="26"/>
      <c r="M639" s="27">
        <v>0</v>
      </c>
      <c r="N639" s="28"/>
      <c r="O639" s="27">
        <v>0</v>
      </c>
      <c r="P639" s="28">
        <v>0</v>
      </c>
      <c r="Q639" s="27">
        <v>0</v>
      </c>
      <c r="R639" s="26">
        <v>7943000</v>
      </c>
      <c r="S639" s="115">
        <f ca="1">IF(PROVEEDORES[[#This Row],[FECHA DE PAGO]]=0,TODAY()-PROVEEDORES[[#This Row],[FECHA DE FACTURACIÓN]]-PROVEEDORES[[#This Row],[PLAZO Días]],0)</f>
        <v>0</v>
      </c>
      <c r="T6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0" spans="1:20" ht="21.9" customHeight="1" x14ac:dyDescent="0.3">
      <c r="A640" s="113" t="str">
        <f>+IF(PROVEEDORES[[#This Row],[FECHA DE PAGO]]=PROVEEDORES[[#This Row],[FECHA DE FACTURACIÓN]],"DE CONTADO","CRÉDITO")</f>
        <v>CRÉDITO</v>
      </c>
      <c r="B640" s="51" t="str">
        <f>+IF((PROVEEDORES[[#This Row],[FECHA DE PAGO]]-PROVEEDORES[[#This Row],[FECHA DE FACTURACIÓN]])&gt;PROVEEDORES[[#This Row],[PLAZO Días]],"PAGO VENCIDO")</f>
        <v>PAGO VENCIDO</v>
      </c>
      <c r="C640" s="25">
        <f>+VLOOKUP(PROVEEDORES[[#This Row],[PROVEEDOR]],TERCEROS_INFO[#All],2,FALSE)</f>
        <v>30</v>
      </c>
      <c r="D640" s="30">
        <f>+SUMIFS(PROVEEDORES[Total],PROVEEDORES[PROVEEDOR],PROVEEDORES[[#This Row],[PROVEEDOR]],PROVEEDORES[FECHA DE PAGO],"")</f>
        <v>6482443.1751999995</v>
      </c>
      <c r="E640" s="30"/>
      <c r="F640" s="73" t="str">
        <f>+VLOOKUP(PROVEEDORES[[#This Row],[PROVEEDOR]],TERCEROS_INFO[[PROVEEDOR]:[CORREO]],5,FALSE)</f>
        <v>angela.navas@hyrdistribuciones.com;girlesa.ruiz@servipilas.com;joriescobar64@gmail.com</v>
      </c>
      <c r="G640" s="111">
        <v>44452</v>
      </c>
      <c r="H640" s="31" t="s">
        <v>18</v>
      </c>
      <c r="I640" s="111">
        <v>44413</v>
      </c>
      <c r="J640" s="48">
        <v>1041395</v>
      </c>
      <c r="K640" s="26">
        <v>1837723.2</v>
      </c>
      <c r="L640" s="26"/>
      <c r="M640" s="27">
        <v>349167.408</v>
      </c>
      <c r="N640" s="28"/>
      <c r="O640" s="27">
        <v>0</v>
      </c>
      <c r="P640" s="28">
        <v>2.5000000000000001E-2</v>
      </c>
      <c r="Q640" s="27">
        <v>45943.08</v>
      </c>
      <c r="R640" s="26">
        <v>2140947.5279999999</v>
      </c>
      <c r="S640" s="115">
        <f ca="1">IF(PROVEEDORES[[#This Row],[FECHA DE PAGO]]=0,TODAY()-PROVEEDORES[[#This Row],[FECHA DE FACTURACIÓN]]-PROVEEDORES[[#This Row],[PLAZO Días]],0)</f>
        <v>0</v>
      </c>
      <c r="T6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1" spans="1:20" ht="21.9" customHeight="1" x14ac:dyDescent="0.3">
      <c r="A641" s="113" t="str">
        <f>+IF(PROVEEDORES[[#This Row],[FECHA DE PAGO]]=PROVEEDORES[[#This Row],[FECHA DE FACTURACIÓN]],"DE CONTADO","CRÉDITO")</f>
        <v>DE CONTADO</v>
      </c>
      <c r="B641" s="51" t="b">
        <f>+IF((PROVEEDORES[[#This Row],[FECHA DE PAGO]]-PROVEEDORES[[#This Row],[FECHA DE FACTURACIÓN]])&gt;PROVEEDORES[[#This Row],[PLAZO Días]],"PAGO VENCIDO")</f>
        <v>0</v>
      </c>
      <c r="C641" s="25">
        <f>+VLOOKUP(PROVEEDORES[[#This Row],[PROVEEDOR]],TERCEROS_INFO[#All],2,FALSE)</f>
        <v>30</v>
      </c>
      <c r="D641" s="30">
        <f>+SUMIFS(PROVEEDORES[Total],PROVEEDORES[PROVEEDOR],PROVEEDORES[[#This Row],[PROVEEDOR]],PROVEEDORES[FECHA DE PAGO],"")</f>
        <v>0</v>
      </c>
      <c r="E641" s="30"/>
      <c r="F641" s="73" t="str">
        <f>+VLOOKUP(PROVEEDORES[[#This Row],[PROVEEDOR]],TERCEROS_INFO[[PROVEEDOR]:[CORREO]],5,FALSE)</f>
        <v/>
      </c>
      <c r="G641" s="111">
        <v>44414</v>
      </c>
      <c r="H641" s="31" t="s">
        <v>1016</v>
      </c>
      <c r="I641" s="111">
        <v>44414</v>
      </c>
      <c r="J641" s="48" t="s">
        <v>784</v>
      </c>
      <c r="K641" s="26">
        <v>320000</v>
      </c>
      <c r="L641" s="26"/>
      <c r="M641" s="27">
        <v>0</v>
      </c>
      <c r="N641" s="28"/>
      <c r="O641" s="27">
        <v>0</v>
      </c>
      <c r="P641" s="28">
        <v>0</v>
      </c>
      <c r="Q641" s="27">
        <v>0</v>
      </c>
      <c r="R641" s="26">
        <v>320000</v>
      </c>
      <c r="S641" s="115">
        <f ca="1">IF(PROVEEDORES[[#This Row],[FECHA DE PAGO]]=0,TODAY()-PROVEEDORES[[#This Row],[FECHA DE FACTURACIÓN]]-PROVEEDORES[[#This Row],[PLAZO Días]],0)</f>
        <v>0</v>
      </c>
      <c r="T6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2" spans="1:20" ht="21.9" customHeight="1" x14ac:dyDescent="0.3">
      <c r="A642" s="113" t="str">
        <f>+IF(PROVEEDORES[[#This Row],[FECHA DE PAGO]]=PROVEEDORES[[#This Row],[FECHA DE FACTURACIÓN]],"DE CONTADO","CRÉDITO")</f>
        <v>CRÉDITO</v>
      </c>
      <c r="B642" s="51" t="str">
        <f>+IF((PROVEEDORES[[#This Row],[FECHA DE PAGO]]-PROVEEDORES[[#This Row],[FECHA DE FACTURACIÓN]])&gt;PROVEEDORES[[#This Row],[PLAZO Días]],"PAGO VENCIDO")</f>
        <v>PAGO VENCIDO</v>
      </c>
      <c r="C642" s="25">
        <f>+VLOOKUP(PROVEEDORES[[#This Row],[PROVEEDOR]],TERCEROS_INFO[#All],2,FALSE)</f>
        <v>90</v>
      </c>
      <c r="D642" s="30">
        <f>+SUMIFS(PROVEEDORES[Total],PROVEEDORES[PROVEEDOR],PROVEEDORES[[#This Row],[PROVEEDOR]],PROVEEDORES[FECHA DE PAGO],"")</f>
        <v>24974028.109999996</v>
      </c>
      <c r="E642" s="30"/>
      <c r="F642" s="73" t="str">
        <f>+VLOOKUP(PROVEEDORES[[#This Row],[PROVEEDOR]],TERCEROS_INFO[[PROVEEDOR]:[CORREO]],5,FALSE)</f>
        <v>criszapata1234@gmail.com;girlesa.ruiz@servipilas.com;joriescobar64@gmail.com</v>
      </c>
      <c r="G642" s="111">
        <v>44558</v>
      </c>
      <c r="H642" s="31" t="s">
        <v>78</v>
      </c>
      <c r="I642" s="111">
        <v>44414</v>
      </c>
      <c r="J642" s="48" t="s">
        <v>462</v>
      </c>
      <c r="K642" s="26">
        <v>927733</v>
      </c>
      <c r="L642" s="26"/>
      <c r="M642" s="27">
        <v>176269.27</v>
      </c>
      <c r="N642" s="28"/>
      <c r="O642" s="27">
        <v>0</v>
      </c>
      <c r="P642" s="28">
        <v>0</v>
      </c>
      <c r="Q642" s="27">
        <v>0</v>
      </c>
      <c r="R642" s="26">
        <v>1104002.27</v>
      </c>
      <c r="S642" s="115">
        <f ca="1">IF(PROVEEDORES[[#This Row],[FECHA DE PAGO]]=0,TODAY()-PROVEEDORES[[#This Row],[FECHA DE FACTURACIÓN]]-PROVEEDORES[[#This Row],[PLAZO Días]],0)</f>
        <v>0</v>
      </c>
      <c r="T6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3" spans="1:20" ht="21.9" customHeight="1" x14ac:dyDescent="0.3">
      <c r="A643" s="113" t="str">
        <f>+IF(PROVEEDORES[[#This Row],[FECHA DE PAGO]]=PROVEEDORES[[#This Row],[FECHA DE FACTURACIÓN]],"DE CONTADO","CRÉDITO")</f>
        <v>DE CONTADO</v>
      </c>
      <c r="B643" s="51" t="b">
        <f>+IF((PROVEEDORES[[#This Row],[FECHA DE PAGO]]-PROVEEDORES[[#This Row],[FECHA DE FACTURACIÓN]])&gt;PROVEEDORES[[#This Row],[PLAZO Días]],"PAGO VENCIDO")</f>
        <v>0</v>
      </c>
      <c r="C643" s="25">
        <f>+VLOOKUP(PROVEEDORES[[#This Row],[PROVEEDOR]],TERCEROS_INFO[#All],2,FALSE)</f>
        <v>30</v>
      </c>
      <c r="D643" s="30">
        <f>+SUMIFS(PROVEEDORES[Total],PROVEEDORES[PROVEEDOR],PROVEEDORES[[#This Row],[PROVEEDOR]],PROVEEDORES[FECHA DE PAGO],"")</f>
        <v>0</v>
      </c>
      <c r="E643" s="30"/>
      <c r="F643" s="73" t="str">
        <f>+VLOOKUP(PROVEEDORES[[#This Row],[PROVEEDOR]],TERCEROS_INFO[[PROVEEDOR]:[CORREO]],5,FALSE)</f>
        <v/>
      </c>
      <c r="G643" s="111">
        <v>44414</v>
      </c>
      <c r="H643" s="31" t="s">
        <v>1052</v>
      </c>
      <c r="I643" s="111">
        <v>44414</v>
      </c>
      <c r="J643" s="48"/>
      <c r="K643" s="26">
        <v>1000000</v>
      </c>
      <c r="L643" s="26"/>
      <c r="M643" s="27">
        <v>0</v>
      </c>
      <c r="N643" s="28"/>
      <c r="O643" s="27">
        <v>0</v>
      </c>
      <c r="P643" s="28">
        <v>0</v>
      </c>
      <c r="Q643" s="27">
        <v>0</v>
      </c>
      <c r="R643" s="26">
        <v>1000000</v>
      </c>
      <c r="S643" s="115">
        <f ca="1">IF(PROVEEDORES[[#This Row],[FECHA DE PAGO]]=0,TODAY()-PROVEEDORES[[#This Row],[FECHA DE FACTURACIÓN]]-PROVEEDORES[[#This Row],[PLAZO Días]],0)</f>
        <v>0</v>
      </c>
      <c r="T6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4" spans="1:20" ht="21.9" customHeight="1" x14ac:dyDescent="0.3">
      <c r="A644" s="113" t="str">
        <f>+IF(PROVEEDORES[[#This Row],[FECHA DE PAGO]]=PROVEEDORES[[#This Row],[FECHA DE FACTURACIÓN]],"DE CONTADO","CRÉDITO")</f>
        <v>CRÉDITO</v>
      </c>
      <c r="B644" s="51" t="b">
        <f>+IF((PROVEEDORES[[#This Row],[FECHA DE PAGO]]-PROVEEDORES[[#This Row],[FECHA DE FACTURACIÓN]])&gt;PROVEEDORES[[#This Row],[PLAZO Días]],"PAGO VENCIDO")</f>
        <v>0</v>
      </c>
      <c r="C644" s="25">
        <f>+VLOOKUP(PROVEEDORES[[#This Row],[PROVEEDOR]],TERCEROS_INFO[#All],2,FALSE)</f>
        <v>30</v>
      </c>
      <c r="D644" s="30">
        <f>+SUMIFS(PROVEEDORES[Total],PROVEEDORES[PROVEEDOR],PROVEEDORES[[#This Row],[PROVEEDOR]],PROVEEDORES[FECHA DE PAGO],"")</f>
        <v>0</v>
      </c>
      <c r="E644" s="30"/>
      <c r="F644" s="73" t="str">
        <f>+VLOOKUP(PROVEEDORES[[#This Row],[PROVEEDOR]],TERCEROS_INFO[[PROVEEDOR]:[CORREO]],5,FALSE)</f>
        <v/>
      </c>
      <c r="G644" s="111">
        <v>44417</v>
      </c>
      <c r="H644" s="31" t="s">
        <v>1075</v>
      </c>
      <c r="I644" s="111">
        <v>44414</v>
      </c>
      <c r="J644" s="48">
        <v>309339</v>
      </c>
      <c r="K644" s="26">
        <v>1250840</v>
      </c>
      <c r="L644" s="26"/>
      <c r="M644" s="27">
        <v>0</v>
      </c>
      <c r="N644" s="28"/>
      <c r="O644" s="27">
        <v>0</v>
      </c>
      <c r="P644" s="28">
        <v>0</v>
      </c>
      <c r="Q644" s="27">
        <v>0</v>
      </c>
      <c r="R644" s="26">
        <v>1250840</v>
      </c>
      <c r="S644" s="115">
        <f ca="1">IF(PROVEEDORES[[#This Row],[FECHA DE PAGO]]=0,TODAY()-PROVEEDORES[[#This Row],[FECHA DE FACTURACIÓN]]-PROVEEDORES[[#This Row],[PLAZO Días]],0)</f>
        <v>0</v>
      </c>
      <c r="T64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5" spans="1:20" ht="21.9" customHeight="1" x14ac:dyDescent="0.3">
      <c r="A645" s="113" t="str">
        <f>+IF(PROVEEDORES[[#This Row],[FECHA DE PAGO]]=PROVEEDORES[[#This Row],[FECHA DE FACTURACIÓN]],"DE CONTADO","CRÉDITO")</f>
        <v>CRÉDITO</v>
      </c>
      <c r="B645" s="51" t="str">
        <f>+IF((PROVEEDORES[[#This Row],[FECHA DE PAGO]]-PROVEEDORES[[#This Row],[FECHA DE FACTURACIÓN]])&gt;PROVEEDORES[[#This Row],[PLAZO Días]],"PAGO VENCIDO")</f>
        <v>PAGO VENCIDO</v>
      </c>
      <c r="C645" s="25">
        <f>+VLOOKUP(PROVEEDORES[[#This Row],[PROVEEDOR]],TERCEROS_INFO[#All],2,FALSE)</f>
        <v>30</v>
      </c>
      <c r="D645" s="30">
        <f>+SUMIFS(PROVEEDORES[Total],PROVEEDORES[PROVEEDOR],PROVEEDORES[[#This Row],[PROVEEDOR]],PROVEEDORES[FECHA DE PAGO],"")</f>
        <v>0</v>
      </c>
      <c r="E645" s="30"/>
      <c r="F645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645" s="111">
        <v>44461</v>
      </c>
      <c r="H645" s="31" t="s">
        <v>514</v>
      </c>
      <c r="I645" s="111">
        <v>44414</v>
      </c>
      <c r="J645" s="48" t="s">
        <v>465</v>
      </c>
      <c r="K645" s="26">
        <v>1545262</v>
      </c>
      <c r="L645" s="26"/>
      <c r="M645" s="27">
        <v>293599.78000000003</v>
      </c>
      <c r="N645" s="28"/>
      <c r="O645" s="27">
        <v>0</v>
      </c>
      <c r="P645" s="28">
        <v>0</v>
      </c>
      <c r="Q645" s="27">
        <v>0</v>
      </c>
      <c r="R645" s="26">
        <v>1838861.78</v>
      </c>
      <c r="S645" s="115">
        <f ca="1">IF(PROVEEDORES[[#This Row],[FECHA DE PAGO]]=0,TODAY()-PROVEEDORES[[#This Row],[FECHA DE FACTURACIÓN]]-PROVEEDORES[[#This Row],[PLAZO Días]],0)</f>
        <v>0</v>
      </c>
      <c r="T6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6" spans="1:20" ht="21.9" customHeight="1" x14ac:dyDescent="0.3">
      <c r="A646" s="113" t="str">
        <f>+IF(PROVEEDORES[[#This Row],[FECHA DE PAGO]]=PROVEEDORES[[#This Row],[FECHA DE FACTURACIÓN]],"DE CONTADO","CRÉDITO")</f>
        <v>CRÉDITO</v>
      </c>
      <c r="B646" s="51" t="b">
        <f>+IF((PROVEEDORES[[#This Row],[FECHA DE PAGO]]-PROVEEDORES[[#This Row],[FECHA DE FACTURACIÓN]])&gt;PROVEEDORES[[#This Row],[PLAZO Días]],"PAGO VENCIDO")</f>
        <v>0</v>
      </c>
      <c r="C646" s="25">
        <f>+VLOOKUP(PROVEEDORES[[#This Row],[PROVEEDOR]],TERCEROS_INFO[#All],2,FALSE)</f>
        <v>30</v>
      </c>
      <c r="D646" s="30">
        <f>+SUMIFS(PROVEEDORES[Total],PROVEEDORES[PROVEEDOR],PROVEEDORES[[#This Row],[PROVEEDOR]],PROVEEDORES[FECHA DE PAGO],"")</f>
        <v>0</v>
      </c>
      <c r="E646" s="30"/>
      <c r="F646" s="73" t="str">
        <f>+VLOOKUP(PROVEEDORES[[#This Row],[PROVEEDOR]],TERCEROS_INFO[[PROVEEDOR]:[CORREO]],5,FALSE)</f>
        <v/>
      </c>
      <c r="G646" s="111">
        <v>44413</v>
      </c>
      <c r="H646" s="31" t="s">
        <v>1007</v>
      </c>
      <c r="I646" s="111">
        <v>44414</v>
      </c>
      <c r="J646" s="48" t="s">
        <v>783</v>
      </c>
      <c r="K646" s="26">
        <v>1758000</v>
      </c>
      <c r="L646" s="26"/>
      <c r="M646" s="27">
        <v>0</v>
      </c>
      <c r="N646" s="28"/>
      <c r="O646" s="27">
        <v>0</v>
      </c>
      <c r="P646" s="28">
        <v>0</v>
      </c>
      <c r="Q646" s="27">
        <v>0</v>
      </c>
      <c r="R646" s="26">
        <v>1758000</v>
      </c>
      <c r="S646" s="115">
        <f ca="1">IF(PROVEEDORES[[#This Row],[FECHA DE PAGO]]=0,TODAY()-PROVEEDORES[[#This Row],[FECHA DE FACTURACIÓN]]-PROVEEDORES[[#This Row],[PLAZO Días]],0)</f>
        <v>0</v>
      </c>
      <c r="T64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7" spans="1:20" ht="21.9" customHeight="1" x14ac:dyDescent="0.3">
      <c r="A647" s="113" t="str">
        <f>+IF(PROVEEDORES[[#This Row],[FECHA DE PAGO]]=PROVEEDORES[[#This Row],[FECHA DE FACTURACIÓN]],"DE CONTADO","CRÉDITO")</f>
        <v>CRÉDITO</v>
      </c>
      <c r="B647" s="51" t="str">
        <f>+IF((PROVEEDORES[[#This Row],[FECHA DE PAGO]]-PROVEEDORES[[#This Row],[FECHA DE FACTURACIÓN]])&gt;PROVEEDORES[[#This Row],[PLAZO Días]],"PAGO VENCIDO")</f>
        <v>PAGO VENCIDO</v>
      </c>
      <c r="C647" s="25">
        <f>+VLOOKUP(PROVEEDORES[[#This Row],[PROVEEDOR]],TERCEROS_INFO[#All],2,FALSE)</f>
        <v>30</v>
      </c>
      <c r="D647" s="30">
        <f>+SUMIFS(PROVEEDORES[Total],PROVEEDORES[PROVEEDOR],PROVEEDORES[[#This Row],[PROVEEDOR]],PROVEEDORES[FECHA DE PAGO],"")</f>
        <v>0</v>
      </c>
      <c r="E647" s="30"/>
      <c r="F647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647" s="111">
        <v>44473</v>
      </c>
      <c r="H647" s="31" t="s">
        <v>514</v>
      </c>
      <c r="I647" s="111">
        <v>44414</v>
      </c>
      <c r="J647" s="48" t="s">
        <v>466</v>
      </c>
      <c r="K647" s="26">
        <v>6178310</v>
      </c>
      <c r="L647" s="26"/>
      <c r="M647" s="27">
        <v>1173878.8999999999</v>
      </c>
      <c r="N647" s="28"/>
      <c r="O647" s="27">
        <v>0</v>
      </c>
      <c r="P647" s="28">
        <v>0</v>
      </c>
      <c r="Q647" s="27">
        <v>0</v>
      </c>
      <c r="R647" s="26">
        <v>7352188.9000000004</v>
      </c>
      <c r="S647" s="115">
        <f ca="1">IF(PROVEEDORES[[#This Row],[FECHA DE PAGO]]=0,TODAY()-PROVEEDORES[[#This Row],[FECHA DE FACTURACIÓN]]-PROVEEDORES[[#This Row],[PLAZO Días]],0)</f>
        <v>0</v>
      </c>
      <c r="T64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8" spans="1:20" ht="21.9" customHeight="1" x14ac:dyDescent="0.3">
      <c r="A648" s="113" t="str">
        <f>+IF(PROVEEDORES[[#This Row],[FECHA DE PAGO]]=PROVEEDORES[[#This Row],[FECHA DE FACTURACIÓN]],"DE CONTADO","CRÉDITO")</f>
        <v>CRÉDITO</v>
      </c>
      <c r="B648" s="51" t="str">
        <f>+IF((PROVEEDORES[[#This Row],[FECHA DE PAGO]]-PROVEEDORES[[#This Row],[FECHA DE FACTURACIÓN]])&gt;PROVEEDORES[[#This Row],[PLAZO Días]],"PAGO VENCIDO")</f>
        <v>PAGO VENCIDO</v>
      </c>
      <c r="C648" s="25">
        <f>+VLOOKUP(PROVEEDORES[[#This Row],[PROVEEDOR]],TERCEROS_INFO[#All],2,FALSE)</f>
        <v>90</v>
      </c>
      <c r="D648" s="30">
        <f>+SUMIFS(PROVEEDORES[Total],PROVEEDORES[PROVEEDOR],PROVEEDORES[[#This Row],[PROVEEDOR]],PROVEEDORES[FECHA DE PAGO],"")</f>
        <v>24974028.109999996</v>
      </c>
      <c r="E648" s="30"/>
      <c r="F648" s="73" t="str">
        <f>+VLOOKUP(PROVEEDORES[[#This Row],[PROVEEDOR]],TERCEROS_INFO[[PROVEEDOR]:[CORREO]],5,FALSE)</f>
        <v>criszapata1234@gmail.com;girlesa.ruiz@servipilas.com;joriescobar64@gmail.com</v>
      </c>
      <c r="G648" s="111">
        <v>44533</v>
      </c>
      <c r="H648" s="31" t="s">
        <v>78</v>
      </c>
      <c r="I648" s="111">
        <v>44414</v>
      </c>
      <c r="J648" s="48" t="s">
        <v>461</v>
      </c>
      <c r="K648" s="26">
        <v>16113446</v>
      </c>
      <c r="L648" s="26"/>
      <c r="M648" s="27">
        <v>3061554.74</v>
      </c>
      <c r="N648" s="28"/>
      <c r="O648" s="27">
        <v>0</v>
      </c>
      <c r="P648" s="28">
        <v>2.5000000000000001E-2</v>
      </c>
      <c r="Q648" s="27">
        <v>402836.15</v>
      </c>
      <c r="R648" s="26">
        <v>18772164.590000004</v>
      </c>
      <c r="S648" s="115">
        <f ca="1">IF(PROVEEDORES[[#This Row],[FECHA DE PAGO]]=0,TODAY()-PROVEEDORES[[#This Row],[FECHA DE FACTURACIÓN]]-PROVEEDORES[[#This Row],[PLAZO Días]],0)</f>
        <v>0</v>
      </c>
      <c r="T6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49" spans="1:20" ht="21.9" customHeight="1" x14ac:dyDescent="0.3">
      <c r="A649" s="113" t="str">
        <f>+IF(PROVEEDORES[[#This Row],[FECHA DE PAGO]]=PROVEEDORES[[#This Row],[FECHA DE FACTURACIÓN]],"DE CONTADO","CRÉDITO")</f>
        <v>CRÉDITO</v>
      </c>
      <c r="B649" s="51" t="str">
        <f>+IF((PROVEEDORES[[#This Row],[FECHA DE PAGO]]-PROVEEDORES[[#This Row],[FECHA DE FACTURACIÓN]])&gt;PROVEEDORES[[#This Row],[PLAZO Días]],"PAGO VENCIDO")</f>
        <v>PAGO VENCIDO</v>
      </c>
      <c r="C649" s="25">
        <f>+VLOOKUP(PROVEEDORES[[#This Row],[PROVEEDOR]],TERCEROS_INFO[#All],2,FALSE)</f>
        <v>30</v>
      </c>
      <c r="D649" s="30">
        <f>+SUMIFS(PROVEEDORES[Total],PROVEEDORES[PROVEEDOR],PROVEEDORES[[#This Row],[PROVEEDOR]],PROVEEDORES[FECHA DE PAGO],"")</f>
        <v>0</v>
      </c>
      <c r="E649" s="30"/>
      <c r="F649" s="73" t="str">
        <f>+VLOOKUP(PROVEEDORES[[#This Row],[PROVEEDOR]],TERCEROS_INFO[[PROVEEDOR]:[CORREO]],5,FALSE)</f>
        <v>??;girlesa.ruiz@servipilas.com;joriescobar64@gmail.com</v>
      </c>
      <c r="G649" s="111">
        <v>44484</v>
      </c>
      <c r="H649" s="31" t="s">
        <v>1084</v>
      </c>
      <c r="I649" s="111">
        <v>44416</v>
      </c>
      <c r="J649" s="48" t="s">
        <v>785</v>
      </c>
      <c r="K649" s="26">
        <v>420000</v>
      </c>
      <c r="L649" s="26"/>
      <c r="M649" s="27">
        <v>0</v>
      </c>
      <c r="N649" s="28"/>
      <c r="O649" s="27">
        <v>0</v>
      </c>
      <c r="P649" s="28">
        <v>0</v>
      </c>
      <c r="Q649" s="27">
        <v>0</v>
      </c>
      <c r="R649" s="26">
        <v>-144891</v>
      </c>
      <c r="S649" s="115">
        <f ca="1">IF(PROVEEDORES[[#This Row],[FECHA DE PAGO]]=0,TODAY()-PROVEEDORES[[#This Row],[FECHA DE FACTURACIÓN]]-PROVEEDORES[[#This Row],[PLAZO Días]],0)</f>
        <v>0</v>
      </c>
      <c r="T64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0" spans="1:20" ht="21.9" customHeight="1" x14ac:dyDescent="0.3">
      <c r="A650" s="113" t="str">
        <f>+IF(PROVEEDORES[[#This Row],[FECHA DE PAGO]]=PROVEEDORES[[#This Row],[FECHA DE FACTURACIÓN]],"DE CONTADO","CRÉDITO")</f>
        <v>CRÉDITO</v>
      </c>
      <c r="B650" s="51" t="str">
        <f>+IF((PROVEEDORES[[#This Row],[FECHA DE PAGO]]-PROVEEDORES[[#This Row],[FECHA DE FACTURACIÓN]])&gt;PROVEEDORES[[#This Row],[PLAZO Días]],"PAGO VENCIDO")</f>
        <v>PAGO VENCIDO</v>
      </c>
      <c r="C650" s="25">
        <f>+VLOOKUP(PROVEEDORES[[#This Row],[PROVEEDOR]],TERCEROS_INFO[#All],2,FALSE)</f>
        <v>30</v>
      </c>
      <c r="D650" s="30">
        <f>+SUMIFS(PROVEEDORES[Total],PROVEEDORES[PROVEEDOR],PROVEEDORES[[#This Row],[PROVEEDOR]],PROVEEDORES[FECHA DE PAGO],"")</f>
        <v>4078650.6</v>
      </c>
      <c r="E650" s="30"/>
      <c r="F650" s="73" t="str">
        <f>+VLOOKUP(PROVEEDORES[[#This Row],[PROVEEDOR]],TERCEROS_INFO[[PROVEEDOR]:[CORREO]],5,FALSE)</f>
        <v>financiera@nalpicentral.com;girlesa.ruiz@servipilas.com;joriescobar64@gmail.com</v>
      </c>
      <c r="G650" s="111">
        <v>44452</v>
      </c>
      <c r="H650" s="31" t="s">
        <v>1095</v>
      </c>
      <c r="I650" s="111">
        <v>44417</v>
      </c>
      <c r="J650" s="48">
        <v>22029</v>
      </c>
      <c r="K650" s="26">
        <v>384000</v>
      </c>
      <c r="L650" s="26"/>
      <c r="M650" s="27">
        <v>72960</v>
      </c>
      <c r="N650" s="28"/>
      <c r="O650" s="27">
        <v>0</v>
      </c>
      <c r="P650" s="28">
        <v>0</v>
      </c>
      <c r="Q650" s="27">
        <v>0</v>
      </c>
      <c r="R650" s="26">
        <v>456960</v>
      </c>
      <c r="S650" s="115">
        <f ca="1">IF(PROVEEDORES[[#This Row],[FECHA DE PAGO]]=0,TODAY()-PROVEEDORES[[#This Row],[FECHA DE FACTURACIÓN]]-PROVEEDORES[[#This Row],[PLAZO Días]],0)</f>
        <v>0</v>
      </c>
      <c r="T65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1" spans="1:20" ht="21.9" customHeight="1" x14ac:dyDescent="0.3">
      <c r="A651" s="113" t="str">
        <f>+IF(PROVEEDORES[[#This Row],[FECHA DE PAGO]]=PROVEEDORES[[#This Row],[FECHA DE FACTURACIÓN]],"DE CONTADO","CRÉDITO")</f>
        <v>CRÉDITO</v>
      </c>
      <c r="B651" s="51" t="str">
        <f>+IF((PROVEEDORES[[#This Row],[FECHA DE PAGO]]-PROVEEDORES[[#This Row],[FECHA DE FACTURACIÓN]])&gt;PROVEEDORES[[#This Row],[PLAZO Días]],"PAGO VENCIDO")</f>
        <v>PAGO VENCIDO</v>
      </c>
      <c r="C651" s="25">
        <f>+VLOOKUP(PROVEEDORES[[#This Row],[PROVEEDOR]],TERCEROS_INFO[#All],2,FALSE)</f>
        <v>30</v>
      </c>
      <c r="D651" s="30">
        <f>+SUMIFS(PROVEEDORES[Total],PROVEEDORES[PROVEEDOR],PROVEEDORES[[#This Row],[PROVEEDOR]],PROVEEDORES[FECHA DE PAGO],"")</f>
        <v>1119790</v>
      </c>
      <c r="E651" s="30"/>
      <c r="F651" s="73" t="str">
        <f>+VLOOKUP(PROVEEDORES[[#This Row],[PROVEEDOR]],TERCEROS_INFO[[PROVEEDOR]:[CORREO]],5,FALSE)</f>
        <v>MVALENCIA@mps.com.co;girlesa.ruiz@servipilas.com;joriescobar64@gmail.com</v>
      </c>
      <c r="G651" s="111">
        <v>44452</v>
      </c>
      <c r="H651" s="31" t="s">
        <v>17</v>
      </c>
      <c r="I651" s="111">
        <v>44417</v>
      </c>
      <c r="J651" s="48">
        <v>1797734</v>
      </c>
      <c r="K651" s="26">
        <v>630150</v>
      </c>
      <c r="L651" s="26"/>
      <c r="M651" s="27">
        <v>119728.5</v>
      </c>
      <c r="N651" s="28"/>
      <c r="O651" s="27">
        <v>0</v>
      </c>
      <c r="P651" s="28">
        <v>0</v>
      </c>
      <c r="Q651" s="27">
        <v>0</v>
      </c>
      <c r="R651" s="26">
        <v>749878.5</v>
      </c>
      <c r="S651" s="115">
        <f ca="1">IF(PROVEEDORES[[#This Row],[FECHA DE PAGO]]=0,TODAY()-PROVEEDORES[[#This Row],[FECHA DE FACTURACIÓN]]-PROVEEDORES[[#This Row],[PLAZO Días]],0)</f>
        <v>0</v>
      </c>
      <c r="T65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2" spans="1:20" ht="21.9" customHeight="1" x14ac:dyDescent="0.3">
      <c r="A652" s="113" t="str">
        <f>+IF(PROVEEDORES[[#This Row],[FECHA DE PAGO]]=PROVEEDORES[[#This Row],[FECHA DE FACTURACIÓN]],"DE CONTADO","CRÉDITO")</f>
        <v>DE CONTADO</v>
      </c>
      <c r="B652" s="51" t="b">
        <f>+IF((PROVEEDORES[[#This Row],[FECHA DE PAGO]]-PROVEEDORES[[#This Row],[FECHA DE FACTURACIÓN]])&gt;PROVEEDORES[[#This Row],[PLAZO Días]],"PAGO VENCIDO")</f>
        <v>0</v>
      </c>
      <c r="C652" s="25">
        <f>+VLOOKUP(PROVEEDORES[[#This Row],[PROVEEDOR]],TERCEROS_INFO[#All],2,FALSE)</f>
        <v>30</v>
      </c>
      <c r="D652" s="30">
        <f>+SUMIFS(PROVEEDORES[Total],PROVEEDORES[PROVEEDOR],PROVEEDORES[[#This Row],[PROVEEDOR]],PROVEEDORES[FECHA DE PAGO],"")</f>
        <v>0</v>
      </c>
      <c r="E652" s="30"/>
      <c r="F652" s="73" t="str">
        <f>+VLOOKUP(PROVEEDORES[[#This Row],[PROVEEDOR]],TERCEROS_INFO[[PROVEEDOR]:[CORREO]],5,FALSE)</f>
        <v/>
      </c>
      <c r="G652" s="111">
        <v>44417</v>
      </c>
      <c r="H652" s="31" t="s">
        <v>46</v>
      </c>
      <c r="I652" s="111">
        <v>44417</v>
      </c>
      <c r="J652" s="48" t="s">
        <v>458</v>
      </c>
      <c r="K652" s="26">
        <v>772893</v>
      </c>
      <c r="L652" s="26"/>
      <c r="M652" s="27">
        <v>146849.67000000001</v>
      </c>
      <c r="N652" s="28"/>
      <c r="O652" s="27">
        <v>0</v>
      </c>
      <c r="P652" s="28">
        <v>0</v>
      </c>
      <c r="Q652" s="27">
        <v>0</v>
      </c>
      <c r="R652" s="26">
        <v>919742.67</v>
      </c>
      <c r="S652" s="115">
        <f ca="1">IF(PROVEEDORES[[#This Row],[FECHA DE PAGO]]=0,TODAY()-PROVEEDORES[[#This Row],[FECHA DE FACTURACIÓN]]-PROVEEDORES[[#This Row],[PLAZO Días]],0)</f>
        <v>0</v>
      </c>
      <c r="T6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3" spans="1:20" ht="21.9" customHeight="1" x14ac:dyDescent="0.3">
      <c r="A653" s="113" t="str">
        <f>+IF(PROVEEDORES[[#This Row],[FECHA DE PAGO]]=PROVEEDORES[[#This Row],[FECHA DE FACTURACIÓN]],"DE CONTADO","CRÉDITO")</f>
        <v>CRÉDITO</v>
      </c>
      <c r="B653" s="51" t="str">
        <f>+IF((PROVEEDORES[[#This Row],[FECHA DE PAGO]]-PROVEEDORES[[#This Row],[FECHA DE FACTURACIÓN]])&gt;PROVEEDORES[[#This Row],[PLAZO Días]],"PAGO VENCIDO")</f>
        <v>PAGO VENCIDO</v>
      </c>
      <c r="C653" s="25">
        <f>+VLOOKUP(PROVEEDORES[[#This Row],[PROVEEDOR]],TERCEROS_INFO[#All],2,FALSE)</f>
        <v>30</v>
      </c>
      <c r="D653" s="30">
        <f>+SUMIFS(PROVEEDORES[Total],PROVEEDORES[PROVEEDOR],PROVEEDORES[[#This Row],[PROVEEDOR]],PROVEEDORES[FECHA DE PAGO],"")</f>
        <v>3406</v>
      </c>
      <c r="E653" s="30"/>
      <c r="F653" s="73" t="str">
        <f>+VLOOKUP(PROVEEDORES[[#This Row],[PROVEEDOR]],TERCEROS_INFO[[PROVEEDOR]:[CORREO]],5,FALSE)</f>
        <v>ventas@ismartsas.com;girlesa.ruiz@servipilas.com;joriescobar64@gmail.com</v>
      </c>
      <c r="G653" s="111">
        <v>44452</v>
      </c>
      <c r="H653" s="31" t="s">
        <v>48</v>
      </c>
      <c r="I653" s="111">
        <v>44417</v>
      </c>
      <c r="J653" s="48">
        <v>30483</v>
      </c>
      <c r="K653" s="26">
        <v>1054338</v>
      </c>
      <c r="L653" s="26"/>
      <c r="M653" s="27">
        <v>200324.22</v>
      </c>
      <c r="N653" s="28"/>
      <c r="O653" s="27">
        <v>0</v>
      </c>
      <c r="P653" s="28">
        <v>2.5000000000000001E-2</v>
      </c>
      <c r="Q653" s="27">
        <v>26358.45</v>
      </c>
      <c r="R653" s="26">
        <v>1228303.77</v>
      </c>
      <c r="S653" s="115">
        <f ca="1">IF(PROVEEDORES[[#This Row],[FECHA DE PAGO]]=0,TODAY()-PROVEEDORES[[#This Row],[FECHA DE FACTURACIÓN]]-PROVEEDORES[[#This Row],[PLAZO Días]],0)</f>
        <v>0</v>
      </c>
      <c r="T65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4" spans="1:20" ht="21.9" customHeight="1" x14ac:dyDescent="0.3">
      <c r="A654" s="113" t="str">
        <f>+IF(PROVEEDORES[[#This Row],[FECHA DE PAGO]]=PROVEEDORES[[#This Row],[FECHA DE FACTURACIÓN]],"DE CONTADO","CRÉDITO")</f>
        <v>CRÉDITO</v>
      </c>
      <c r="B654" s="51" t="str">
        <f>+IF((PROVEEDORES[[#This Row],[FECHA DE PAGO]]-PROVEEDORES[[#This Row],[FECHA DE FACTURACIÓN]])&gt;PROVEEDORES[[#This Row],[PLAZO Días]],"PAGO VENCIDO")</f>
        <v>PAGO VENCIDO</v>
      </c>
      <c r="C654" s="25">
        <f>+VLOOKUP(PROVEEDORES[[#This Row],[PROVEEDOR]],TERCEROS_INFO[#All],2,FALSE)</f>
        <v>30</v>
      </c>
      <c r="D654" s="30">
        <f>+SUMIFS(PROVEEDORES[Total],PROVEEDORES[PROVEEDOR],PROVEEDORES[[#This Row],[PROVEEDOR]],PROVEEDORES[FECHA DE PAGO],"")</f>
        <v>3355018.0749999997</v>
      </c>
      <c r="E654" s="30"/>
      <c r="F654" s="73" t="str">
        <f>+VLOOKUP(PROVEEDORES[[#This Row],[PROVEEDOR]],TERCEROS_INFO[[PROVEEDOR]:[CORREO]],5,FALSE)</f>
        <v>yermingg@hotmail.com;girlesa.ruiz@servipilas.com;joriescobar64@gmail.com</v>
      </c>
      <c r="G654" s="111">
        <v>44452</v>
      </c>
      <c r="H654" s="31" t="s">
        <v>224</v>
      </c>
      <c r="I654" s="111">
        <v>44419</v>
      </c>
      <c r="J654" s="48">
        <v>345</v>
      </c>
      <c r="K654" s="26">
        <v>435294</v>
      </c>
      <c r="L654" s="26"/>
      <c r="M654" s="27">
        <v>82705.86</v>
      </c>
      <c r="N654" s="28"/>
      <c r="O654" s="27">
        <v>0</v>
      </c>
      <c r="P654" s="28">
        <v>0</v>
      </c>
      <c r="Q654" s="27">
        <v>0</v>
      </c>
      <c r="R654" s="26">
        <v>517999.86</v>
      </c>
      <c r="S654" s="115">
        <f ca="1">IF(PROVEEDORES[[#This Row],[FECHA DE PAGO]]=0,TODAY()-PROVEEDORES[[#This Row],[FECHA DE FACTURACIÓN]]-PROVEEDORES[[#This Row],[PLAZO Días]],0)</f>
        <v>0</v>
      </c>
      <c r="T6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5" spans="1:20" ht="21.9" customHeight="1" x14ac:dyDescent="0.3">
      <c r="A655" s="113" t="str">
        <f>+IF(PROVEEDORES[[#This Row],[FECHA DE PAGO]]=PROVEEDORES[[#This Row],[FECHA DE FACTURACIÓN]],"DE CONTADO","CRÉDITO")</f>
        <v>CRÉDITO</v>
      </c>
      <c r="B655" s="51" t="b">
        <f>+IF((PROVEEDORES[[#This Row],[FECHA DE PAGO]]-PROVEEDORES[[#This Row],[FECHA DE FACTURACIÓN]])&gt;PROVEEDORES[[#This Row],[PLAZO Días]],"PAGO VENCIDO")</f>
        <v>0</v>
      </c>
      <c r="C655" s="25">
        <f>+VLOOKUP(PROVEEDORES[[#This Row],[PROVEEDOR]],TERCEROS_INFO[#All],2,FALSE)</f>
        <v>30</v>
      </c>
      <c r="D655" s="30">
        <f>+SUMIFS(PROVEEDORES[Total],PROVEEDORES[PROVEEDOR],PROVEEDORES[[#This Row],[PROVEEDOR]],PROVEEDORES[FECHA DE PAGO],"")</f>
        <v>0</v>
      </c>
      <c r="E655" s="30"/>
      <c r="F655" s="73" t="str">
        <f>+VLOOKUP(PROVEEDORES[[#This Row],[PROVEEDOR]],TERCEROS_INFO[[PROVEEDOR]:[CORREO]],5,FALSE)</f>
        <v>yermingg@hotmail.com;girlesa.ruiz@servipilas.com;joriescobar64@gmail.com</v>
      </c>
      <c r="G655" s="111">
        <v>44442</v>
      </c>
      <c r="H655" s="31" t="s">
        <v>1085</v>
      </c>
      <c r="I655" s="111">
        <v>44420</v>
      </c>
      <c r="J655" s="48" t="s">
        <v>787</v>
      </c>
      <c r="K655" s="26">
        <v>-48000</v>
      </c>
      <c r="L655" s="26"/>
      <c r="M655" s="27">
        <v>0</v>
      </c>
      <c r="N655" s="28"/>
      <c r="O655" s="27">
        <v>0</v>
      </c>
      <c r="P655" s="28">
        <v>0</v>
      </c>
      <c r="Q655" s="27">
        <v>0</v>
      </c>
      <c r="R655" s="26">
        <v>-48000</v>
      </c>
      <c r="S655" s="115">
        <f ca="1">IF(PROVEEDORES[[#This Row],[FECHA DE PAGO]]=0,TODAY()-PROVEEDORES[[#This Row],[FECHA DE FACTURACIÓN]]-PROVEEDORES[[#This Row],[PLAZO Días]],0)</f>
        <v>0</v>
      </c>
      <c r="T6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6" spans="1:20" ht="21.9" customHeight="1" x14ac:dyDescent="0.3">
      <c r="A656" s="113" t="str">
        <f>+IF(PROVEEDORES[[#This Row],[FECHA DE PAGO]]=PROVEEDORES[[#This Row],[FECHA DE FACTURACIÓN]],"DE CONTADO","CRÉDITO")</f>
        <v>CRÉDITO</v>
      </c>
      <c r="B656" s="51" t="str">
        <f>+IF((PROVEEDORES[[#This Row],[FECHA DE PAGO]]-PROVEEDORES[[#This Row],[FECHA DE FACTURACIÓN]])&gt;PROVEEDORES[[#This Row],[PLAZO Días]],"PAGO VENCIDO")</f>
        <v>PAGO VENCIDO</v>
      </c>
      <c r="C656" s="25">
        <f>+VLOOKUP(PROVEEDORES[[#This Row],[PROVEEDOR]],TERCEROS_INFO[#All],2,FALSE)</f>
        <v>30</v>
      </c>
      <c r="D656" s="30">
        <f>+SUMIFS(PROVEEDORES[Total],PROVEEDORES[PROVEEDOR],PROVEEDORES[[#This Row],[PROVEEDOR]],PROVEEDORES[FECHA DE PAGO],"")</f>
        <v>2719966.6375000002</v>
      </c>
      <c r="E656" s="30"/>
      <c r="F656" s="73" t="str">
        <f>+VLOOKUP(PROVEEDORES[[#This Row],[PROVEEDOR]],TERCEROS_INFO[[PROVEEDOR]:[CORREO]],5,FALSE)</f>
        <v>aleja-1305agudelo@hotmail.com;provecol@une.net.co;girlesa.ruiz@servipilas.com;joriescobar64@gmail.com</v>
      </c>
      <c r="G656" s="111">
        <v>44452</v>
      </c>
      <c r="H656" s="31" t="s">
        <v>460</v>
      </c>
      <c r="I656" s="111">
        <v>44420</v>
      </c>
      <c r="J656" s="48" t="s">
        <v>524</v>
      </c>
      <c r="K656" s="26">
        <v>149794.67500000002</v>
      </c>
      <c r="L656" s="26"/>
      <c r="M656" s="27">
        <v>0</v>
      </c>
      <c r="N656" s="28"/>
      <c r="O656" s="27">
        <v>0</v>
      </c>
      <c r="P656" s="28">
        <v>0</v>
      </c>
      <c r="Q656" s="27">
        <v>0</v>
      </c>
      <c r="R656" s="26">
        <v>149794.67500000002</v>
      </c>
      <c r="S656" s="115">
        <f ca="1">IF(PROVEEDORES[[#This Row],[FECHA DE PAGO]]=0,TODAY()-PROVEEDORES[[#This Row],[FECHA DE FACTURACIÓN]]-PROVEEDORES[[#This Row],[PLAZO Días]],0)</f>
        <v>0</v>
      </c>
      <c r="T65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7" spans="1:20" ht="21.9" customHeight="1" x14ac:dyDescent="0.3">
      <c r="A657" s="113" t="str">
        <f>+IF(PROVEEDORES[[#This Row],[FECHA DE PAGO]]=PROVEEDORES[[#This Row],[FECHA DE FACTURACIÓN]],"DE CONTADO","CRÉDITO")</f>
        <v>CRÉDITO</v>
      </c>
      <c r="B657" s="51" t="str">
        <f>+IF((PROVEEDORES[[#This Row],[FECHA DE PAGO]]-PROVEEDORES[[#This Row],[FECHA DE FACTURACIÓN]])&gt;PROVEEDORES[[#This Row],[PLAZO Días]],"PAGO VENCIDO")</f>
        <v>PAGO VENCIDO</v>
      </c>
      <c r="C657" s="25">
        <f>+VLOOKUP(PROVEEDORES[[#This Row],[PROVEEDOR]],TERCEROS_INFO[#All],2,FALSE)</f>
        <v>90</v>
      </c>
      <c r="D657" s="30">
        <f>+SUMIFS(PROVEEDORES[Total],PROVEEDORES[PROVEEDOR],PROVEEDORES[[#This Row],[PROVEEDOR]],PROVEEDORES[FECHA DE PAGO],"")</f>
        <v>26364243.66155</v>
      </c>
      <c r="E657" s="30"/>
      <c r="F657" s="73" t="str">
        <f>+VLOOKUP(PROVEEDORES[[#This Row],[PROVEEDOR]],TERCEROS_INFO[[PROVEEDOR]:[CORREO]],5,FALSE)</f>
        <v>javiergomez_72@hotmail.com ;girlesa.ruiz@servipilas.com;joriescobar64@gmail.com</v>
      </c>
      <c r="G657" s="111">
        <v>44517</v>
      </c>
      <c r="H657" s="31" t="s">
        <v>12</v>
      </c>
      <c r="I657" s="111">
        <v>44420</v>
      </c>
      <c r="J657" s="48" t="s">
        <v>477</v>
      </c>
      <c r="K657" s="26">
        <v>1086554</v>
      </c>
      <c r="L657" s="26"/>
      <c r="M657" s="27">
        <v>206445.26</v>
      </c>
      <c r="N657" s="28"/>
      <c r="O657" s="27">
        <v>0</v>
      </c>
      <c r="P657" s="28">
        <v>2.5000000000000001E-2</v>
      </c>
      <c r="Q657" s="27">
        <v>27163.850000000002</v>
      </c>
      <c r="R657" s="26">
        <v>1265835.4099999999</v>
      </c>
      <c r="S657" s="115">
        <f ca="1">IF(PROVEEDORES[[#This Row],[FECHA DE PAGO]]=0,TODAY()-PROVEEDORES[[#This Row],[FECHA DE FACTURACIÓN]]-PROVEEDORES[[#This Row],[PLAZO Días]],0)</f>
        <v>0</v>
      </c>
      <c r="T65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8" spans="1:20" ht="21.9" customHeight="1" x14ac:dyDescent="0.3">
      <c r="A658" s="113" t="str">
        <f>+IF(PROVEEDORES[[#This Row],[FECHA DE PAGO]]=PROVEEDORES[[#This Row],[FECHA DE FACTURACIÓN]],"DE CONTADO","CRÉDITO")</f>
        <v>CRÉDITO</v>
      </c>
      <c r="B658" s="51" t="str">
        <f>+IF((PROVEEDORES[[#This Row],[FECHA DE PAGO]]-PROVEEDORES[[#This Row],[FECHA DE FACTURACIÓN]])&gt;PROVEEDORES[[#This Row],[PLAZO Días]],"PAGO VENCIDO")</f>
        <v>PAGO VENCIDO</v>
      </c>
      <c r="C658" s="25">
        <f>+VLOOKUP(PROVEEDORES[[#This Row],[PROVEEDOR]],TERCEROS_INFO[#All],2,FALSE)</f>
        <v>30</v>
      </c>
      <c r="D658" s="30">
        <f>+SUMIFS(PROVEEDORES[Total],PROVEEDORES[PROVEEDOR],PROVEEDORES[[#This Row],[PROVEEDOR]],PROVEEDORES[FECHA DE PAGO],"")</f>
        <v>2324514.0150000001</v>
      </c>
      <c r="E658" s="30"/>
      <c r="F658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658" s="111">
        <v>44485</v>
      </c>
      <c r="H658" s="31" t="s">
        <v>24</v>
      </c>
      <c r="I658" s="111">
        <v>44420</v>
      </c>
      <c r="J658" s="48" t="s">
        <v>464</v>
      </c>
      <c r="K658" s="26">
        <v>1162100</v>
      </c>
      <c r="L658" s="26"/>
      <c r="M658" s="27">
        <v>220799</v>
      </c>
      <c r="N658" s="28"/>
      <c r="O658" s="27">
        <v>0</v>
      </c>
      <c r="P658" s="28">
        <v>2.5000000000000001E-2</v>
      </c>
      <c r="Q658" s="27">
        <v>29052.5</v>
      </c>
      <c r="R658" s="26">
        <v>1353846.5</v>
      </c>
      <c r="S658" s="115">
        <f ca="1">IF(PROVEEDORES[[#This Row],[FECHA DE PAGO]]=0,TODAY()-PROVEEDORES[[#This Row],[FECHA DE FACTURACIÓN]]-PROVEEDORES[[#This Row],[PLAZO Días]],0)</f>
        <v>0</v>
      </c>
      <c r="T65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59" spans="1:20" ht="21.9" customHeight="1" x14ac:dyDescent="0.3">
      <c r="A659" s="113" t="str">
        <f>+IF(PROVEEDORES[[#This Row],[FECHA DE PAGO]]=PROVEEDORES[[#This Row],[FECHA DE FACTURACIÓN]],"DE CONTADO","CRÉDITO")</f>
        <v>CRÉDITO</v>
      </c>
      <c r="B659" s="51" t="str">
        <f>+IF((PROVEEDORES[[#This Row],[FECHA DE PAGO]]-PROVEEDORES[[#This Row],[FECHA DE FACTURACIÓN]])&gt;PROVEEDORES[[#This Row],[PLAZO Días]],"PAGO VENCIDO")</f>
        <v>PAGO VENCIDO</v>
      </c>
      <c r="C659" s="25">
        <f>+VLOOKUP(PROVEEDORES[[#This Row],[PROVEEDOR]],TERCEROS_INFO[#All],2,FALSE)</f>
        <v>30</v>
      </c>
      <c r="D659" s="30">
        <f>+SUMIFS(PROVEEDORES[Total],PROVEEDORES[PROVEEDOR],PROVEEDORES[[#This Row],[PROVEEDOR]],PROVEEDORES[FECHA DE PAGO],"")</f>
        <v>3400186.8245000001</v>
      </c>
      <c r="E659" s="30"/>
      <c r="F659" s="73" t="str">
        <f>+VLOOKUP(PROVEEDORES[[#This Row],[PROVEEDOR]],TERCEROS_INFO[[PROVEEDOR]:[CORREO]],5,FALSE)</f>
        <v>contabilidad@amgimportadora.com;mcastellanos@amgimportadora.com;girlesa.ruiz@servipilas.com;joriescobar64@gmail.com</v>
      </c>
      <c r="G659" s="111">
        <v>44459</v>
      </c>
      <c r="H659" s="31" t="s">
        <v>20</v>
      </c>
      <c r="I659" s="111">
        <v>44420</v>
      </c>
      <c r="J659" s="48">
        <v>4816</v>
      </c>
      <c r="K659" s="26">
        <v>2010280</v>
      </c>
      <c r="L659" s="26"/>
      <c r="M659" s="27">
        <v>381953.2</v>
      </c>
      <c r="N659" s="28"/>
      <c r="O659" s="27">
        <v>0</v>
      </c>
      <c r="P659" s="28">
        <v>2.5000000000000001E-2</v>
      </c>
      <c r="Q659" s="27">
        <v>50257</v>
      </c>
      <c r="R659" s="26">
        <v>2341976.2000000002</v>
      </c>
      <c r="S659" s="115">
        <f ca="1">IF(PROVEEDORES[[#This Row],[FECHA DE PAGO]]=0,TODAY()-PROVEEDORES[[#This Row],[FECHA DE FACTURACIÓN]]-PROVEEDORES[[#This Row],[PLAZO Días]],0)</f>
        <v>0</v>
      </c>
      <c r="T6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0" spans="1:20" ht="21.9" customHeight="1" x14ac:dyDescent="0.3">
      <c r="A660" s="113" t="str">
        <f>+IF(PROVEEDORES[[#This Row],[FECHA DE PAGO]]=PROVEEDORES[[#This Row],[FECHA DE FACTURACIÓN]],"DE CONTADO","CRÉDITO")</f>
        <v>CRÉDITO</v>
      </c>
      <c r="B660" s="51" t="str">
        <f>+IF((PROVEEDORES[[#This Row],[FECHA DE PAGO]]-PROVEEDORES[[#This Row],[FECHA DE FACTURACIÓN]])&gt;PROVEEDORES[[#This Row],[PLAZO Días]],"PAGO VENCIDO")</f>
        <v>PAGO VENCIDO</v>
      </c>
      <c r="C660" s="25">
        <f>+VLOOKUP(PROVEEDORES[[#This Row],[PROVEEDOR]],TERCEROS_INFO[#All],2,FALSE)</f>
        <v>30</v>
      </c>
      <c r="D660" s="30">
        <f>+SUMIFS(PROVEEDORES[Total],PROVEEDORES[PROVEEDOR],PROVEEDORES[[#This Row],[PROVEEDOR]],PROVEEDORES[FECHA DE PAGO],"")</f>
        <v>0</v>
      </c>
      <c r="E660" s="30"/>
      <c r="F660" s="73" t="str">
        <f>+VLOOKUP(PROVEEDORES[[#This Row],[PROVEEDOR]],TERCEROS_INFO[[PROVEEDOR]:[CORREO]],5,FALSE)</f>
        <v>variedades.sfg@gmail.com;girlesa.ruiz@servipilas.com;joriescobar64@gmail.com</v>
      </c>
      <c r="G660" s="111">
        <v>44494</v>
      </c>
      <c r="H660" s="31" t="s">
        <v>988</v>
      </c>
      <c r="I660" s="111">
        <v>44420</v>
      </c>
      <c r="J660" s="48" t="s">
        <v>786</v>
      </c>
      <c r="K660" s="26">
        <v>2195400</v>
      </c>
      <c r="L660" s="26"/>
      <c r="M660" s="27">
        <v>0</v>
      </c>
      <c r="N660" s="28"/>
      <c r="O660" s="27">
        <v>0</v>
      </c>
      <c r="P660" s="28">
        <v>0</v>
      </c>
      <c r="Q660" s="27">
        <v>0</v>
      </c>
      <c r="R660" s="26">
        <v>2195400</v>
      </c>
      <c r="S660" s="115">
        <f ca="1">IF(PROVEEDORES[[#This Row],[FECHA DE PAGO]]=0,TODAY()-PROVEEDORES[[#This Row],[FECHA DE FACTURACIÓN]]-PROVEEDORES[[#This Row],[PLAZO Días]],0)</f>
        <v>0</v>
      </c>
      <c r="T66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1" spans="1:20" ht="21.9" customHeight="1" x14ac:dyDescent="0.3">
      <c r="A661" s="113" t="str">
        <f>+IF(PROVEEDORES[[#This Row],[FECHA DE PAGO]]=PROVEEDORES[[#This Row],[FECHA DE FACTURACIÓN]],"DE CONTADO","CRÉDITO")</f>
        <v>DE CONTADO</v>
      </c>
      <c r="B661" s="51" t="b">
        <f>+IF((PROVEEDORES[[#This Row],[FECHA DE PAGO]]-PROVEEDORES[[#This Row],[FECHA DE FACTURACIÓN]])&gt;PROVEEDORES[[#This Row],[PLAZO Días]],"PAGO VENCIDO")</f>
        <v>0</v>
      </c>
      <c r="C661" s="25">
        <f>+VLOOKUP(PROVEEDORES[[#This Row],[PROVEEDOR]],TERCEROS_INFO[#All],2,FALSE)</f>
        <v>30</v>
      </c>
      <c r="D661" s="30">
        <f>+SUMIFS(PROVEEDORES[Total],PROVEEDORES[PROVEEDOR],PROVEEDORES[[#This Row],[PROVEEDOR]],PROVEEDORES[FECHA DE PAGO],"")</f>
        <v>2719966.6375000002</v>
      </c>
      <c r="E661" s="30"/>
      <c r="F661" s="73" t="str">
        <f>+VLOOKUP(PROVEEDORES[[#This Row],[PROVEEDOR]],TERCEROS_INFO[[PROVEEDOR]:[CORREO]],5,FALSE)</f>
        <v>aleja-1305agudelo@hotmail.com;provecol@une.net.co;girlesa.ruiz@servipilas.com;joriescobar64@gmail.com</v>
      </c>
      <c r="G661" s="111">
        <v>44420</v>
      </c>
      <c r="H661" s="31" t="s">
        <v>460</v>
      </c>
      <c r="I661" s="111">
        <v>44420</v>
      </c>
      <c r="J661" s="48">
        <v>129428</v>
      </c>
      <c r="K661" s="26">
        <v>6870528</v>
      </c>
      <c r="L661" s="26">
        <v>878741</v>
      </c>
      <c r="M661" s="27">
        <v>1138439.53</v>
      </c>
      <c r="N661" s="28"/>
      <c r="O661" s="27">
        <v>0</v>
      </c>
      <c r="P661" s="28">
        <v>0</v>
      </c>
      <c r="Q661" s="27">
        <v>149794.67500000002</v>
      </c>
      <c r="R661" s="26">
        <v>6980431.8550000004</v>
      </c>
      <c r="S661" s="115">
        <f ca="1">IF(PROVEEDORES[[#This Row],[FECHA DE PAGO]]=0,TODAY()-PROVEEDORES[[#This Row],[FECHA DE FACTURACIÓN]]-PROVEEDORES[[#This Row],[PLAZO Días]],0)</f>
        <v>0</v>
      </c>
      <c r="T66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2" spans="1:20" ht="21.9" customHeight="1" x14ac:dyDescent="0.3">
      <c r="A662" s="113" t="str">
        <f>+IF(PROVEEDORES[[#This Row],[FECHA DE PAGO]]=PROVEEDORES[[#This Row],[FECHA DE FACTURACIÓN]],"DE CONTADO","CRÉDITO")</f>
        <v>CRÉDITO</v>
      </c>
      <c r="B662" s="51" t="b">
        <f>+IF((PROVEEDORES[[#This Row],[FECHA DE PAGO]]-PROVEEDORES[[#This Row],[FECHA DE FACTURACIÓN]])&gt;PROVEEDORES[[#This Row],[PLAZO Días]],"PAGO VENCIDO")</f>
        <v>0</v>
      </c>
      <c r="C662" s="25">
        <f>+VLOOKUP(PROVEEDORES[[#This Row],[PROVEEDOR]],TERCEROS_INFO[#All],2,FALSE)</f>
        <v>10</v>
      </c>
      <c r="D662" s="30">
        <f>+SUMIFS(PROVEEDORES[Total],PROVEEDORES[PROVEEDOR],PROVEEDORES[[#This Row],[PROVEEDOR]],PROVEEDORES[FECHA DE PAGO],"")</f>
        <v>0</v>
      </c>
      <c r="E662" s="30"/>
      <c r="F662" s="73" t="str">
        <f>+VLOOKUP(PROVEEDORES[[#This Row],[PROVEEDOR]],TERCEROS_INFO[[PROVEEDOR]:[CORREO]],5,FALSE)</f>
        <v>carterabogota@aintercarga.com;girlesa.ruiz@servipilas.com;joriescobar64@gmail.com</v>
      </c>
      <c r="G662" s="111">
        <v>44426</v>
      </c>
      <c r="H662" s="31" t="s">
        <v>472</v>
      </c>
      <c r="I662" s="111">
        <v>44421</v>
      </c>
      <c r="J662" s="48" t="s">
        <v>473</v>
      </c>
      <c r="K662" s="26">
        <v>195000</v>
      </c>
      <c r="L662" s="26"/>
      <c r="M662" s="27">
        <v>37050</v>
      </c>
      <c r="N662" s="28"/>
      <c r="O662" s="27">
        <v>0</v>
      </c>
      <c r="P662" s="28">
        <v>0</v>
      </c>
      <c r="Q662" s="27">
        <v>0</v>
      </c>
      <c r="R662" s="26">
        <v>232050</v>
      </c>
      <c r="S662" s="115">
        <f ca="1">IF(PROVEEDORES[[#This Row],[FECHA DE PAGO]]=0,TODAY()-PROVEEDORES[[#This Row],[FECHA DE FACTURACIÓN]]-PROVEEDORES[[#This Row],[PLAZO Días]],0)</f>
        <v>0</v>
      </c>
      <c r="T6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3" spans="1:20" ht="21.9" customHeight="1" x14ac:dyDescent="0.3">
      <c r="A663" s="113" t="str">
        <f>+IF(PROVEEDORES[[#This Row],[FECHA DE PAGO]]=PROVEEDORES[[#This Row],[FECHA DE FACTURACIÓN]],"DE CONTADO","CRÉDITO")</f>
        <v>CRÉDITO</v>
      </c>
      <c r="B663" s="51" t="str">
        <f>+IF((PROVEEDORES[[#This Row],[FECHA DE PAGO]]-PROVEEDORES[[#This Row],[FECHA DE FACTURACIÓN]])&gt;PROVEEDORES[[#This Row],[PLAZO Días]],"PAGO VENCIDO")</f>
        <v>PAGO VENCIDO</v>
      </c>
      <c r="C663" s="25">
        <f>+VLOOKUP(PROVEEDORES[[#This Row],[PROVEEDOR]],TERCEROS_INFO[#All],2,FALSE)</f>
        <v>30</v>
      </c>
      <c r="D663" s="30">
        <f>+SUMIFS(PROVEEDORES[Total],PROVEEDORES[PROVEEDOR],PROVEEDORES[[#This Row],[PROVEEDOR]],PROVEEDORES[FECHA DE PAGO],"")</f>
        <v>1451823</v>
      </c>
      <c r="E663" s="30"/>
      <c r="F663" s="73" t="str">
        <f>+VLOOKUP(PROVEEDORES[[#This Row],[PROVEEDOR]],TERCEROS_INFO[[PROVEEDOR]:[CORREO]],5,FALSE)</f>
        <v>cartera@ienewline.com;andres.arroyave@ienewline.com;girlesa.ruiz@servipilas.com;joriescobar64@gmail.com</v>
      </c>
      <c r="G663" s="111">
        <v>44459</v>
      </c>
      <c r="H663" s="31" t="s">
        <v>1131</v>
      </c>
      <c r="I663" s="111">
        <v>44421</v>
      </c>
      <c r="J663" s="48">
        <v>20899</v>
      </c>
      <c r="K663" s="26">
        <v>3552000</v>
      </c>
      <c r="L663" s="26"/>
      <c r="M663" s="27">
        <v>674880</v>
      </c>
      <c r="N663" s="28"/>
      <c r="O663" s="27">
        <v>0</v>
      </c>
      <c r="P663" s="28">
        <v>2.5000000000000001E-2</v>
      </c>
      <c r="Q663" s="27">
        <v>88800</v>
      </c>
      <c r="R663" s="26">
        <v>4138080</v>
      </c>
      <c r="S663" s="115">
        <f ca="1">IF(PROVEEDORES[[#This Row],[FECHA DE PAGO]]=0,TODAY()-PROVEEDORES[[#This Row],[FECHA DE FACTURACIÓN]]-PROVEEDORES[[#This Row],[PLAZO Días]],0)</f>
        <v>0</v>
      </c>
      <c r="T6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4" spans="1:20" ht="21.9" customHeight="1" x14ac:dyDescent="0.3">
      <c r="A664" s="113" t="str">
        <f>+IF(PROVEEDORES[[#This Row],[FECHA DE PAGO]]=PROVEEDORES[[#This Row],[FECHA DE FACTURACIÓN]],"DE CONTADO","CRÉDITO")</f>
        <v>DE CONTADO</v>
      </c>
      <c r="B664" s="51" t="b">
        <f>+IF((PROVEEDORES[[#This Row],[FECHA DE PAGO]]-PROVEEDORES[[#This Row],[FECHA DE FACTURACIÓN]])&gt;PROVEEDORES[[#This Row],[PLAZO Días]],"PAGO VENCIDO")</f>
        <v>0</v>
      </c>
      <c r="C664" s="25">
        <f>+VLOOKUP(PROVEEDORES[[#This Row],[PROVEEDOR]],TERCEROS_INFO[#All],2,FALSE)</f>
        <v>30</v>
      </c>
      <c r="D664" s="30">
        <f>+SUMIFS(PROVEEDORES[Total],PROVEEDORES[PROVEEDOR],PROVEEDORES[[#This Row],[PROVEEDOR]],PROVEEDORES[FECHA DE PAGO],"")</f>
        <v>0</v>
      </c>
      <c r="E664" s="30"/>
      <c r="F664" s="73" t="str">
        <f>+VLOOKUP(PROVEEDORES[[#This Row],[PROVEEDOR]],TERCEROS_INFO[[PROVEEDOR]:[CORREO]],5,FALSE)</f>
        <v/>
      </c>
      <c r="G664" s="111">
        <v>44422</v>
      </c>
      <c r="H664" s="31" t="s">
        <v>1052</v>
      </c>
      <c r="I664" s="111">
        <v>44422</v>
      </c>
      <c r="J664" s="48"/>
      <c r="K664" s="26">
        <v>836000</v>
      </c>
      <c r="L664" s="26"/>
      <c r="M664" s="27">
        <v>0</v>
      </c>
      <c r="N664" s="28"/>
      <c r="O664" s="27">
        <v>0</v>
      </c>
      <c r="P664" s="28">
        <v>0</v>
      </c>
      <c r="Q664" s="27">
        <v>0</v>
      </c>
      <c r="R664" s="26">
        <v>836000</v>
      </c>
      <c r="S664" s="115">
        <f ca="1">IF(PROVEEDORES[[#This Row],[FECHA DE PAGO]]=0,TODAY()-PROVEEDORES[[#This Row],[FECHA DE FACTURACIÓN]]-PROVEEDORES[[#This Row],[PLAZO Días]],0)</f>
        <v>0</v>
      </c>
      <c r="T6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5" spans="1:20" ht="21.9" customHeight="1" x14ac:dyDescent="0.3">
      <c r="A665" s="113" t="str">
        <f>+IF(PROVEEDORES[[#This Row],[FECHA DE PAGO]]=PROVEEDORES[[#This Row],[FECHA DE FACTURACIÓN]],"DE CONTADO","CRÉDITO")</f>
        <v>CRÉDITO</v>
      </c>
      <c r="B665" s="51" t="b">
        <f>+IF((PROVEEDORES[[#This Row],[FECHA DE PAGO]]-PROVEEDORES[[#This Row],[FECHA DE FACTURACIÓN]])&gt;PROVEEDORES[[#This Row],[PLAZO Días]],"PAGO VENCIDO")</f>
        <v>0</v>
      </c>
      <c r="C665" s="25">
        <f>+VLOOKUP(PROVEEDORES[[#This Row],[PROVEEDOR]],TERCEROS_INFO[#All],2,FALSE)</f>
        <v>30</v>
      </c>
      <c r="D665" s="30">
        <f>+SUMIFS(PROVEEDORES[Total],PROVEEDORES[PROVEEDOR],PROVEEDORES[[#This Row],[PROVEEDOR]],PROVEEDORES[FECHA DE PAGO],"")</f>
        <v>0</v>
      </c>
      <c r="E665" s="30"/>
      <c r="F665" s="73" t="str">
        <f>+VLOOKUP(PROVEEDORES[[#This Row],[PROVEEDOR]],TERCEROS_INFO[[PROVEEDOR]:[CORREO]],5,FALSE)</f>
        <v/>
      </c>
      <c r="G665" s="111">
        <v>44428</v>
      </c>
      <c r="H665" s="31" t="s">
        <v>1081</v>
      </c>
      <c r="I665" s="111">
        <v>44423</v>
      </c>
      <c r="J665" s="48" t="s">
        <v>788</v>
      </c>
      <c r="K665" s="26">
        <v>1026700</v>
      </c>
      <c r="L665" s="26"/>
      <c r="M665" s="27">
        <v>0</v>
      </c>
      <c r="N665" s="28"/>
      <c r="O665" s="27">
        <v>0</v>
      </c>
      <c r="P665" s="28">
        <v>0</v>
      </c>
      <c r="Q665" s="27">
        <v>0</v>
      </c>
      <c r="R665" s="26">
        <v>1026700</v>
      </c>
      <c r="S665" s="115">
        <f ca="1">IF(PROVEEDORES[[#This Row],[FECHA DE PAGO]]=0,TODAY()-PROVEEDORES[[#This Row],[FECHA DE FACTURACIÓN]]-PROVEEDORES[[#This Row],[PLAZO Días]],0)</f>
        <v>0</v>
      </c>
      <c r="T6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6" spans="1:20" ht="21.9" customHeight="1" x14ac:dyDescent="0.3">
      <c r="A666" s="113" t="str">
        <f>+IF(PROVEEDORES[[#This Row],[FECHA DE PAGO]]=PROVEEDORES[[#This Row],[FECHA DE FACTURACIÓN]],"DE CONTADO","CRÉDITO")</f>
        <v>CRÉDITO</v>
      </c>
      <c r="B666" s="51" t="b">
        <f>+IF((PROVEEDORES[[#This Row],[FECHA DE PAGO]]-PROVEEDORES[[#This Row],[FECHA DE FACTURACIÓN]])&gt;PROVEEDORES[[#This Row],[PLAZO Días]],"PAGO VENCIDO")</f>
        <v>0</v>
      </c>
      <c r="C666" s="25">
        <f>+VLOOKUP(PROVEEDORES[[#This Row],[PROVEEDOR]],TERCEROS_INFO[#All],2,FALSE)</f>
        <v>30</v>
      </c>
      <c r="D666" s="30">
        <f>+SUMIFS(PROVEEDORES[Total],PROVEEDORES[PROVEEDOR],PROVEEDORES[[#This Row],[PROVEEDOR]],PROVEEDORES[FECHA DE PAGO],"")</f>
        <v>-417303</v>
      </c>
      <c r="E666" s="30"/>
      <c r="F666" s="73" t="str">
        <f>+VLOOKUP(PROVEEDORES[[#This Row],[PROVEEDOR]],TERCEROS_INFO[[PROVEEDOR]:[CORREO]],5,FALSE)</f>
        <v>wruiz@tsqsa.com;venta1@disuiza.com;girlesa.ruiz@servipilas.com;joriescobar64@gmail.com</v>
      </c>
      <c r="H666" s="31" t="s">
        <v>80</v>
      </c>
      <c r="I666" s="111">
        <v>44425</v>
      </c>
      <c r="J666" s="48" t="s">
        <v>505</v>
      </c>
      <c r="K666" s="26">
        <v>-358200</v>
      </c>
      <c r="L666" s="26"/>
      <c r="M666" s="27">
        <v>-68058</v>
      </c>
      <c r="N666" s="28"/>
      <c r="O666" s="27">
        <v>0</v>
      </c>
      <c r="P666" s="28">
        <v>2.5000000000000001E-2</v>
      </c>
      <c r="Q666" s="27">
        <v>-8955</v>
      </c>
      <c r="R666" s="26">
        <v>-417303</v>
      </c>
      <c r="S666" s="115">
        <f ca="1">IF(PROVEEDORES[[#This Row],[FECHA DE PAGO]]=0,TODAY()-PROVEEDORES[[#This Row],[FECHA DE FACTURACIÓN]]-PROVEEDORES[[#This Row],[PLAZO Días]],0)</f>
        <v>213</v>
      </c>
      <c r="T666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667" spans="1:20" ht="21.9" customHeight="1" x14ac:dyDescent="0.3">
      <c r="A667" s="113" t="str">
        <f>+IF(PROVEEDORES[[#This Row],[FECHA DE PAGO]]=PROVEEDORES[[#This Row],[FECHA DE FACTURACIÓN]],"DE CONTADO","CRÉDITO")</f>
        <v>DE CONTADO</v>
      </c>
      <c r="B667" s="51" t="b">
        <f>+IF((PROVEEDORES[[#This Row],[FECHA DE PAGO]]-PROVEEDORES[[#This Row],[FECHA DE FACTURACIÓN]])&gt;PROVEEDORES[[#This Row],[PLAZO Días]],"PAGO VENCIDO")</f>
        <v>0</v>
      </c>
      <c r="C667" s="25">
        <f>+VLOOKUP(PROVEEDORES[[#This Row],[PROVEEDOR]],TERCEROS_INFO[#All],2,FALSE)</f>
        <v>30</v>
      </c>
      <c r="D667" s="30">
        <f>+SUMIFS(PROVEEDORES[Total],PROVEEDORES[PROVEEDOR],PROVEEDORES[[#This Row],[PROVEEDOR]],PROVEEDORES[FECHA DE PAGO],"")</f>
        <v>0</v>
      </c>
      <c r="E667" s="30"/>
      <c r="F667" s="73" t="str">
        <f>+VLOOKUP(PROVEEDORES[[#This Row],[PROVEEDOR]],TERCEROS_INFO[[PROVEEDOR]:[CORREO]],5,FALSE)</f>
        <v/>
      </c>
      <c r="G667" s="111">
        <v>44425</v>
      </c>
      <c r="H667" s="31" t="s">
        <v>1016</v>
      </c>
      <c r="I667" s="111">
        <v>44425</v>
      </c>
      <c r="J667" s="48" t="s">
        <v>790</v>
      </c>
      <c r="K667" s="26">
        <v>180050</v>
      </c>
      <c r="L667" s="26"/>
      <c r="M667" s="27">
        <v>0</v>
      </c>
      <c r="N667" s="28"/>
      <c r="O667" s="27">
        <v>0</v>
      </c>
      <c r="P667" s="28">
        <v>0</v>
      </c>
      <c r="Q667" s="27">
        <v>0</v>
      </c>
      <c r="R667" s="26">
        <v>180050</v>
      </c>
      <c r="S667" s="115">
        <f ca="1">IF(PROVEEDORES[[#This Row],[FECHA DE PAGO]]=0,TODAY()-PROVEEDORES[[#This Row],[FECHA DE FACTURACIÓN]]-PROVEEDORES[[#This Row],[PLAZO Días]],0)</f>
        <v>0</v>
      </c>
      <c r="T6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8" spans="1:20" ht="21.9" customHeight="1" x14ac:dyDescent="0.3">
      <c r="A668" s="113" t="str">
        <f>+IF(PROVEEDORES[[#This Row],[FECHA DE PAGO]]=PROVEEDORES[[#This Row],[FECHA DE FACTURACIÓN]],"DE CONTADO","CRÉDITO")</f>
        <v>CRÉDITO</v>
      </c>
      <c r="B668" s="51" t="str">
        <f>+IF((PROVEEDORES[[#This Row],[FECHA DE PAGO]]-PROVEEDORES[[#This Row],[FECHA DE FACTURACIÓN]])&gt;PROVEEDORES[[#This Row],[PLAZO Días]],"PAGO VENCIDO")</f>
        <v>PAGO VENCIDO</v>
      </c>
      <c r="C668" s="25">
        <f>+VLOOKUP(PROVEEDORES[[#This Row],[PROVEEDOR]],TERCEROS_INFO[#All],2,FALSE)</f>
        <v>30</v>
      </c>
      <c r="D668" s="30">
        <f>+SUMIFS(PROVEEDORES[Total],PROVEEDORES[PROVEEDOR],PROVEEDORES[[#This Row],[PROVEEDOR]],PROVEEDORES[FECHA DE PAGO],"")</f>
        <v>0</v>
      </c>
      <c r="E668" s="30"/>
      <c r="F668" s="73" t="str">
        <f>+VLOOKUP(PROVEEDORES[[#This Row],[PROVEEDOR]],TERCEROS_INFO[[PROVEEDOR]:[CORREO]],5,FALSE)</f>
        <v>cxc11@unitecusa.com.co;jefecartera@unitecusa.com.co;girlesa.ruiz@servipilas.com;joriescobar64@gmail.com</v>
      </c>
      <c r="G668" s="111">
        <v>44461</v>
      </c>
      <c r="H668" s="31" t="s">
        <v>14</v>
      </c>
      <c r="I668" s="111">
        <v>44425</v>
      </c>
      <c r="J668" s="48" t="s">
        <v>490</v>
      </c>
      <c r="K668" s="26">
        <v>398992</v>
      </c>
      <c r="L668" s="26"/>
      <c r="M668" s="27">
        <v>75808.479999999996</v>
      </c>
      <c r="N668" s="28"/>
      <c r="O668" s="27">
        <v>0</v>
      </c>
      <c r="P668" s="28">
        <v>0</v>
      </c>
      <c r="Q668" s="27">
        <v>0</v>
      </c>
      <c r="R668" s="26">
        <v>474800.48</v>
      </c>
      <c r="S668" s="115">
        <f ca="1">IF(PROVEEDORES[[#This Row],[FECHA DE PAGO]]=0,TODAY()-PROVEEDORES[[#This Row],[FECHA DE FACTURACIÓN]]-PROVEEDORES[[#This Row],[PLAZO Días]],0)</f>
        <v>0</v>
      </c>
      <c r="T6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69" spans="1:20" ht="21.9" customHeight="1" x14ac:dyDescent="0.3">
      <c r="A669" s="113" t="str">
        <f>+IF(PROVEEDORES[[#This Row],[FECHA DE PAGO]]=PROVEEDORES[[#This Row],[FECHA DE FACTURACIÓN]],"DE CONTADO","CRÉDITO")</f>
        <v>CRÉDITO</v>
      </c>
      <c r="B669" s="51" t="b">
        <f>+IF((PROVEEDORES[[#This Row],[FECHA DE PAGO]]-PROVEEDORES[[#This Row],[FECHA DE FACTURACIÓN]])&gt;PROVEEDORES[[#This Row],[PLAZO Días]],"PAGO VENCIDO")</f>
        <v>0</v>
      </c>
      <c r="C669" s="25">
        <f>+VLOOKUP(PROVEEDORES[[#This Row],[PROVEEDOR]],TERCEROS_INFO[#All],2,FALSE)</f>
        <v>30</v>
      </c>
      <c r="D669" s="30">
        <f>+SUMIFS(PROVEEDORES[Total],PROVEEDORES[PROVEEDOR],PROVEEDORES[[#This Row],[PROVEEDOR]],PROVEEDORES[FECHA DE PAGO],"")</f>
        <v>148000</v>
      </c>
      <c r="E669" s="30"/>
      <c r="F669" s="73" t="str">
        <f>+VLOOKUP(PROVEEDORES[[#This Row],[PROVEEDOR]],TERCEROS_INFO[[PROVEEDOR]:[CORREO]],5,FALSE)</f>
        <v>jarlysas@gmail.com;o.clockinternational@gmail.com;girlesa.ruiz@servipilas.com;joriescobar64@gmail.com</v>
      </c>
      <c r="G669" s="111">
        <v>44414</v>
      </c>
      <c r="H669" s="31" t="s">
        <v>1048</v>
      </c>
      <c r="I669" s="111">
        <v>44425</v>
      </c>
      <c r="J669" s="48" t="s">
        <v>791</v>
      </c>
      <c r="K669" s="26">
        <v>488000</v>
      </c>
      <c r="L669" s="26"/>
      <c r="M669" s="27">
        <v>0</v>
      </c>
      <c r="N669" s="28"/>
      <c r="O669" s="27">
        <v>0</v>
      </c>
      <c r="P669" s="28">
        <v>0</v>
      </c>
      <c r="Q669" s="27">
        <v>0</v>
      </c>
      <c r="R669" s="26">
        <v>488000</v>
      </c>
      <c r="S669" s="115">
        <f ca="1">IF(PROVEEDORES[[#This Row],[FECHA DE PAGO]]=0,TODAY()-PROVEEDORES[[#This Row],[FECHA DE FACTURACIÓN]]-PROVEEDORES[[#This Row],[PLAZO Días]],0)</f>
        <v>0</v>
      </c>
      <c r="T66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0" spans="1:20" ht="21.9" customHeight="1" x14ac:dyDescent="0.3">
      <c r="A670" s="113" t="str">
        <f>+IF(PROVEEDORES[[#This Row],[FECHA DE PAGO]]=PROVEEDORES[[#This Row],[FECHA DE FACTURACIÓN]],"DE CONTADO","CRÉDITO")</f>
        <v>CRÉDITO</v>
      </c>
      <c r="B670" s="51" t="b">
        <f>+IF((PROVEEDORES[[#This Row],[FECHA DE PAGO]]-PROVEEDORES[[#This Row],[FECHA DE FACTURACIÓN]])&gt;PROVEEDORES[[#This Row],[PLAZO Días]],"PAGO VENCIDO")</f>
        <v>0</v>
      </c>
      <c r="C670" s="25">
        <f>+VLOOKUP(PROVEEDORES[[#This Row],[PROVEEDOR]],TERCEROS_INFO[#All],2,FALSE)</f>
        <v>30</v>
      </c>
      <c r="D670" s="30">
        <f>+SUMIFS(PROVEEDORES[Total],PROVEEDORES[PROVEEDOR],PROVEEDORES[[#This Row],[PROVEEDOR]],PROVEEDORES[FECHA DE PAGO],"")</f>
        <v>0</v>
      </c>
      <c r="E670" s="30"/>
      <c r="F670" s="73" t="str">
        <f>+VLOOKUP(PROVEEDORES[[#This Row],[PROVEEDOR]],TERCEROS_INFO[[PROVEEDOR]:[CORREO]],5,FALSE)</f>
        <v>lpena@tbplusenergy.com;girlesa.ruiz@servipilas.com;joriescobar64@gmail.com</v>
      </c>
      <c r="G670" s="111">
        <v>44426</v>
      </c>
      <c r="H670" s="31" t="s">
        <v>474</v>
      </c>
      <c r="I670" s="111">
        <v>44425</v>
      </c>
      <c r="J670" s="48">
        <v>10348</v>
      </c>
      <c r="K670" s="26">
        <v>630000</v>
      </c>
      <c r="L670" s="26"/>
      <c r="M670" s="27">
        <v>119700</v>
      </c>
      <c r="N670" s="28"/>
      <c r="O670" s="27">
        <v>0</v>
      </c>
      <c r="P670" s="28">
        <v>0</v>
      </c>
      <c r="Q670" s="27">
        <v>0</v>
      </c>
      <c r="R670" s="26">
        <v>749700</v>
      </c>
      <c r="S670" s="115">
        <f ca="1">IF(PROVEEDORES[[#This Row],[FECHA DE PAGO]]=0,TODAY()-PROVEEDORES[[#This Row],[FECHA DE FACTURACIÓN]]-PROVEEDORES[[#This Row],[PLAZO Días]],0)</f>
        <v>0</v>
      </c>
      <c r="T67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1" spans="1:20" ht="21.9" customHeight="1" x14ac:dyDescent="0.3">
      <c r="A671" s="113" t="str">
        <f>+IF(PROVEEDORES[[#This Row],[FECHA DE PAGO]]=PROVEEDORES[[#This Row],[FECHA DE FACTURACIÓN]],"DE CONTADO","CRÉDITO")</f>
        <v>CRÉDITO</v>
      </c>
      <c r="B671" s="51" t="str">
        <f>+IF((PROVEEDORES[[#This Row],[FECHA DE PAGO]]-PROVEEDORES[[#This Row],[FECHA DE FACTURACIÓN]])&gt;PROVEEDORES[[#This Row],[PLAZO Días]],"PAGO VENCIDO")</f>
        <v>PAGO VENCIDO</v>
      </c>
      <c r="C671" s="25">
        <f>+VLOOKUP(PROVEEDORES[[#This Row],[PROVEEDOR]],TERCEROS_INFO[#All],2,FALSE)</f>
        <v>30</v>
      </c>
      <c r="D671" s="30">
        <f>+SUMIFS(PROVEEDORES[Total],PROVEEDORES[PROVEEDOR],PROVEEDORES[[#This Row],[PROVEEDOR]],PROVEEDORES[FECHA DE PAGO],"")</f>
        <v>3750700</v>
      </c>
      <c r="E671" s="30"/>
      <c r="F671" s="73" t="str">
        <f>+VLOOKUP(PROVEEDORES[[#This Row],[PROVEEDOR]],TERCEROS_INFO[[PROVEEDOR]:[CORREO]],5,FALSE)</f>
        <v/>
      </c>
      <c r="G671" s="111">
        <v>44466</v>
      </c>
      <c r="H671" s="31" t="s">
        <v>996</v>
      </c>
      <c r="I671" s="111">
        <v>44425</v>
      </c>
      <c r="J671" s="48" t="s">
        <v>789</v>
      </c>
      <c r="K671" s="26">
        <v>1019000</v>
      </c>
      <c r="L671" s="26"/>
      <c r="M671" s="27">
        <v>0</v>
      </c>
      <c r="N671" s="28"/>
      <c r="O671" s="27">
        <v>0</v>
      </c>
      <c r="P671" s="28">
        <v>0</v>
      </c>
      <c r="Q671" s="27">
        <v>0</v>
      </c>
      <c r="R671" s="26">
        <v>1019000</v>
      </c>
      <c r="S671" s="115">
        <f ca="1">IF(PROVEEDORES[[#This Row],[FECHA DE PAGO]]=0,TODAY()-PROVEEDORES[[#This Row],[FECHA DE FACTURACIÓN]]-PROVEEDORES[[#This Row],[PLAZO Días]],0)</f>
        <v>0</v>
      </c>
      <c r="T6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2" spans="1:20" ht="21.9" customHeight="1" x14ac:dyDescent="0.3">
      <c r="A672" s="113" t="str">
        <f>+IF(PROVEEDORES[[#This Row],[FECHA DE PAGO]]=PROVEEDORES[[#This Row],[FECHA DE FACTURACIÓN]],"DE CONTADO","CRÉDITO")</f>
        <v>DE CONTADO</v>
      </c>
      <c r="B672" s="51" t="b">
        <f>+IF((PROVEEDORES[[#This Row],[FECHA DE PAGO]]-PROVEEDORES[[#This Row],[FECHA DE FACTURACIÓN]])&gt;PROVEEDORES[[#This Row],[PLAZO Días]],"PAGO VENCIDO")</f>
        <v>0</v>
      </c>
      <c r="C672" s="25">
        <f>+VLOOKUP(PROVEEDORES[[#This Row],[PROVEEDOR]],TERCEROS_INFO[#All],2,FALSE)</f>
        <v>30</v>
      </c>
      <c r="D672" s="30">
        <f>+SUMIFS(PROVEEDORES[Total],PROVEEDORES[PROVEEDOR],PROVEEDORES[[#This Row],[PROVEEDOR]],PROVEEDORES[FECHA DE PAGO],"")</f>
        <v>-417303</v>
      </c>
      <c r="E672" s="30"/>
      <c r="F672" s="73" t="str">
        <f>+VLOOKUP(PROVEEDORES[[#This Row],[PROVEEDOR]],TERCEROS_INFO[[PROVEEDOR]:[CORREO]],5,FALSE)</f>
        <v>wruiz@tsqsa.com;venta1@disuiza.com;girlesa.ruiz@servipilas.com;joriescobar64@gmail.com</v>
      </c>
      <c r="G672" s="111">
        <v>44425</v>
      </c>
      <c r="H672" s="31" t="s">
        <v>80</v>
      </c>
      <c r="I672" s="111">
        <v>44425</v>
      </c>
      <c r="J672" s="48" t="s">
        <v>478</v>
      </c>
      <c r="K672" s="26">
        <v>3424000</v>
      </c>
      <c r="L672" s="26">
        <v>342400</v>
      </c>
      <c r="M672" s="27">
        <v>585504</v>
      </c>
      <c r="N672" s="28"/>
      <c r="O672" s="27">
        <v>0</v>
      </c>
      <c r="P672" s="28">
        <v>2.5000000000000001E-2</v>
      </c>
      <c r="Q672" s="27">
        <v>77040</v>
      </c>
      <c r="R672" s="26">
        <v>3590064</v>
      </c>
      <c r="S672" s="115">
        <f ca="1">IF(PROVEEDORES[[#This Row],[FECHA DE PAGO]]=0,TODAY()-PROVEEDORES[[#This Row],[FECHA DE FACTURACIÓN]]-PROVEEDORES[[#This Row],[PLAZO Días]],0)</f>
        <v>0</v>
      </c>
      <c r="T67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3" spans="1:20" ht="21.9" customHeight="1" x14ac:dyDescent="0.3">
      <c r="A673" s="113" t="str">
        <f>+IF(PROVEEDORES[[#This Row],[FECHA DE PAGO]]=PROVEEDORES[[#This Row],[FECHA DE FACTURACIÓN]],"DE CONTADO","CRÉDITO")</f>
        <v>CRÉDITO</v>
      </c>
      <c r="B673" s="51" t="str">
        <f>+IF((PROVEEDORES[[#This Row],[FECHA DE PAGO]]-PROVEEDORES[[#This Row],[FECHA DE FACTURACIÓN]])&gt;PROVEEDORES[[#This Row],[PLAZO Días]],"PAGO VENCIDO")</f>
        <v>PAGO VENCIDO</v>
      </c>
      <c r="C673" s="25">
        <f>+VLOOKUP(PROVEEDORES[[#This Row],[PROVEEDOR]],TERCEROS_INFO[#All],2,FALSE)</f>
        <v>30</v>
      </c>
      <c r="D673" s="30">
        <f>+SUMIFS(PROVEEDORES[Total],PROVEEDORES[PROVEEDOR],PROVEEDORES[[#This Row],[PROVEEDOR]],PROVEEDORES[FECHA DE PAGO],"")</f>
        <v>1119790</v>
      </c>
      <c r="E673" s="30"/>
      <c r="F673" s="73" t="str">
        <f>+VLOOKUP(PROVEEDORES[[#This Row],[PROVEEDOR]],TERCEROS_INFO[[PROVEEDOR]:[CORREO]],5,FALSE)</f>
        <v>MVALENCIA@mps.com.co;girlesa.ruiz@servipilas.com;joriescobar64@gmail.com</v>
      </c>
      <c r="G673" s="111">
        <v>44461</v>
      </c>
      <c r="H673" s="31" t="s">
        <v>17</v>
      </c>
      <c r="I673" s="111">
        <v>44426</v>
      </c>
      <c r="J673" s="48">
        <v>1801133</v>
      </c>
      <c r="K673" s="26">
        <v>577200</v>
      </c>
      <c r="L673" s="26"/>
      <c r="M673" s="27">
        <v>109668</v>
      </c>
      <c r="N673" s="28"/>
      <c r="O673" s="27">
        <v>0</v>
      </c>
      <c r="P673" s="28">
        <v>0</v>
      </c>
      <c r="Q673" s="27">
        <v>0</v>
      </c>
      <c r="R673" s="26">
        <v>-12184.82</v>
      </c>
      <c r="S673" s="115">
        <f ca="1">IF(PROVEEDORES[[#This Row],[FECHA DE PAGO]]=0,TODAY()-PROVEEDORES[[#This Row],[FECHA DE FACTURACIÓN]]-PROVEEDORES[[#This Row],[PLAZO Días]],0)</f>
        <v>0</v>
      </c>
      <c r="T67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4" spans="1:20" ht="21.9" customHeight="1" x14ac:dyDescent="0.3">
      <c r="A674" s="113" t="str">
        <f>+IF(PROVEEDORES[[#This Row],[FECHA DE PAGO]]=PROVEEDORES[[#This Row],[FECHA DE FACTURACIÓN]],"DE CONTADO","CRÉDITO")</f>
        <v>CRÉDITO</v>
      </c>
      <c r="B674" s="51" t="str">
        <f>+IF((PROVEEDORES[[#This Row],[FECHA DE PAGO]]-PROVEEDORES[[#This Row],[FECHA DE FACTURACIÓN]])&gt;PROVEEDORES[[#This Row],[PLAZO Días]],"PAGO VENCIDO")</f>
        <v>PAGO VENCIDO</v>
      </c>
      <c r="C674" s="25">
        <f>+VLOOKUP(PROVEEDORES[[#This Row],[PROVEEDOR]],TERCEROS_INFO[#All],2,FALSE)</f>
        <v>30</v>
      </c>
      <c r="D674" s="30">
        <f>+SUMIFS(PROVEEDORES[Total],PROVEEDORES[PROVEEDOR],PROVEEDORES[[#This Row],[PROVEEDOR]],PROVEEDORES[FECHA DE PAGO],"")</f>
        <v>1119790</v>
      </c>
      <c r="E674" s="30"/>
      <c r="F674" s="73" t="str">
        <f>+VLOOKUP(PROVEEDORES[[#This Row],[PROVEEDOR]],TERCEROS_INFO[[PROVEEDOR]:[CORREO]],5,FALSE)</f>
        <v>MVALENCIA@mps.com.co;girlesa.ruiz@servipilas.com;joriescobar64@gmail.com</v>
      </c>
      <c r="G674" s="111">
        <v>44461</v>
      </c>
      <c r="H674" s="31" t="s">
        <v>17</v>
      </c>
      <c r="I674" s="111">
        <v>44426</v>
      </c>
      <c r="J674" s="48">
        <v>1801124</v>
      </c>
      <c r="K674" s="26">
        <v>671300</v>
      </c>
      <c r="L674" s="26"/>
      <c r="M674" s="27">
        <v>29317</v>
      </c>
      <c r="N674" s="28"/>
      <c r="O674" s="27">
        <v>0</v>
      </c>
      <c r="P674" s="28">
        <v>0</v>
      </c>
      <c r="Q674" s="27">
        <v>0</v>
      </c>
      <c r="R674" s="26">
        <v>700617</v>
      </c>
      <c r="S674" s="115">
        <f ca="1">IF(PROVEEDORES[[#This Row],[FECHA DE PAGO]]=0,TODAY()-PROVEEDORES[[#This Row],[FECHA DE FACTURACIÓN]]-PROVEEDORES[[#This Row],[PLAZO Días]],0)</f>
        <v>0</v>
      </c>
      <c r="T67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5" spans="1:20" ht="21.9" customHeight="1" x14ac:dyDescent="0.3">
      <c r="A675" s="113" t="str">
        <f>+IF(PROVEEDORES[[#This Row],[FECHA DE PAGO]]=PROVEEDORES[[#This Row],[FECHA DE FACTURACIÓN]],"DE CONTADO","CRÉDITO")</f>
        <v>CRÉDITO</v>
      </c>
      <c r="B675" s="51" t="str">
        <f>+IF((PROVEEDORES[[#This Row],[FECHA DE PAGO]]-PROVEEDORES[[#This Row],[FECHA DE FACTURACIÓN]])&gt;PROVEEDORES[[#This Row],[PLAZO Días]],"PAGO VENCIDO")</f>
        <v>PAGO VENCIDO</v>
      </c>
      <c r="C675" s="25">
        <f>+VLOOKUP(PROVEEDORES[[#This Row],[PROVEEDOR]],TERCEROS_INFO[#All],2,FALSE)</f>
        <v>30</v>
      </c>
      <c r="D675" s="30">
        <f>+SUMIFS(PROVEEDORES[Total],PROVEEDORES[PROVEEDOR],PROVEEDORES[[#This Row],[PROVEEDOR]],PROVEEDORES[FECHA DE PAGO],"")</f>
        <v>10764600</v>
      </c>
      <c r="E675" s="30"/>
      <c r="F675" s="73" t="str">
        <f>+VLOOKUP(PROVEEDORES[[#This Row],[PROVEEDOR]],TERCEROS_INFO[[PROVEEDOR]:[CORREO]],5,FALSE)</f>
        <v>apresupuesto@widexcolombia.com;girlesa.ruiz@servipilas.com;joriescobar64@gmail.com</v>
      </c>
      <c r="G675" s="111">
        <v>44476</v>
      </c>
      <c r="H675" s="31" t="s">
        <v>11</v>
      </c>
      <c r="I675" s="111">
        <v>44426</v>
      </c>
      <c r="J675" s="48" t="s">
        <v>481</v>
      </c>
      <c r="K675" s="26">
        <v>4023025</v>
      </c>
      <c r="L675" s="26"/>
      <c r="M675" s="27">
        <v>764374.75</v>
      </c>
      <c r="N675" s="28"/>
      <c r="O675" s="27">
        <v>0</v>
      </c>
      <c r="P675" s="28">
        <v>2.5000000000000001E-2</v>
      </c>
      <c r="Q675" s="27">
        <v>100575.625</v>
      </c>
      <c r="R675" s="26">
        <v>4686824.125</v>
      </c>
      <c r="S675" s="115">
        <f ca="1">IF(PROVEEDORES[[#This Row],[FECHA DE PAGO]]=0,TODAY()-PROVEEDORES[[#This Row],[FECHA DE FACTURACIÓN]]-PROVEEDORES[[#This Row],[PLAZO Días]],0)</f>
        <v>0</v>
      </c>
      <c r="T67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6" spans="1:20" ht="21.9" customHeight="1" x14ac:dyDescent="0.3">
      <c r="A676" s="113" t="str">
        <f>+IF(PROVEEDORES[[#This Row],[FECHA DE PAGO]]=PROVEEDORES[[#This Row],[FECHA DE FACTURACIÓN]],"DE CONTADO","CRÉDITO")</f>
        <v>CRÉDITO</v>
      </c>
      <c r="B676" s="51" t="b">
        <f>+IF((PROVEEDORES[[#This Row],[FECHA DE PAGO]]-PROVEEDORES[[#This Row],[FECHA DE FACTURACIÓN]])&gt;PROVEEDORES[[#This Row],[PLAZO Días]],"PAGO VENCIDO")</f>
        <v>0</v>
      </c>
      <c r="C676" s="25">
        <f>+VLOOKUP(PROVEEDORES[[#This Row],[PROVEEDOR]],TERCEROS_INFO[#All],2,FALSE)</f>
        <v>10</v>
      </c>
      <c r="D676" s="30">
        <f>+SUMIFS(PROVEEDORES[Total],PROVEEDORES[PROVEEDOR],PROVEEDORES[[#This Row],[PROVEEDOR]],PROVEEDORES[FECHA DE PAGO],"")</f>
        <v>0</v>
      </c>
      <c r="E676" s="30"/>
      <c r="F676" s="73" t="str">
        <f>+VLOOKUP(PROVEEDORES[[#This Row],[PROVEEDOR]],TERCEROS_INFO[[PROVEEDOR]:[CORREO]],5,FALSE)</f>
        <v/>
      </c>
      <c r="G676" s="111">
        <v>44431</v>
      </c>
      <c r="H676" s="31" t="s">
        <v>23</v>
      </c>
      <c r="I676" s="111">
        <v>44426</v>
      </c>
      <c r="J676" s="48">
        <v>284593</v>
      </c>
      <c r="K676" s="26">
        <v>7774650</v>
      </c>
      <c r="L676" s="26"/>
      <c r="M676" s="27">
        <v>0</v>
      </c>
      <c r="N676" s="28"/>
      <c r="O676" s="27">
        <v>0</v>
      </c>
      <c r="P676" s="28">
        <v>0</v>
      </c>
      <c r="Q676" s="27">
        <v>0</v>
      </c>
      <c r="R676" s="26">
        <v>7774650</v>
      </c>
      <c r="S676" s="115">
        <f ca="1">IF(PROVEEDORES[[#This Row],[FECHA DE PAGO]]=0,TODAY()-PROVEEDORES[[#This Row],[FECHA DE FACTURACIÓN]]-PROVEEDORES[[#This Row],[PLAZO Días]],0)</f>
        <v>0</v>
      </c>
      <c r="T6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7" spans="1:20" ht="21.9" customHeight="1" x14ac:dyDescent="0.3">
      <c r="A677" s="113" t="str">
        <f>+IF(PROVEEDORES[[#This Row],[FECHA DE PAGO]]=PROVEEDORES[[#This Row],[FECHA DE FACTURACIÓN]],"DE CONTADO","CRÉDITO")</f>
        <v>CRÉDITO</v>
      </c>
      <c r="B677" s="51" t="b">
        <f>+IF((PROVEEDORES[[#This Row],[FECHA DE PAGO]]-PROVEEDORES[[#This Row],[FECHA DE FACTURACIÓN]])&gt;PROVEEDORES[[#This Row],[PLAZO Días]],"PAGO VENCIDO")</f>
        <v>0</v>
      </c>
      <c r="C677" s="25">
        <f>+VLOOKUP(PROVEEDORES[[#This Row],[PROVEEDOR]],TERCEROS_INFO[#All],2,FALSE)</f>
        <v>20</v>
      </c>
      <c r="D677" s="30">
        <f>+SUMIFS(PROVEEDORES[Total],PROVEEDORES[PROVEEDOR],PROVEEDORES[[#This Row],[PROVEEDOR]],PROVEEDORES[FECHA DE PAGO],"")</f>
        <v>0</v>
      </c>
      <c r="E677" s="30"/>
      <c r="F677" s="73" t="str">
        <f>+VLOOKUP(PROVEEDORES[[#This Row],[PROVEEDOR]],TERCEROS_INFO[[PROVEEDOR]:[CORREO]],5,FALSE)</f>
        <v>bog.fa1@pressex.co;bog.fm1@pressex.co;kbaumgartner@pressex.co;girlesa.ruiz@servipilas.com;joriescobar64@gmail.com</v>
      </c>
      <c r="G677" s="111">
        <v>44432</v>
      </c>
      <c r="H677" s="31" t="s">
        <v>448</v>
      </c>
      <c r="I677" s="111">
        <v>44427</v>
      </c>
      <c r="J677" s="48" t="s">
        <v>793</v>
      </c>
      <c r="K677" s="26">
        <v>136900</v>
      </c>
      <c r="L677" s="26"/>
      <c r="M677" s="27">
        <v>0</v>
      </c>
      <c r="N677" s="28"/>
      <c r="O677" s="27">
        <v>0</v>
      </c>
      <c r="P677" s="28">
        <v>0.01</v>
      </c>
      <c r="Q677" s="27">
        <v>1369</v>
      </c>
      <c r="R677" s="26">
        <v>135531</v>
      </c>
      <c r="S677" s="115">
        <f ca="1">IF(PROVEEDORES[[#This Row],[FECHA DE PAGO]]=0,TODAY()-PROVEEDORES[[#This Row],[FECHA DE FACTURACIÓN]]-PROVEEDORES[[#This Row],[PLAZO Días]],0)</f>
        <v>0</v>
      </c>
      <c r="T6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8" spans="1:20" ht="21.9" customHeight="1" x14ac:dyDescent="0.3">
      <c r="A678" s="113" t="str">
        <f>+IF(PROVEEDORES[[#This Row],[FECHA DE PAGO]]=PROVEEDORES[[#This Row],[FECHA DE FACTURACIÓN]],"DE CONTADO","CRÉDITO")</f>
        <v>CRÉDITO</v>
      </c>
      <c r="B678" s="51" t="b">
        <f>+IF((PROVEEDORES[[#This Row],[FECHA DE PAGO]]-PROVEEDORES[[#This Row],[FECHA DE FACTURACIÓN]])&gt;PROVEEDORES[[#This Row],[PLAZO Días]],"PAGO VENCIDO")</f>
        <v>0</v>
      </c>
      <c r="C678" s="25">
        <f>+VLOOKUP(PROVEEDORES[[#This Row],[PROVEEDOR]],TERCEROS_INFO[#All],2,FALSE)</f>
        <v>20</v>
      </c>
      <c r="D678" s="30">
        <f>+SUMIFS(PROVEEDORES[Total],PROVEEDORES[PROVEEDOR],PROVEEDORES[[#This Row],[PROVEEDOR]],PROVEEDORES[FECHA DE PAGO],"")</f>
        <v>0</v>
      </c>
      <c r="E678" s="30"/>
      <c r="F678" s="73" t="str">
        <f>+VLOOKUP(PROVEEDORES[[#This Row],[PROVEEDOR]],TERCEROS_INFO[[PROVEEDOR]:[CORREO]],5,FALSE)</f>
        <v>bog.fa1@pressex.co;bog.fm1@pressex.co;kbaumgartner@pressex.co;girlesa.ruiz@servipilas.com;joriescobar64@gmail.com</v>
      </c>
      <c r="G678" s="111">
        <v>44432</v>
      </c>
      <c r="H678" s="31" t="s">
        <v>448</v>
      </c>
      <c r="I678" s="111">
        <v>44427</v>
      </c>
      <c r="J678" s="48" t="s">
        <v>794</v>
      </c>
      <c r="K678" s="26">
        <v>136900</v>
      </c>
      <c r="L678" s="26"/>
      <c r="M678" s="27">
        <v>0</v>
      </c>
      <c r="N678" s="28"/>
      <c r="O678" s="27">
        <v>0</v>
      </c>
      <c r="P678" s="28">
        <v>0.01</v>
      </c>
      <c r="Q678" s="27">
        <v>1369</v>
      </c>
      <c r="R678" s="26">
        <v>135531</v>
      </c>
      <c r="S678" s="115">
        <f ca="1">IF(PROVEEDORES[[#This Row],[FECHA DE PAGO]]=0,TODAY()-PROVEEDORES[[#This Row],[FECHA DE FACTURACIÓN]]-PROVEEDORES[[#This Row],[PLAZO Días]],0)</f>
        <v>0</v>
      </c>
      <c r="T67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79" spans="1:20" ht="21.9" customHeight="1" x14ac:dyDescent="0.3">
      <c r="A679" s="113" t="str">
        <f>+IF(PROVEEDORES[[#This Row],[FECHA DE PAGO]]=PROVEEDORES[[#This Row],[FECHA DE FACTURACIÓN]],"DE CONTADO","CRÉDITO")</f>
        <v>CRÉDITO</v>
      </c>
      <c r="B679" s="51" t="b">
        <f>+IF((PROVEEDORES[[#This Row],[FECHA DE PAGO]]-PROVEEDORES[[#This Row],[FECHA DE FACTURACIÓN]])&gt;PROVEEDORES[[#This Row],[PLAZO Días]],"PAGO VENCIDO")</f>
        <v>0</v>
      </c>
      <c r="C679" s="25">
        <f>+VLOOKUP(PROVEEDORES[[#This Row],[PROVEEDOR]],TERCEROS_INFO[#All],2,FALSE)</f>
        <v>20</v>
      </c>
      <c r="D679" s="30">
        <f>+SUMIFS(PROVEEDORES[Total],PROVEEDORES[PROVEEDOR],PROVEEDORES[[#This Row],[PROVEEDOR]],PROVEEDORES[FECHA DE PAGO],"")</f>
        <v>0</v>
      </c>
      <c r="E679" s="30"/>
      <c r="F679" s="73" t="str">
        <f>+VLOOKUP(PROVEEDORES[[#This Row],[PROVEEDOR]],TERCEROS_INFO[[PROVEEDOR]:[CORREO]],5,FALSE)</f>
        <v>bog.fa1@pressex.co;bog.fm1@pressex.co;kbaumgartner@pressex.co;girlesa.ruiz@servipilas.com;joriescobar64@gmail.com</v>
      </c>
      <c r="G679" s="111">
        <v>44432</v>
      </c>
      <c r="H679" s="31" t="s">
        <v>448</v>
      </c>
      <c r="I679" s="111">
        <v>44427</v>
      </c>
      <c r="J679" s="48" t="s">
        <v>795</v>
      </c>
      <c r="K679" s="26">
        <v>369000</v>
      </c>
      <c r="L679" s="26"/>
      <c r="M679" s="27">
        <v>0</v>
      </c>
      <c r="N679" s="28"/>
      <c r="O679" s="27">
        <v>0</v>
      </c>
      <c r="P679" s="28">
        <v>0.01</v>
      </c>
      <c r="Q679" s="27">
        <v>1760</v>
      </c>
      <c r="R679" s="26">
        <v>367240</v>
      </c>
      <c r="S679" s="115">
        <f ca="1">IF(PROVEEDORES[[#This Row],[FECHA DE PAGO]]=0,TODAY()-PROVEEDORES[[#This Row],[FECHA DE FACTURACIÓN]]-PROVEEDORES[[#This Row],[PLAZO Días]],0)</f>
        <v>0</v>
      </c>
      <c r="T6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0" spans="1:20" ht="21.9" customHeight="1" x14ac:dyDescent="0.3">
      <c r="A680" s="113" t="str">
        <f>+IF(PROVEEDORES[[#This Row],[FECHA DE PAGO]]=PROVEEDORES[[#This Row],[FECHA DE FACTURACIÓN]],"DE CONTADO","CRÉDITO")</f>
        <v>CRÉDITO</v>
      </c>
      <c r="B680" s="51" t="str">
        <f>+IF((PROVEEDORES[[#This Row],[FECHA DE PAGO]]-PROVEEDORES[[#This Row],[FECHA DE FACTURACIÓN]])&gt;PROVEEDORES[[#This Row],[PLAZO Días]],"PAGO VENCIDO")</f>
        <v>PAGO VENCIDO</v>
      </c>
      <c r="C680" s="25">
        <f>+VLOOKUP(PROVEEDORES[[#This Row],[PROVEEDOR]],TERCEROS_INFO[#All],2,FALSE)</f>
        <v>30</v>
      </c>
      <c r="D680" s="30">
        <f>+SUMIFS(PROVEEDORES[Total],PROVEEDORES[PROVEEDOR],PROVEEDORES[[#This Row],[PROVEEDOR]],PROVEEDORES[FECHA DE PAGO],"")</f>
        <v>4078650.6</v>
      </c>
      <c r="E680" s="30"/>
      <c r="F680" s="73" t="str">
        <f>+VLOOKUP(PROVEEDORES[[#This Row],[PROVEEDOR]],TERCEROS_INFO[[PROVEEDOR]:[CORREO]],5,FALSE)</f>
        <v>financiera@nalpicentral.com;girlesa.ruiz@servipilas.com;joriescobar64@gmail.com</v>
      </c>
      <c r="G680" s="111">
        <v>44498</v>
      </c>
      <c r="H680" s="31" t="s">
        <v>1095</v>
      </c>
      <c r="I680" s="111">
        <v>44427</v>
      </c>
      <c r="J680" s="48">
        <v>22156</v>
      </c>
      <c r="K680" s="26">
        <v>376000</v>
      </c>
      <c r="L680" s="26"/>
      <c r="M680" s="27">
        <v>71440</v>
      </c>
      <c r="N680" s="28"/>
      <c r="O680" s="27">
        <v>0</v>
      </c>
      <c r="P680" s="28">
        <v>0</v>
      </c>
      <c r="Q680" s="27">
        <v>0</v>
      </c>
      <c r="R680" s="26">
        <v>447440</v>
      </c>
      <c r="S680" s="115">
        <f ca="1">IF(PROVEEDORES[[#This Row],[FECHA DE PAGO]]=0,TODAY()-PROVEEDORES[[#This Row],[FECHA DE FACTURACIÓN]]-PROVEEDORES[[#This Row],[PLAZO Días]],0)</f>
        <v>0</v>
      </c>
      <c r="T6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1" spans="1:20" ht="21.9" customHeight="1" x14ac:dyDescent="0.3">
      <c r="A681" s="113" t="str">
        <f>+IF(PROVEEDORES[[#This Row],[FECHA DE PAGO]]=PROVEEDORES[[#This Row],[FECHA DE FACTURACIÓN]],"DE CONTADO","CRÉDITO")</f>
        <v>CRÉDITO</v>
      </c>
      <c r="B681" s="51" t="b">
        <f>+IF((PROVEEDORES[[#This Row],[FECHA DE PAGO]]-PROVEEDORES[[#This Row],[FECHA DE FACTURACIÓN]])&gt;PROVEEDORES[[#This Row],[PLAZO Días]],"PAGO VENCIDO")</f>
        <v>0</v>
      </c>
      <c r="C681" s="25">
        <f>+VLOOKUP(PROVEEDORES[[#This Row],[PROVEEDOR]],TERCEROS_INFO[#All],2,FALSE)</f>
        <v>30</v>
      </c>
      <c r="D681" s="30">
        <f>+SUMIFS(PROVEEDORES[Total],PROVEEDORES[PROVEEDOR],PROVEEDORES[[#This Row],[PROVEEDOR]],PROVEEDORES[FECHA DE PAGO],"")</f>
        <v>0</v>
      </c>
      <c r="E681" s="30"/>
      <c r="F681" s="73" t="str">
        <f>+VLOOKUP(PROVEEDORES[[#This Row],[PROVEEDOR]],TERCEROS_INFO[[PROVEEDOR]:[CORREO]],5,FALSE)</f>
        <v>??;girlesa.ruiz@servipilas.com;joriescobar64@gmail.com</v>
      </c>
      <c r="G681" s="111">
        <v>44432</v>
      </c>
      <c r="H681" s="31" t="s">
        <v>480</v>
      </c>
      <c r="I681" s="111">
        <v>44427</v>
      </c>
      <c r="J681" s="48">
        <v>10186</v>
      </c>
      <c r="K681" s="26">
        <v>1326772</v>
      </c>
      <c r="L681" s="26"/>
      <c r="M681" s="27">
        <v>252086.68</v>
      </c>
      <c r="N681" s="28"/>
      <c r="O681" s="27">
        <v>0</v>
      </c>
      <c r="P681" s="28">
        <v>2.5000000000000001E-2</v>
      </c>
      <c r="Q681" s="27">
        <v>33169.300000000003</v>
      </c>
      <c r="R681" s="26">
        <v>1545689.38</v>
      </c>
      <c r="S681" s="115">
        <f ca="1">IF(PROVEEDORES[[#This Row],[FECHA DE PAGO]]=0,TODAY()-PROVEEDORES[[#This Row],[FECHA DE FACTURACIÓN]]-PROVEEDORES[[#This Row],[PLAZO Días]],0)</f>
        <v>0</v>
      </c>
      <c r="T6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2" spans="1:20" ht="21.9" customHeight="1" x14ac:dyDescent="0.3">
      <c r="A682" s="113" t="str">
        <f>+IF(PROVEEDORES[[#This Row],[FECHA DE PAGO]]=PROVEEDORES[[#This Row],[FECHA DE FACTURACIÓN]],"DE CONTADO","CRÉDITO")</f>
        <v>CRÉDITO</v>
      </c>
      <c r="B682" s="51" t="str">
        <f>+IF((PROVEEDORES[[#This Row],[FECHA DE PAGO]]-PROVEEDORES[[#This Row],[FECHA DE FACTURACIÓN]])&gt;PROVEEDORES[[#This Row],[PLAZO Días]],"PAGO VENCIDO")</f>
        <v>PAGO VENCIDO</v>
      </c>
      <c r="C682" s="25">
        <f>+VLOOKUP(PROVEEDORES[[#This Row],[PROVEEDOR]],TERCEROS_INFO[#All],2,FALSE)</f>
        <v>30</v>
      </c>
      <c r="D682" s="30">
        <f>+SUMIFS(PROVEEDORES[Total],PROVEEDORES[PROVEEDOR],PROVEEDORES[[#This Row],[PROVEEDOR]],PROVEEDORES[FECHA DE PAGO],"")</f>
        <v>24126684</v>
      </c>
      <c r="E682" s="30"/>
      <c r="F682" s="73">
        <f>+VLOOKUP(PROVEEDORES[[#This Row],[PROVEEDOR]],TERCEROS_INFO[[PROVEEDOR]:[CORREO]],5,FALSE)</f>
        <v>0</v>
      </c>
      <c r="G682" s="111">
        <v>44481</v>
      </c>
      <c r="H682" s="31" t="s">
        <v>510</v>
      </c>
      <c r="I682" s="111">
        <v>44427</v>
      </c>
      <c r="J682" s="48" t="s">
        <v>512</v>
      </c>
      <c r="K682" s="26">
        <v>1466370</v>
      </c>
      <c r="L682" s="26"/>
      <c r="M682" s="27">
        <v>278610.3</v>
      </c>
      <c r="N682" s="28"/>
      <c r="O682" s="27">
        <v>0</v>
      </c>
      <c r="P682" s="28">
        <v>2.5000000000000001E-2</v>
      </c>
      <c r="Q682" s="27">
        <v>36659.25</v>
      </c>
      <c r="R682" s="26">
        <v>1708321.05</v>
      </c>
      <c r="S682" s="115">
        <f ca="1">IF(PROVEEDORES[[#This Row],[FECHA DE PAGO]]=0,TODAY()-PROVEEDORES[[#This Row],[FECHA DE FACTURACIÓN]]-PROVEEDORES[[#This Row],[PLAZO Días]],0)</f>
        <v>0</v>
      </c>
      <c r="T68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3" spans="1:20" ht="21.9" customHeight="1" x14ac:dyDescent="0.3">
      <c r="A683" s="113" t="str">
        <f>+IF(PROVEEDORES[[#This Row],[FECHA DE PAGO]]=PROVEEDORES[[#This Row],[FECHA DE FACTURACIÓN]],"DE CONTADO","CRÉDITO")</f>
        <v>CRÉDITO</v>
      </c>
      <c r="B683" s="51" t="str">
        <f>+IF((PROVEEDORES[[#This Row],[FECHA DE PAGO]]-PROVEEDORES[[#This Row],[FECHA DE FACTURACIÓN]])&gt;PROVEEDORES[[#This Row],[PLAZO Días]],"PAGO VENCIDO")</f>
        <v>PAGO VENCIDO</v>
      </c>
      <c r="C683" s="25">
        <f>+VLOOKUP(PROVEEDORES[[#This Row],[PROVEEDOR]],TERCEROS_INFO[#All],2,FALSE)</f>
        <v>30</v>
      </c>
      <c r="D683" s="30">
        <f>+SUMIFS(PROVEEDORES[Total],PROVEEDORES[PROVEEDOR],PROVEEDORES[[#This Row],[PROVEEDOR]],PROVEEDORES[FECHA DE PAGO],"")</f>
        <v>0</v>
      </c>
      <c r="E683" s="30"/>
      <c r="F683" s="73" t="str">
        <f>+VLOOKUP(PROVEEDORES[[#This Row],[PROVEEDOR]],TERCEROS_INFO[[PROVEEDOR]:[CORREO]],5,FALSE)</f>
        <v>globalpowerc2018@gmail.com;girlesa.ruiz@servipilas.com;joriescobar64@gmail.com</v>
      </c>
      <c r="G683" s="111">
        <v>44459</v>
      </c>
      <c r="H683" s="31" t="s">
        <v>1057</v>
      </c>
      <c r="I683" s="111">
        <v>44427</v>
      </c>
      <c r="J683" s="48" t="s">
        <v>792</v>
      </c>
      <c r="K683" s="26">
        <v>1750000</v>
      </c>
      <c r="L683" s="26"/>
      <c r="M683" s="27">
        <v>0</v>
      </c>
      <c r="N683" s="28"/>
      <c r="O683" s="27">
        <v>0</v>
      </c>
      <c r="P683" s="28">
        <v>0</v>
      </c>
      <c r="Q683" s="27">
        <v>0</v>
      </c>
      <c r="R683" s="26">
        <v>0</v>
      </c>
      <c r="S683" s="115">
        <f ca="1">IF(PROVEEDORES[[#This Row],[FECHA DE PAGO]]=0,TODAY()-PROVEEDORES[[#This Row],[FECHA DE FACTURACIÓN]]-PROVEEDORES[[#This Row],[PLAZO Días]],0)</f>
        <v>0</v>
      </c>
      <c r="T68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4" spans="1:20" ht="21.9" customHeight="1" x14ac:dyDescent="0.3">
      <c r="A684" s="113" t="str">
        <f>+IF(PROVEEDORES[[#This Row],[FECHA DE PAGO]]=PROVEEDORES[[#This Row],[FECHA DE FACTURACIÓN]],"DE CONTADO","CRÉDITO")</f>
        <v>CRÉDITO</v>
      </c>
      <c r="B684" s="51" t="b">
        <f>+IF((PROVEEDORES[[#This Row],[FECHA DE PAGO]]-PROVEEDORES[[#This Row],[FECHA DE FACTURACIÓN]])&gt;PROVEEDORES[[#This Row],[PLAZO Días]],"PAGO VENCIDO")</f>
        <v>0</v>
      </c>
      <c r="C684" s="25">
        <f>+VLOOKUP(PROVEEDORES[[#This Row],[PROVEEDOR]],TERCEROS_INFO[#All],2,FALSE)</f>
        <v>30</v>
      </c>
      <c r="D684" s="30">
        <f>+SUMIFS(PROVEEDORES[Total],PROVEEDORES[PROVEEDOR],PROVEEDORES[[#This Row],[PROVEEDOR]],PROVEEDORES[FECHA DE PAGO],"")</f>
        <v>0</v>
      </c>
      <c r="E684" s="30"/>
      <c r="F684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684" s="111">
        <v>44435</v>
      </c>
      <c r="H684" s="31" t="s">
        <v>572</v>
      </c>
      <c r="I684" s="111">
        <v>44427</v>
      </c>
      <c r="J684" s="48" t="s">
        <v>476</v>
      </c>
      <c r="K684" s="26">
        <v>2278232</v>
      </c>
      <c r="L684" s="26"/>
      <c r="M684" s="27">
        <v>432864.08</v>
      </c>
      <c r="N684" s="28"/>
      <c r="O684" s="27">
        <v>0</v>
      </c>
      <c r="P684" s="28">
        <v>0</v>
      </c>
      <c r="Q684" s="27">
        <v>0</v>
      </c>
      <c r="R684" s="26">
        <v>2711096.08</v>
      </c>
      <c r="S684" s="115">
        <f ca="1">IF(PROVEEDORES[[#This Row],[FECHA DE PAGO]]=0,TODAY()-PROVEEDORES[[#This Row],[FECHA DE FACTURACIÓN]]-PROVEEDORES[[#This Row],[PLAZO Días]],0)</f>
        <v>0</v>
      </c>
      <c r="T6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5" spans="1:20" ht="21.9" customHeight="1" x14ac:dyDescent="0.3">
      <c r="A685" s="113" t="str">
        <f>+IF(PROVEEDORES[[#This Row],[FECHA DE PAGO]]=PROVEEDORES[[#This Row],[FECHA DE FACTURACIÓN]],"DE CONTADO","CRÉDITO")</f>
        <v>CRÉDITO</v>
      </c>
      <c r="B685" s="51" t="str">
        <f>+IF((PROVEEDORES[[#This Row],[FECHA DE PAGO]]-PROVEEDORES[[#This Row],[FECHA DE FACTURACIÓN]])&gt;PROVEEDORES[[#This Row],[PLAZO Días]],"PAGO VENCIDO")</f>
        <v>PAGO VENCIDO</v>
      </c>
      <c r="C685" s="25">
        <f>+VLOOKUP(PROVEEDORES[[#This Row],[PROVEEDOR]],TERCEROS_INFO[#All],2,FALSE)</f>
        <v>30</v>
      </c>
      <c r="D685" s="30">
        <f>+SUMIFS(PROVEEDORES[Total],PROVEEDORES[PROVEEDOR],PROVEEDORES[[#This Row],[PROVEEDOR]],PROVEEDORES[FECHA DE PAGO],"")</f>
        <v>0</v>
      </c>
      <c r="E685" s="30"/>
      <c r="F685" s="73" t="str">
        <f>+VLOOKUP(PROVEEDORES[[#This Row],[PROVEEDOR]],TERCEROS_INFO[[PROVEEDOR]:[CORREO]],5,FALSE)</f>
        <v>??;girlesa.ruiz@servipilas.com;joriescobar64@gmail.com</v>
      </c>
      <c r="G685" s="111">
        <v>44484</v>
      </c>
      <c r="H685" s="31" t="s">
        <v>1084</v>
      </c>
      <c r="I685" s="111">
        <v>44428</v>
      </c>
      <c r="J685" s="48" t="s">
        <v>797</v>
      </c>
      <c r="K685" s="26">
        <v>4000</v>
      </c>
      <c r="L685" s="26"/>
      <c r="M685" s="27">
        <v>0</v>
      </c>
      <c r="N685" s="28"/>
      <c r="O685" s="27">
        <v>0</v>
      </c>
      <c r="P685" s="28">
        <v>0</v>
      </c>
      <c r="Q685" s="27">
        <v>0</v>
      </c>
      <c r="R685" s="26">
        <v>4000</v>
      </c>
      <c r="S685" s="115">
        <f ca="1">IF(PROVEEDORES[[#This Row],[FECHA DE PAGO]]=0,TODAY()-PROVEEDORES[[#This Row],[FECHA DE FACTURACIÓN]]-PROVEEDORES[[#This Row],[PLAZO Días]],0)</f>
        <v>0</v>
      </c>
      <c r="T68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6" spans="1:20" ht="21.9" customHeight="1" x14ac:dyDescent="0.3">
      <c r="A686" s="113" t="str">
        <f>+IF(PROVEEDORES[[#This Row],[FECHA DE PAGO]]=PROVEEDORES[[#This Row],[FECHA DE FACTURACIÓN]],"DE CONTADO","CRÉDITO")</f>
        <v>DE CONTADO</v>
      </c>
      <c r="B686" s="51" t="b">
        <f>+IF((PROVEEDORES[[#This Row],[FECHA DE PAGO]]-PROVEEDORES[[#This Row],[FECHA DE FACTURACIÓN]])&gt;PROVEEDORES[[#This Row],[PLAZO Días]],"PAGO VENCIDO")</f>
        <v>0</v>
      </c>
      <c r="C686" s="25">
        <f>+VLOOKUP(PROVEEDORES[[#This Row],[PROVEEDOR]],TERCEROS_INFO[#All],2,FALSE)</f>
        <v>30</v>
      </c>
      <c r="D686" s="30">
        <f>+SUMIFS(PROVEEDORES[Total],PROVEEDORES[PROVEEDOR],PROVEEDORES[[#This Row],[PROVEEDOR]],PROVEEDORES[FECHA DE PAGO],"")</f>
        <v>0</v>
      </c>
      <c r="E686" s="30"/>
      <c r="F686" s="73" t="str">
        <f>+VLOOKUP(PROVEEDORES[[#This Row],[PROVEEDOR]],TERCEROS_INFO[[PROVEEDOR]:[CORREO]],5,FALSE)</f>
        <v/>
      </c>
      <c r="G686" s="111">
        <v>44428</v>
      </c>
      <c r="H686" s="31" t="s">
        <v>1037</v>
      </c>
      <c r="I686" s="111">
        <v>44428</v>
      </c>
      <c r="J686" s="48" t="s">
        <v>796</v>
      </c>
      <c r="K686" s="26">
        <v>520000</v>
      </c>
      <c r="L686" s="26"/>
      <c r="M686" s="27">
        <v>0</v>
      </c>
      <c r="N686" s="28"/>
      <c r="O686" s="27">
        <v>0</v>
      </c>
      <c r="P686" s="28">
        <v>0</v>
      </c>
      <c r="Q686" s="27">
        <v>0</v>
      </c>
      <c r="R686" s="26">
        <v>520000</v>
      </c>
      <c r="S686" s="115">
        <f ca="1">IF(PROVEEDORES[[#This Row],[FECHA DE PAGO]]=0,TODAY()-PROVEEDORES[[#This Row],[FECHA DE FACTURACIÓN]]-PROVEEDORES[[#This Row],[PLAZO Días]],0)</f>
        <v>0</v>
      </c>
      <c r="T68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7" spans="1:20" ht="21.9" customHeight="1" x14ac:dyDescent="0.3">
      <c r="A687" s="113" t="str">
        <f>+IF(PROVEEDORES[[#This Row],[FECHA DE PAGO]]=PROVEEDORES[[#This Row],[FECHA DE FACTURACIÓN]],"DE CONTADO","CRÉDITO")</f>
        <v>CRÉDITO</v>
      </c>
      <c r="B687" s="51" t="str">
        <f>+IF((PROVEEDORES[[#This Row],[FECHA DE PAGO]]-PROVEEDORES[[#This Row],[FECHA DE FACTURACIÓN]])&gt;PROVEEDORES[[#This Row],[PLAZO Días]],"PAGO VENCIDO")</f>
        <v>PAGO VENCIDO</v>
      </c>
      <c r="C687" s="25">
        <f>+VLOOKUP(PROVEEDORES[[#This Row],[PROVEEDOR]],TERCEROS_INFO[#All],2,FALSE)</f>
        <v>30</v>
      </c>
      <c r="D687" s="30">
        <f>+SUMIFS(PROVEEDORES[Total],PROVEEDORES[PROVEEDOR],PROVEEDORES[[#This Row],[PROVEEDOR]],PROVEEDORES[FECHA DE PAGO],"")</f>
        <v>24126684</v>
      </c>
      <c r="E687" s="30"/>
      <c r="F687" s="73">
        <f>+VLOOKUP(PROVEEDORES[[#This Row],[PROVEEDOR]],TERCEROS_INFO[[PROVEEDOR]:[CORREO]],5,FALSE)</f>
        <v>0</v>
      </c>
      <c r="G687" s="111">
        <v>44497</v>
      </c>
      <c r="H687" s="31" t="s">
        <v>510</v>
      </c>
      <c r="I687" s="111">
        <v>44428</v>
      </c>
      <c r="J687" s="48" t="s">
        <v>511</v>
      </c>
      <c r="K687" s="26">
        <v>5056294</v>
      </c>
      <c r="L687" s="26"/>
      <c r="M687" s="27">
        <v>960695.86</v>
      </c>
      <c r="N687" s="28"/>
      <c r="O687" s="27">
        <v>0</v>
      </c>
      <c r="P687" s="28">
        <v>0</v>
      </c>
      <c r="Q687" s="27">
        <v>0</v>
      </c>
      <c r="R687" s="26">
        <v>6016989.8600000003</v>
      </c>
      <c r="S687" s="115">
        <f ca="1">IF(PROVEEDORES[[#This Row],[FECHA DE PAGO]]=0,TODAY()-PROVEEDORES[[#This Row],[FECHA DE FACTURACIÓN]]-PROVEEDORES[[#This Row],[PLAZO Días]],0)</f>
        <v>0</v>
      </c>
      <c r="T6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8" spans="1:20" ht="21.9" customHeight="1" x14ac:dyDescent="0.3">
      <c r="A688" s="113" t="str">
        <f>+IF(PROVEEDORES[[#This Row],[FECHA DE PAGO]]=PROVEEDORES[[#This Row],[FECHA DE FACTURACIÓN]],"DE CONTADO","CRÉDITO")</f>
        <v>CRÉDITO</v>
      </c>
      <c r="B688" s="51" t="str">
        <f>+IF((PROVEEDORES[[#This Row],[FECHA DE PAGO]]-PROVEEDORES[[#This Row],[FECHA DE FACTURACIÓN]])&gt;PROVEEDORES[[#This Row],[PLAZO Días]],"PAGO VENCIDO")</f>
        <v>PAGO VENCIDO</v>
      </c>
      <c r="C688" s="25">
        <f>+VLOOKUP(PROVEEDORES[[#This Row],[PROVEEDOR]],TERCEROS_INFO[#All],2,FALSE)</f>
        <v>30</v>
      </c>
      <c r="D688" s="30">
        <f>+SUMIFS(PROVEEDORES[Total],PROVEEDORES[PROVEEDOR],PROVEEDORES[[#This Row],[PROVEEDOR]],PROVEEDORES[FECHA DE PAGO],"")</f>
        <v>24126684</v>
      </c>
      <c r="E688" s="30"/>
      <c r="F688" s="73">
        <f>+VLOOKUP(PROVEEDORES[[#This Row],[PROVEEDOR]],TERCEROS_INFO[[PROVEEDOR]:[CORREO]],5,FALSE)</f>
        <v>0</v>
      </c>
      <c r="G688" s="111">
        <v>44488</v>
      </c>
      <c r="H688" s="31" t="s">
        <v>510</v>
      </c>
      <c r="I688" s="111">
        <v>44428</v>
      </c>
      <c r="J688" s="48" t="s">
        <v>513</v>
      </c>
      <c r="K688" s="26">
        <v>6142846</v>
      </c>
      <c r="L688" s="26"/>
      <c r="M688" s="27">
        <v>1167140.74</v>
      </c>
      <c r="N688" s="28"/>
      <c r="O688" s="27">
        <v>0</v>
      </c>
      <c r="P688" s="28">
        <v>0</v>
      </c>
      <c r="Q688" s="27">
        <v>0</v>
      </c>
      <c r="R688" s="26">
        <v>7309986.7400000002</v>
      </c>
      <c r="S688" s="115">
        <f ca="1">IF(PROVEEDORES[[#This Row],[FECHA DE PAGO]]=0,TODAY()-PROVEEDORES[[#This Row],[FECHA DE FACTURACIÓN]]-PROVEEDORES[[#This Row],[PLAZO Días]],0)</f>
        <v>0</v>
      </c>
      <c r="T6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89" spans="1:20" ht="21.9" customHeight="1" x14ac:dyDescent="0.3">
      <c r="A689" s="113" t="str">
        <f>+IF(PROVEEDORES[[#This Row],[FECHA DE PAGO]]=PROVEEDORES[[#This Row],[FECHA DE FACTURACIÓN]],"DE CONTADO","CRÉDITO")</f>
        <v>CRÉDITO</v>
      </c>
      <c r="B689" s="51" t="b">
        <f>+IF((PROVEEDORES[[#This Row],[FECHA DE PAGO]]-PROVEEDORES[[#This Row],[FECHA DE FACTURACIÓN]])&gt;PROVEEDORES[[#This Row],[PLAZO Días]],"PAGO VENCIDO")</f>
        <v>0</v>
      </c>
      <c r="C689" s="25">
        <f>+VLOOKUP(PROVEEDORES[[#This Row],[PROVEEDOR]],TERCEROS_INFO[#All],2,FALSE)</f>
        <v>30</v>
      </c>
      <c r="D689" s="30">
        <f>+SUMIFS(PROVEEDORES[Total],PROVEEDORES[PROVEEDOR],PROVEEDORES[[#This Row],[PROVEEDOR]],PROVEEDORES[FECHA DE PAGO],"")</f>
        <v>1451823</v>
      </c>
      <c r="E689" s="30"/>
      <c r="F689" s="73" t="str">
        <f>+VLOOKUP(PROVEEDORES[[#This Row],[PROVEEDOR]],TERCEROS_INFO[[PROVEEDOR]:[CORREO]],5,FALSE)</f>
        <v>cartera@ienewline.com;andres.arroyave@ienewline.com;girlesa.ruiz@servipilas.com;joriescobar64@gmail.com</v>
      </c>
      <c r="G689" s="111">
        <v>44459</v>
      </c>
      <c r="H689" s="31" t="s">
        <v>1131</v>
      </c>
      <c r="I689" s="111">
        <v>44429</v>
      </c>
      <c r="J689" s="48">
        <v>21160</v>
      </c>
      <c r="K689" s="26">
        <v>1620000</v>
      </c>
      <c r="L689" s="26"/>
      <c r="M689" s="27">
        <v>307800</v>
      </c>
      <c r="N689" s="28"/>
      <c r="O689" s="27">
        <v>0</v>
      </c>
      <c r="P689" s="28">
        <v>2.5000000000000001E-2</v>
      </c>
      <c r="Q689" s="27">
        <v>40500</v>
      </c>
      <c r="R689" s="26">
        <v>1887300</v>
      </c>
      <c r="S689" s="115">
        <f ca="1">IF(PROVEEDORES[[#This Row],[FECHA DE PAGO]]=0,TODAY()-PROVEEDORES[[#This Row],[FECHA DE FACTURACIÓN]]-PROVEEDORES[[#This Row],[PLAZO Días]],0)</f>
        <v>0</v>
      </c>
      <c r="T6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0" spans="1:20" ht="21.9" customHeight="1" x14ac:dyDescent="0.3">
      <c r="A690" s="113" t="str">
        <f>+IF(PROVEEDORES[[#This Row],[FECHA DE PAGO]]=PROVEEDORES[[#This Row],[FECHA DE FACTURACIÓN]],"DE CONTADO","CRÉDITO")</f>
        <v>CRÉDITO</v>
      </c>
      <c r="B690" s="51" t="str">
        <f>+IF((PROVEEDORES[[#This Row],[FECHA DE PAGO]]-PROVEEDORES[[#This Row],[FECHA DE FACTURACIÓN]])&gt;PROVEEDORES[[#This Row],[PLAZO Días]],"PAGO VENCIDO")</f>
        <v>PAGO VENCIDO</v>
      </c>
      <c r="C690" s="25">
        <f>+VLOOKUP(PROVEEDORES[[#This Row],[PROVEEDOR]],TERCEROS_INFO[#All],2,FALSE)</f>
        <v>30</v>
      </c>
      <c r="D690" s="30">
        <f>+SUMIFS(PROVEEDORES[Total],PROVEEDORES[PROVEEDOR],PROVEEDORES[[#This Row],[PROVEEDOR]],PROVEEDORES[FECHA DE PAGO],"")</f>
        <v>0</v>
      </c>
      <c r="E690" s="30"/>
      <c r="F690" s="73" t="str">
        <f>+VLOOKUP(PROVEEDORES[[#This Row],[PROVEEDOR]],TERCEROS_INFO[[PROVEEDOR]:[CORREO]],5,FALSE)</f>
        <v>Info.patex@gmail.com;girlesa.ruiz@servipilas.com;joriescobar64@gmail.com</v>
      </c>
      <c r="G690" s="111">
        <v>44561</v>
      </c>
      <c r="H690" s="31" t="s">
        <v>338</v>
      </c>
      <c r="I690" s="111">
        <v>44431</v>
      </c>
      <c r="J690" s="48" t="s">
        <v>800</v>
      </c>
      <c r="K690" s="26">
        <v>-1300000</v>
      </c>
      <c r="L690" s="26"/>
      <c r="M690" s="27">
        <v>0</v>
      </c>
      <c r="N690" s="28"/>
      <c r="O690" s="27">
        <v>0</v>
      </c>
      <c r="P690" s="28">
        <v>0</v>
      </c>
      <c r="Q690" s="27">
        <v>0</v>
      </c>
      <c r="R690" s="26">
        <v>-1300000</v>
      </c>
      <c r="S690" s="115">
        <f ca="1">IF(PROVEEDORES[[#This Row],[FECHA DE PAGO]]=0,TODAY()-PROVEEDORES[[#This Row],[FECHA DE FACTURACIÓN]]-PROVEEDORES[[#This Row],[PLAZO Días]],0)</f>
        <v>0</v>
      </c>
      <c r="T6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1" spans="1:20" ht="21.9" customHeight="1" x14ac:dyDescent="0.3">
      <c r="A691" s="113" t="str">
        <f>+IF(PROVEEDORES[[#This Row],[FECHA DE PAGO]]=PROVEEDORES[[#This Row],[FECHA DE FACTURACIÓN]],"DE CONTADO","CRÉDITO")</f>
        <v>DE CONTADO</v>
      </c>
      <c r="B691" s="51" t="b">
        <f>+IF((PROVEEDORES[[#This Row],[FECHA DE PAGO]]-PROVEEDORES[[#This Row],[FECHA DE FACTURACIÓN]])&gt;PROVEEDORES[[#This Row],[PLAZO Días]],"PAGO VENCIDO")</f>
        <v>0</v>
      </c>
      <c r="C691" s="25">
        <f>+VLOOKUP(PROVEEDORES[[#This Row],[PROVEEDOR]],TERCEROS_INFO[#All],2,FALSE)</f>
        <v>30</v>
      </c>
      <c r="D691" s="30">
        <f>+SUMIFS(PROVEEDORES[Total],PROVEEDORES[PROVEEDOR],PROVEEDORES[[#This Row],[PROVEEDOR]],PROVEEDORES[FECHA DE PAGO],"")</f>
        <v>0</v>
      </c>
      <c r="E691" s="30"/>
      <c r="F691" s="73">
        <f>+VLOOKUP(PROVEEDORES[[#This Row],[PROVEEDOR]],TERCEROS_INFO[[PROVEEDOR]:[CORREO]],5,FALSE)</f>
        <v>0</v>
      </c>
      <c r="G691" s="111">
        <v>44431</v>
      </c>
      <c r="H691" s="31" t="s">
        <v>1047</v>
      </c>
      <c r="I691" s="111">
        <v>44431</v>
      </c>
      <c r="J691" s="48" t="s">
        <v>799</v>
      </c>
      <c r="K691" s="26">
        <v>1000000</v>
      </c>
      <c r="L691" s="26"/>
      <c r="M691" s="27">
        <v>0</v>
      </c>
      <c r="N691" s="28"/>
      <c r="O691" s="27">
        <v>0</v>
      </c>
      <c r="P691" s="28">
        <v>0</v>
      </c>
      <c r="Q691" s="27">
        <v>0</v>
      </c>
      <c r="R691" s="26">
        <v>1000000</v>
      </c>
      <c r="S691" s="115">
        <f ca="1">IF(PROVEEDORES[[#This Row],[FECHA DE PAGO]]=0,TODAY()-PROVEEDORES[[#This Row],[FECHA DE FACTURACIÓN]]-PROVEEDORES[[#This Row],[PLAZO Días]],0)</f>
        <v>0</v>
      </c>
      <c r="T6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2" spans="1:20" ht="21.9" customHeight="1" x14ac:dyDescent="0.3">
      <c r="A692" s="113" t="str">
        <f>+IF(PROVEEDORES[[#This Row],[FECHA DE PAGO]]=PROVEEDORES[[#This Row],[FECHA DE FACTURACIÓN]],"DE CONTADO","CRÉDITO")</f>
        <v>CRÉDITO</v>
      </c>
      <c r="B692" s="51" t="str">
        <f>+IF((PROVEEDORES[[#This Row],[FECHA DE PAGO]]-PROVEEDORES[[#This Row],[FECHA DE FACTURACIÓN]])&gt;PROVEEDORES[[#This Row],[PLAZO Días]],"PAGO VENCIDO")</f>
        <v>PAGO VENCIDO</v>
      </c>
      <c r="C692" s="25">
        <f>+VLOOKUP(PROVEEDORES[[#This Row],[PROVEEDOR]],TERCEROS_INFO[#All],2,FALSE)</f>
        <v>90</v>
      </c>
      <c r="D692" s="30">
        <f>+SUMIFS(PROVEEDORES[Total],PROVEEDORES[PROVEEDOR],PROVEEDORES[[#This Row],[PROVEEDOR]],PROVEEDORES[FECHA DE PAGO],"")</f>
        <v>26364243.66155</v>
      </c>
      <c r="E692" s="30"/>
      <c r="F692" s="73" t="str">
        <f>+VLOOKUP(PROVEEDORES[[#This Row],[PROVEEDOR]],TERCEROS_INFO[[PROVEEDOR]:[CORREO]],5,FALSE)</f>
        <v>javiergomez_72@hotmail.com ;girlesa.ruiz@servipilas.com;joriescobar64@gmail.com</v>
      </c>
      <c r="G692" s="111">
        <v>44533</v>
      </c>
      <c r="H692" s="31" t="s">
        <v>12</v>
      </c>
      <c r="I692" s="111">
        <v>44431</v>
      </c>
      <c r="J692" s="48" t="s">
        <v>488</v>
      </c>
      <c r="K692" s="26">
        <v>1527733</v>
      </c>
      <c r="L692" s="26"/>
      <c r="M692" s="27">
        <v>290269.27</v>
      </c>
      <c r="N692" s="28"/>
      <c r="O692" s="27">
        <v>0</v>
      </c>
      <c r="P692" s="28">
        <v>2.5000000000000001E-2</v>
      </c>
      <c r="Q692" s="27">
        <v>38193.325000000004</v>
      </c>
      <c r="R692" s="26">
        <v>1779808.9450000001</v>
      </c>
      <c r="S692" s="115">
        <f ca="1">IF(PROVEEDORES[[#This Row],[FECHA DE PAGO]]=0,TODAY()-PROVEEDORES[[#This Row],[FECHA DE FACTURACIÓN]]-PROVEEDORES[[#This Row],[PLAZO Días]],0)</f>
        <v>0</v>
      </c>
      <c r="T6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3" spans="1:20" ht="21.9" customHeight="1" x14ac:dyDescent="0.3">
      <c r="A693" s="113" t="str">
        <f>+IF(PROVEEDORES[[#This Row],[FECHA DE PAGO]]=PROVEEDORES[[#This Row],[FECHA DE FACTURACIÓN]],"DE CONTADO","CRÉDITO")</f>
        <v>DE CONTADO</v>
      </c>
      <c r="B693" s="51" t="b">
        <f>+IF((PROVEEDORES[[#This Row],[FECHA DE PAGO]]-PROVEEDORES[[#This Row],[FECHA DE FACTURACIÓN]])&gt;PROVEEDORES[[#This Row],[PLAZO Días]],"PAGO VENCIDO")</f>
        <v>0</v>
      </c>
      <c r="C693" s="25">
        <f>+VLOOKUP(PROVEEDORES[[#This Row],[PROVEEDOR]],TERCEROS_INFO[#All],2,FALSE)</f>
        <v>30</v>
      </c>
      <c r="D693" s="30">
        <f>+SUMIFS(PROVEEDORES[Total],PROVEEDORES[PROVEEDOR],PROVEEDORES[[#This Row],[PROVEEDOR]],PROVEEDORES[FECHA DE PAGO],"")</f>
        <v>0</v>
      </c>
      <c r="E693" s="30"/>
      <c r="F693" s="73" t="str">
        <f>+VLOOKUP(PROVEEDORES[[#This Row],[PROVEEDOR]],TERCEROS_INFO[[PROVEEDOR]:[CORREO]],5,FALSE)</f>
        <v/>
      </c>
      <c r="G693" s="111">
        <v>44431</v>
      </c>
      <c r="H693" s="31" t="s">
        <v>1007</v>
      </c>
      <c r="I693" s="111">
        <v>44431</v>
      </c>
      <c r="J693" s="48" t="s">
        <v>798</v>
      </c>
      <c r="K693" s="26">
        <v>8149000</v>
      </c>
      <c r="L693" s="26"/>
      <c r="M693" s="27">
        <v>0</v>
      </c>
      <c r="N693" s="28"/>
      <c r="O693" s="27">
        <v>0</v>
      </c>
      <c r="P693" s="28">
        <v>0</v>
      </c>
      <c r="Q693" s="27">
        <v>0</v>
      </c>
      <c r="R693" s="26">
        <v>8149000</v>
      </c>
      <c r="S693" s="115">
        <f ca="1">IF(PROVEEDORES[[#This Row],[FECHA DE PAGO]]=0,TODAY()-PROVEEDORES[[#This Row],[FECHA DE FACTURACIÓN]]-PROVEEDORES[[#This Row],[PLAZO Días]],0)</f>
        <v>0</v>
      </c>
      <c r="T6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4" spans="1:20" ht="21.9" customHeight="1" x14ac:dyDescent="0.3">
      <c r="A694" s="113" t="str">
        <f>+IF(PROVEEDORES[[#This Row],[FECHA DE PAGO]]=PROVEEDORES[[#This Row],[FECHA DE FACTURACIÓN]],"DE CONTADO","CRÉDITO")</f>
        <v>CRÉDITO</v>
      </c>
      <c r="B694" s="51" t="str">
        <f>+IF((PROVEEDORES[[#This Row],[FECHA DE PAGO]]-PROVEEDORES[[#This Row],[FECHA DE FACTURACIÓN]])&gt;PROVEEDORES[[#This Row],[PLAZO Días]],"PAGO VENCIDO")</f>
        <v>PAGO VENCIDO</v>
      </c>
      <c r="C694" s="25">
        <f>+VLOOKUP(PROVEEDORES[[#This Row],[PROVEEDOR]],TERCEROS_INFO[#All],2,FALSE)</f>
        <v>30</v>
      </c>
      <c r="D694" s="30">
        <f>+SUMIFS(PROVEEDORES[Total],PROVEEDORES[PROVEEDOR],PROVEEDORES[[#This Row],[PROVEEDOR]],PROVEEDORES[FECHA DE PAGO],"")</f>
        <v>5060410.5999999996</v>
      </c>
      <c r="E694" s="30"/>
      <c r="F694" s="73" t="str">
        <f>+VLOOKUP(PROVEEDORES[[#This Row],[PROVEEDOR]],TERCEROS_INFO[[PROVEEDOR]:[CORREO]],5,FALSE)</f>
        <v>CBastidas@vyp.com.co;girlesa.ruiz@servipilas.com;joriescobar64@gmail.com</v>
      </c>
      <c r="G694" s="111">
        <v>44496</v>
      </c>
      <c r="H694" s="31" t="s">
        <v>347</v>
      </c>
      <c r="I694" s="111">
        <v>44432</v>
      </c>
      <c r="J694" s="48" t="s">
        <v>937</v>
      </c>
      <c r="K694" s="26">
        <v>-956801</v>
      </c>
      <c r="L694" s="26"/>
      <c r="M694" s="27">
        <v>0</v>
      </c>
      <c r="N694" s="28"/>
      <c r="O694" s="27">
        <v>0</v>
      </c>
      <c r="P694" s="28">
        <v>0</v>
      </c>
      <c r="Q694" s="27">
        <v>0</v>
      </c>
      <c r="R694" s="26">
        <v>-956801</v>
      </c>
      <c r="S694" s="115">
        <f ca="1">IF(PROVEEDORES[[#This Row],[FECHA DE PAGO]]=0,TODAY()-PROVEEDORES[[#This Row],[FECHA DE FACTURACIÓN]]-PROVEEDORES[[#This Row],[PLAZO Días]],0)</f>
        <v>0</v>
      </c>
      <c r="T6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5" spans="1:20" ht="21.9" customHeight="1" x14ac:dyDescent="0.3">
      <c r="A695" s="113" t="str">
        <f>+IF(PROVEEDORES[[#This Row],[FECHA DE PAGO]]=PROVEEDORES[[#This Row],[FECHA DE FACTURACIÓN]],"DE CONTADO","CRÉDITO")</f>
        <v>DE CONTADO</v>
      </c>
      <c r="B695" s="51" t="b">
        <f>+IF((PROVEEDORES[[#This Row],[FECHA DE PAGO]]-PROVEEDORES[[#This Row],[FECHA DE FACTURACIÓN]])&gt;PROVEEDORES[[#This Row],[PLAZO Días]],"PAGO VENCIDO")</f>
        <v>0</v>
      </c>
      <c r="C695" s="25">
        <f>+VLOOKUP(PROVEEDORES[[#This Row],[PROVEEDOR]],TERCEROS_INFO[#All],2,FALSE)</f>
        <v>30</v>
      </c>
      <c r="D695" s="30">
        <f>+SUMIFS(PROVEEDORES[Total],PROVEEDORES[PROVEEDOR],PROVEEDORES[[#This Row],[PROVEEDOR]],PROVEEDORES[FECHA DE PAGO],"")</f>
        <v>0</v>
      </c>
      <c r="E695" s="30"/>
      <c r="F695" s="73" t="str">
        <f>+VLOOKUP(PROVEEDORES[[#This Row],[PROVEEDOR]],TERCEROS_INFO[[PROVEEDOR]:[CORREO]],5,FALSE)</f>
        <v>propertymarketingsas@hotmail.com;girlesa.ruiz@servipilas.com;joriescobar64@gmail.com</v>
      </c>
      <c r="G695" s="111">
        <v>44432</v>
      </c>
      <c r="H695" s="31" t="s">
        <v>486</v>
      </c>
      <c r="I695" s="111">
        <v>44432</v>
      </c>
      <c r="J695" s="48" t="s">
        <v>746</v>
      </c>
      <c r="K695" s="26">
        <v>-691998.74</v>
      </c>
      <c r="L695" s="26"/>
      <c r="M695" s="27">
        <v>0</v>
      </c>
      <c r="N695" s="28"/>
      <c r="O695" s="27">
        <v>0</v>
      </c>
      <c r="P695" s="28">
        <v>0</v>
      </c>
      <c r="Q695" s="27">
        <v>0</v>
      </c>
      <c r="R695" s="26">
        <v>-691998.74</v>
      </c>
      <c r="S695" s="115">
        <f ca="1">IF(PROVEEDORES[[#This Row],[FECHA DE PAGO]]=0,TODAY()-PROVEEDORES[[#This Row],[FECHA DE FACTURACIÓN]]-PROVEEDORES[[#This Row],[PLAZO Días]],0)</f>
        <v>0</v>
      </c>
      <c r="T6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6" spans="1:20" ht="21.9" customHeight="1" x14ac:dyDescent="0.3">
      <c r="A696" s="113" t="str">
        <f>+IF(PROVEEDORES[[#This Row],[FECHA DE PAGO]]=PROVEEDORES[[#This Row],[FECHA DE FACTURACIÓN]],"DE CONTADO","CRÉDITO")</f>
        <v>CRÉDITO</v>
      </c>
      <c r="B696" s="51" t="b">
        <f>+IF((PROVEEDORES[[#This Row],[FECHA DE PAGO]]-PROVEEDORES[[#This Row],[FECHA DE FACTURACIÓN]])&gt;PROVEEDORES[[#This Row],[PLAZO Días]],"PAGO VENCIDO")</f>
        <v>0</v>
      </c>
      <c r="C696" s="25">
        <f>+VLOOKUP(PROVEEDORES[[#This Row],[PROVEEDOR]],TERCEROS_INFO[#All],2,FALSE)</f>
        <v>30</v>
      </c>
      <c r="D696" s="30">
        <f>+SUMIFS(PROVEEDORES[Total],PROVEEDORES[PROVEEDOR],PROVEEDORES[[#This Row],[PROVEEDOR]],PROVEEDORES[FECHA DE PAGO],"")</f>
        <v>0</v>
      </c>
      <c r="E696" s="30"/>
      <c r="F696" s="73" t="str">
        <f>+VLOOKUP(PROVEEDORES[[#This Row],[PROVEEDOR]],TERCEROS_INFO[[PROVEEDOR]:[CORREO]],5,FALSE)</f>
        <v>oswaldo.alvarez@logimexsas.com;girlesa.ruiz@servipilas.com;joriescobar64@gmail.com</v>
      </c>
      <c r="G696" s="111">
        <v>44442</v>
      </c>
      <c r="H696" s="31" t="s">
        <v>456</v>
      </c>
      <c r="I696" s="111">
        <v>44432</v>
      </c>
      <c r="J696" s="48" t="s">
        <v>495</v>
      </c>
      <c r="K696" s="26">
        <v>4158.2</v>
      </c>
      <c r="L696" s="26"/>
      <c r="M696" s="27">
        <v>0</v>
      </c>
      <c r="N696" s="28"/>
      <c r="O696" s="27">
        <v>0</v>
      </c>
      <c r="P696" s="28">
        <v>0</v>
      </c>
      <c r="Q696" s="27">
        <v>0</v>
      </c>
      <c r="R696" s="26">
        <v>4158.2</v>
      </c>
      <c r="S696" s="115">
        <f ca="1">IF(PROVEEDORES[[#This Row],[FECHA DE PAGO]]=0,TODAY()-PROVEEDORES[[#This Row],[FECHA DE FACTURACIÓN]]-PROVEEDORES[[#This Row],[PLAZO Días]],0)</f>
        <v>0</v>
      </c>
      <c r="T69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7" spans="1:20" ht="21.9" customHeight="1" x14ac:dyDescent="0.3">
      <c r="A697" s="113" t="str">
        <f>+IF(PROVEEDORES[[#This Row],[FECHA DE PAGO]]=PROVEEDORES[[#This Row],[FECHA DE FACTURACIÓN]],"DE CONTADO","CRÉDITO")</f>
        <v>CRÉDITO</v>
      </c>
      <c r="B697" s="51" t="str">
        <f>+IF((PROVEEDORES[[#This Row],[FECHA DE PAGO]]-PROVEEDORES[[#This Row],[FECHA DE FACTURACIÓN]])&gt;PROVEEDORES[[#This Row],[PLAZO Días]],"PAGO VENCIDO")</f>
        <v>PAGO VENCIDO</v>
      </c>
      <c r="C697" s="25">
        <f>+VLOOKUP(PROVEEDORES[[#This Row],[PROVEEDOR]],TERCEROS_INFO[#All],2,FALSE)</f>
        <v>30</v>
      </c>
      <c r="D697" s="30">
        <f>+SUMIFS(PROVEEDORES[Total],PROVEEDORES[PROVEEDOR],PROVEEDORES[[#This Row],[PROVEEDOR]],PROVEEDORES[FECHA DE PAGO],"")</f>
        <v>1064947.47</v>
      </c>
      <c r="E697" s="30"/>
      <c r="F697" s="73" t="str">
        <f>+VLOOKUP(PROVEEDORES[[#This Row],[PROVEEDOR]],TERCEROS_INFO[[PROVEEDOR]:[CORREO]],5,FALSE)</f>
        <v>supervisorventasbridge@gmail.com;newtimewatches1@gmail.com;girlesa.ruiz@servipilas.com;joriescobar64@gmail.com</v>
      </c>
      <c r="G697" s="111">
        <v>44488</v>
      </c>
      <c r="H697" s="31" t="s">
        <v>137</v>
      </c>
      <c r="I697" s="111">
        <v>44432</v>
      </c>
      <c r="J697" s="48">
        <v>40</v>
      </c>
      <c r="K697" s="26">
        <v>522353</v>
      </c>
      <c r="L697" s="26"/>
      <c r="M697" s="27">
        <v>99247.07</v>
      </c>
      <c r="N697" s="28"/>
      <c r="O697" s="27">
        <v>0</v>
      </c>
      <c r="P697" s="28">
        <v>0</v>
      </c>
      <c r="Q697" s="27">
        <v>0</v>
      </c>
      <c r="R697" s="26">
        <v>621600.07000000007</v>
      </c>
      <c r="S697" s="115">
        <f ca="1">IF(PROVEEDORES[[#This Row],[FECHA DE PAGO]]=0,TODAY()-PROVEEDORES[[#This Row],[FECHA DE FACTURACIÓN]]-PROVEEDORES[[#This Row],[PLAZO Días]],0)</f>
        <v>0</v>
      </c>
      <c r="T69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8" spans="1:20" ht="21.9" customHeight="1" x14ac:dyDescent="0.3">
      <c r="A698" s="113" t="str">
        <f>+IF(PROVEEDORES[[#This Row],[FECHA DE PAGO]]=PROVEEDORES[[#This Row],[FECHA DE FACTURACIÓN]],"DE CONTADO","CRÉDITO")</f>
        <v>CRÉDITO</v>
      </c>
      <c r="B698" s="51" t="str">
        <f>+IF((PROVEEDORES[[#This Row],[FECHA DE PAGO]]-PROVEEDORES[[#This Row],[FECHA DE FACTURACIÓN]])&gt;PROVEEDORES[[#This Row],[PLAZO Días]],"PAGO VENCIDO")</f>
        <v>PAGO VENCIDO</v>
      </c>
      <c r="C698" s="25">
        <f>+VLOOKUP(PROVEEDORES[[#This Row],[PROVEEDOR]],TERCEROS_INFO[#All],2,FALSE)</f>
        <v>30</v>
      </c>
      <c r="D698" s="30">
        <f>+SUMIFS(PROVEEDORES[Total],PROVEEDORES[PROVEEDOR],PROVEEDORES[[#This Row],[PROVEEDOR]],PROVEEDORES[FECHA DE PAGO],"")</f>
        <v>0</v>
      </c>
      <c r="E698" s="30"/>
      <c r="F698" s="73" t="str">
        <f>+VLOOKUP(PROVEEDORES[[#This Row],[PROVEEDOR]],TERCEROS_INFO[[PROVEEDOR]:[CORREO]],5,FALSE)</f>
        <v>swizzeraux2@gmail.com;girlesa.ruiz@servipilas.com;joriescobar64@gmail.com</v>
      </c>
      <c r="G698" s="111">
        <v>44466</v>
      </c>
      <c r="H698" s="31" t="s">
        <v>1077</v>
      </c>
      <c r="I698" s="111">
        <v>44432</v>
      </c>
      <c r="J698" s="48" t="s">
        <v>802</v>
      </c>
      <c r="K698" s="26">
        <v>811750</v>
      </c>
      <c r="L698" s="26"/>
      <c r="M698" s="27">
        <v>0</v>
      </c>
      <c r="N698" s="28"/>
      <c r="O698" s="27">
        <v>0</v>
      </c>
      <c r="P698" s="28">
        <v>0</v>
      </c>
      <c r="Q698" s="27">
        <v>0</v>
      </c>
      <c r="R698" s="26">
        <v>811750</v>
      </c>
      <c r="S698" s="115">
        <f ca="1">IF(PROVEEDORES[[#This Row],[FECHA DE PAGO]]=0,TODAY()-PROVEEDORES[[#This Row],[FECHA DE FACTURACIÓN]]-PROVEEDORES[[#This Row],[PLAZO Días]],0)</f>
        <v>0</v>
      </c>
      <c r="T6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699" spans="1:20" ht="21.9" customHeight="1" x14ac:dyDescent="0.3">
      <c r="A699" s="113" t="str">
        <f>+IF(PROVEEDORES[[#This Row],[FECHA DE PAGO]]=PROVEEDORES[[#This Row],[FECHA DE FACTURACIÓN]],"DE CONTADO","CRÉDITO")</f>
        <v>CRÉDITO</v>
      </c>
      <c r="B699" s="51" t="b">
        <f>+IF((PROVEEDORES[[#This Row],[FECHA DE PAGO]]-PROVEEDORES[[#This Row],[FECHA DE FACTURACIÓN]])&gt;PROVEEDORES[[#This Row],[PLAZO Días]],"PAGO VENCIDO")</f>
        <v>0</v>
      </c>
      <c r="C699" s="25">
        <f>+VLOOKUP(PROVEEDORES[[#This Row],[PROVEEDOR]],TERCEROS_INFO[#All],2,FALSE)</f>
        <v>30</v>
      </c>
      <c r="D699" s="30">
        <f>+SUMIFS(PROVEEDORES[Total],PROVEEDORES[PROVEEDOR],PROVEEDORES[[#This Row],[PROVEEDOR]],PROVEEDORES[FECHA DE PAGO],"")</f>
        <v>1119790</v>
      </c>
      <c r="E699" s="30"/>
      <c r="F699" s="73" t="str">
        <f>+VLOOKUP(PROVEEDORES[[#This Row],[PROVEEDOR]],TERCEROS_INFO[[PROVEEDOR]:[CORREO]],5,FALSE)</f>
        <v>MVALENCIA@mps.com.co;girlesa.ruiz@servipilas.com;joriescobar64@gmail.com</v>
      </c>
      <c r="G699" s="111">
        <v>44461</v>
      </c>
      <c r="H699" s="31" t="s">
        <v>17</v>
      </c>
      <c r="I699" s="111">
        <v>44432</v>
      </c>
      <c r="J699" s="48">
        <v>1803380</v>
      </c>
      <c r="K699" s="26">
        <v>849915</v>
      </c>
      <c r="L699" s="26"/>
      <c r="M699" s="27">
        <v>161483.85</v>
      </c>
      <c r="N699" s="28"/>
      <c r="O699" s="27">
        <v>0</v>
      </c>
      <c r="P699" s="28">
        <v>0</v>
      </c>
      <c r="Q699" s="27">
        <v>0</v>
      </c>
      <c r="R699" s="26">
        <v>1011398.85</v>
      </c>
      <c r="S699" s="115">
        <f ca="1">IF(PROVEEDORES[[#This Row],[FECHA DE PAGO]]=0,TODAY()-PROVEEDORES[[#This Row],[FECHA DE FACTURACIÓN]]-PROVEEDORES[[#This Row],[PLAZO Días]],0)</f>
        <v>0</v>
      </c>
      <c r="T6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0" spans="1:20" ht="21.9" customHeight="1" x14ac:dyDescent="0.3">
      <c r="A700" s="113" t="str">
        <f>+IF(PROVEEDORES[[#This Row],[FECHA DE PAGO]]=PROVEEDORES[[#This Row],[FECHA DE FACTURACIÓN]],"DE CONTADO","CRÉDITO")</f>
        <v>CRÉDITO</v>
      </c>
      <c r="B700" s="51" t="str">
        <f>+IF((PROVEEDORES[[#This Row],[FECHA DE PAGO]]-PROVEEDORES[[#This Row],[FECHA DE FACTURACIÓN]])&gt;PROVEEDORES[[#This Row],[PLAZO Días]],"PAGO VENCIDO")</f>
        <v>PAGO VENCIDO</v>
      </c>
      <c r="C700" s="25">
        <f>+VLOOKUP(PROVEEDORES[[#This Row],[PROVEEDOR]],TERCEROS_INFO[#All],2,FALSE)</f>
        <v>30</v>
      </c>
      <c r="D700" s="30">
        <f>+SUMIFS(PROVEEDORES[Total],PROVEEDORES[PROVEEDOR],PROVEEDORES[[#This Row],[PROVEEDOR]],PROVEEDORES[FECHA DE PAGO],"")</f>
        <v>0</v>
      </c>
      <c r="E700" s="30"/>
      <c r="F700" s="73" t="str">
        <f>+VLOOKUP(PROVEEDORES[[#This Row],[PROVEEDOR]],TERCEROS_INFO[[PROVEEDOR]:[CORREO]],5,FALSE)</f>
        <v>tesoreria@makingbusiness.com.co;girlesa.ruiz@servipilas.com;joriescobar64@gmail.com</v>
      </c>
      <c r="G700" s="111">
        <v>44481</v>
      </c>
      <c r="H700" s="31" t="s">
        <v>32</v>
      </c>
      <c r="I700" s="111">
        <v>44432</v>
      </c>
      <c r="J700" s="48">
        <v>14801</v>
      </c>
      <c r="K700" s="26">
        <v>1064369.75</v>
      </c>
      <c r="L700" s="26"/>
      <c r="M700" s="27">
        <v>202230.2525</v>
      </c>
      <c r="N700" s="28"/>
      <c r="O700" s="27">
        <v>0</v>
      </c>
      <c r="P700" s="28">
        <v>2.5000000000000001E-2</v>
      </c>
      <c r="Q700" s="27">
        <v>26609.243750000001</v>
      </c>
      <c r="R700" s="26">
        <v>1239990.75875</v>
      </c>
      <c r="S700" s="115">
        <f ca="1">IF(PROVEEDORES[[#This Row],[FECHA DE PAGO]]=0,TODAY()-PROVEEDORES[[#This Row],[FECHA DE FACTURACIÓN]]-PROVEEDORES[[#This Row],[PLAZO Días]],0)</f>
        <v>0</v>
      </c>
      <c r="T70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1" spans="1:20" ht="21.9" customHeight="1" x14ac:dyDescent="0.3">
      <c r="A701" s="113" t="str">
        <f>+IF(PROVEEDORES[[#This Row],[FECHA DE PAGO]]=PROVEEDORES[[#This Row],[FECHA DE FACTURACIÓN]],"DE CONTADO","CRÉDITO")</f>
        <v>CRÉDITO</v>
      </c>
      <c r="B701" s="51" t="str">
        <f>+IF((PROVEEDORES[[#This Row],[FECHA DE PAGO]]-PROVEEDORES[[#This Row],[FECHA DE FACTURACIÓN]])&gt;PROVEEDORES[[#This Row],[PLAZO Días]],"PAGO VENCIDO")</f>
        <v>PAGO VENCIDO</v>
      </c>
      <c r="C701" s="25">
        <f>+VLOOKUP(PROVEEDORES[[#This Row],[PROVEEDOR]],TERCEROS_INFO[#All],2,FALSE)</f>
        <v>30</v>
      </c>
      <c r="D701" s="30">
        <f>+SUMIFS(PROVEEDORES[Total],PROVEEDORES[PROVEEDOR],PROVEEDORES[[#This Row],[PROVEEDOR]],PROVEEDORES[FECHA DE PAGO],"")</f>
        <v>936000</v>
      </c>
      <c r="E701" s="30"/>
      <c r="F701" s="73" t="str">
        <f>+VLOOKUP(PROVEEDORES[[#This Row],[PROVEEDOR]],TERCEROS_INFO[[PROVEEDOR]:[CORREO]],5,FALSE)</f>
        <v>stabarbaradistronik@gmail.com;girlesa.ruiz@servipilas.com;joriescobar64@gmail.com</v>
      </c>
      <c r="G701" s="111">
        <v>44477</v>
      </c>
      <c r="H701" s="31" t="s">
        <v>1072</v>
      </c>
      <c r="I701" s="111">
        <v>44432</v>
      </c>
      <c r="J701" s="48" t="s">
        <v>801</v>
      </c>
      <c r="K701" s="26">
        <v>2317000</v>
      </c>
      <c r="L701" s="26"/>
      <c r="M701" s="27">
        <v>0</v>
      </c>
      <c r="N701" s="28"/>
      <c r="O701" s="27">
        <v>0</v>
      </c>
      <c r="P701" s="28">
        <v>0</v>
      </c>
      <c r="Q701" s="27">
        <v>0</v>
      </c>
      <c r="R701" s="26">
        <v>2317000</v>
      </c>
      <c r="S701" s="115">
        <f ca="1">IF(PROVEEDORES[[#This Row],[FECHA DE PAGO]]=0,TODAY()-PROVEEDORES[[#This Row],[FECHA DE FACTURACIÓN]]-PROVEEDORES[[#This Row],[PLAZO Días]],0)</f>
        <v>0</v>
      </c>
      <c r="T7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2" spans="1:20" ht="21.9" customHeight="1" x14ac:dyDescent="0.3">
      <c r="A702" s="113" t="str">
        <f>+IF(PROVEEDORES[[#This Row],[FECHA DE PAGO]]=PROVEEDORES[[#This Row],[FECHA DE FACTURACIÓN]],"DE CONTADO","CRÉDITO")</f>
        <v>CRÉDITO</v>
      </c>
      <c r="B702" s="51" t="str">
        <f>+IF((PROVEEDORES[[#This Row],[FECHA DE PAGO]]-PROVEEDORES[[#This Row],[FECHA DE FACTURACIÓN]])&gt;PROVEEDORES[[#This Row],[PLAZO Días]],"PAGO VENCIDO")</f>
        <v>PAGO VENCIDO</v>
      </c>
      <c r="C702" s="25">
        <f>+VLOOKUP(PROVEEDORES[[#This Row],[PROVEEDOR]],TERCEROS_INFO[#All],2,FALSE)</f>
        <v>30</v>
      </c>
      <c r="D702" s="30">
        <f>+SUMIFS(PROVEEDORES[Total],PROVEEDORES[PROVEEDOR],PROVEEDORES[[#This Row],[PROVEEDOR]],PROVEEDORES[FECHA DE PAGO],"")</f>
        <v>6482443.1751999995</v>
      </c>
      <c r="E702" s="30"/>
      <c r="F702" s="73" t="str">
        <f>+VLOOKUP(PROVEEDORES[[#This Row],[PROVEEDOR]],TERCEROS_INFO[[PROVEEDOR]:[CORREO]],5,FALSE)</f>
        <v>angela.navas@hyrdistribuciones.com;girlesa.ruiz@servipilas.com;joriescobar64@gmail.com</v>
      </c>
      <c r="G702" s="111">
        <v>44482</v>
      </c>
      <c r="H702" s="31" t="s">
        <v>18</v>
      </c>
      <c r="I702" s="111">
        <v>44432</v>
      </c>
      <c r="J702" s="48">
        <v>1042098</v>
      </c>
      <c r="K702" s="26">
        <v>4739218.08</v>
      </c>
      <c r="L702" s="26"/>
      <c r="M702" s="27">
        <v>900451.43520000007</v>
      </c>
      <c r="N702" s="28"/>
      <c r="O702" s="27">
        <v>0</v>
      </c>
      <c r="P702" s="28">
        <v>2.5000000000000001E-2</v>
      </c>
      <c r="Q702" s="27">
        <v>118480.452</v>
      </c>
      <c r="R702" s="26">
        <v>5521189.0632000007</v>
      </c>
      <c r="S702" s="115">
        <f ca="1">IF(PROVEEDORES[[#This Row],[FECHA DE PAGO]]=0,TODAY()-PROVEEDORES[[#This Row],[FECHA DE FACTURACIÓN]]-PROVEEDORES[[#This Row],[PLAZO Días]],0)</f>
        <v>0</v>
      </c>
      <c r="T7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3" spans="1:20" ht="21.9" customHeight="1" x14ac:dyDescent="0.3">
      <c r="A703" s="113" t="str">
        <f>+IF(PROVEEDORES[[#This Row],[FECHA DE PAGO]]=PROVEEDORES[[#This Row],[FECHA DE FACTURACIÓN]],"DE CONTADO","CRÉDITO")</f>
        <v>CRÉDITO</v>
      </c>
      <c r="B703" s="51" t="str">
        <f>+IF((PROVEEDORES[[#This Row],[FECHA DE PAGO]]-PROVEEDORES[[#This Row],[FECHA DE FACTURACIÓN]])&gt;PROVEEDORES[[#This Row],[PLAZO Días]],"PAGO VENCIDO")</f>
        <v>PAGO VENCIDO</v>
      </c>
      <c r="C703" s="25">
        <f>+VLOOKUP(PROVEEDORES[[#This Row],[PROVEEDOR]],TERCEROS_INFO[#All],2,FALSE)</f>
        <v>30</v>
      </c>
      <c r="D703" s="30">
        <f>+SUMIFS(PROVEEDORES[Total],PROVEEDORES[PROVEEDOR],PROVEEDORES[[#This Row],[PROVEEDOR]],PROVEEDORES[FECHA DE PAGO],"")</f>
        <v>0</v>
      </c>
      <c r="E703" s="30"/>
      <c r="F703" s="73" t="str">
        <f>+VLOOKUP(PROVEEDORES[[#This Row],[PROVEEDOR]],TERCEROS_INFO[[PROVEEDOR]:[CORREO]],5,FALSE)</f>
        <v>gerencia@som-tec.com</v>
      </c>
      <c r="G703" s="111">
        <v>44483</v>
      </c>
      <c r="H703" s="31" t="s">
        <v>1032</v>
      </c>
      <c r="I703" s="111">
        <v>44433</v>
      </c>
      <c r="J703" s="48" t="s">
        <v>804</v>
      </c>
      <c r="K703" s="26">
        <v>-120000</v>
      </c>
      <c r="L703" s="26"/>
      <c r="M703" s="27">
        <v>0</v>
      </c>
      <c r="N703" s="28"/>
      <c r="O703" s="27">
        <v>0</v>
      </c>
      <c r="P703" s="28">
        <v>0</v>
      </c>
      <c r="Q703" s="27">
        <v>0</v>
      </c>
      <c r="R703" s="26">
        <v>-120000</v>
      </c>
      <c r="S703" s="115">
        <f ca="1">IF(PROVEEDORES[[#This Row],[FECHA DE PAGO]]=0,TODAY()-PROVEEDORES[[#This Row],[FECHA DE FACTURACIÓN]]-PROVEEDORES[[#This Row],[PLAZO Días]],0)</f>
        <v>0</v>
      </c>
      <c r="T7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4" spans="1:20" ht="21.9" customHeight="1" x14ac:dyDescent="0.3">
      <c r="A704" s="113" t="str">
        <f>+IF(PROVEEDORES[[#This Row],[FECHA DE PAGO]]=PROVEEDORES[[#This Row],[FECHA DE FACTURACIÓN]],"DE CONTADO","CRÉDITO")</f>
        <v>CRÉDITO</v>
      </c>
      <c r="B704" s="51" t="b">
        <f>+IF((PROVEEDORES[[#This Row],[FECHA DE PAGO]]-PROVEEDORES[[#This Row],[FECHA DE FACTURACIÓN]])&gt;PROVEEDORES[[#This Row],[PLAZO Días]],"PAGO VENCIDO")</f>
        <v>0</v>
      </c>
      <c r="C704" s="25">
        <f>+VLOOKUP(PROVEEDORES[[#This Row],[PROVEEDOR]],TERCEROS_INFO[#All],2,FALSE)</f>
        <v>30</v>
      </c>
      <c r="D704" s="30">
        <f>+SUMIFS(PROVEEDORES[Total],PROVEEDORES[PROVEEDOR],PROVEEDORES[[#This Row],[PROVEEDOR]],PROVEEDORES[FECHA DE PAGO],"")</f>
        <v>-30345</v>
      </c>
      <c r="E704" s="30"/>
      <c r="F704" s="73" t="str">
        <f>+VLOOKUP(PROVEEDORES[[#This Row],[PROVEEDOR]],TERCEROS_INFO[[PROVEEDOR]:[CORREO]],5,FALSE)</f>
        <v>ventasmegamundo@yahoo.es;girlesa.ruiz@servipilas.com;joriescobar64@gmail.com</v>
      </c>
      <c r="G704" s="111">
        <v>44442</v>
      </c>
      <c r="H704" s="31" t="s">
        <v>1146</v>
      </c>
      <c r="I704" s="111">
        <v>44433</v>
      </c>
      <c r="J704" s="48" t="s">
        <v>504</v>
      </c>
      <c r="K704" s="26">
        <v>-95378.15</v>
      </c>
      <c r="L704" s="26"/>
      <c r="M704" s="27">
        <v>-18121.8485</v>
      </c>
      <c r="N704" s="28"/>
      <c r="O704" s="27">
        <v>0</v>
      </c>
      <c r="P704" s="28">
        <v>0</v>
      </c>
      <c r="Q704" s="27">
        <v>0</v>
      </c>
      <c r="R704" s="26">
        <v>-113499.99849999999</v>
      </c>
      <c r="S704" s="115">
        <f ca="1">IF(PROVEEDORES[[#This Row],[FECHA DE PAGO]]=0,TODAY()-PROVEEDORES[[#This Row],[FECHA DE FACTURACIÓN]]-PROVEEDORES[[#This Row],[PLAZO Días]],0)</f>
        <v>0</v>
      </c>
      <c r="T7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5" spans="1:20" ht="21.9" customHeight="1" x14ac:dyDescent="0.3">
      <c r="A705" s="113" t="str">
        <f>+IF(PROVEEDORES[[#This Row],[FECHA DE PAGO]]=PROVEEDORES[[#This Row],[FECHA DE FACTURACIÓN]],"DE CONTADO","CRÉDITO")</f>
        <v>CRÉDITO</v>
      </c>
      <c r="B705" s="51" t="str">
        <f>+IF((PROVEEDORES[[#This Row],[FECHA DE PAGO]]-PROVEEDORES[[#This Row],[FECHA DE FACTURACIÓN]])&gt;PROVEEDORES[[#This Row],[PLAZO Días]],"PAGO VENCIDO")</f>
        <v>PAGO VENCIDO</v>
      </c>
      <c r="C705" s="25">
        <f>+VLOOKUP(PROVEEDORES[[#This Row],[PROVEEDOR]],TERCEROS_INFO[#All],2,FALSE)</f>
        <v>30</v>
      </c>
      <c r="D705" s="30">
        <f>+SUMIFS(PROVEEDORES[Total],PROVEEDORES[PROVEEDOR],PROVEEDORES[[#This Row],[PROVEEDOR]],PROVEEDORES[FECHA DE PAGO],"")</f>
        <v>0</v>
      </c>
      <c r="E705" s="30"/>
      <c r="F705" s="73" t="str">
        <f>+VLOOKUP(PROVEEDORES[[#This Row],[PROVEEDOR]],TERCEROS_INFO[[PROVEEDOR]:[CORREO]],5,FALSE)</f>
        <v>cartera@jeway.com.co;girlesa.ruiz@servipilas.com;joriescobar64@gmail.com</v>
      </c>
      <c r="G705" s="111">
        <v>44562</v>
      </c>
      <c r="H705" s="31" t="s">
        <v>34</v>
      </c>
      <c r="I705" s="111">
        <v>44433</v>
      </c>
      <c r="J705" s="48" t="s">
        <v>487</v>
      </c>
      <c r="K705" s="26">
        <v>0</v>
      </c>
      <c r="L705" s="26"/>
      <c r="M705" s="27">
        <v>0</v>
      </c>
      <c r="N705" s="28"/>
      <c r="O705" s="27">
        <v>0</v>
      </c>
      <c r="P705" s="28">
        <v>0</v>
      </c>
      <c r="Q705" s="27">
        <v>0</v>
      </c>
      <c r="R705" s="26">
        <v>-12185</v>
      </c>
      <c r="S705" s="115">
        <f ca="1">IF(PROVEEDORES[[#This Row],[FECHA DE PAGO]]=0,TODAY()-PROVEEDORES[[#This Row],[FECHA DE FACTURACIÓN]]-PROVEEDORES[[#This Row],[PLAZO Días]],0)</f>
        <v>0</v>
      </c>
      <c r="T70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6" spans="1:20" ht="21.9" customHeight="1" x14ac:dyDescent="0.3">
      <c r="A706" s="113" t="str">
        <f>+IF(PROVEEDORES[[#This Row],[FECHA DE PAGO]]=PROVEEDORES[[#This Row],[FECHA DE FACTURACIÓN]],"DE CONTADO","CRÉDITO")</f>
        <v>DE CONTADO</v>
      </c>
      <c r="B706" s="51" t="b">
        <f>+IF((PROVEEDORES[[#This Row],[FECHA DE PAGO]]-PROVEEDORES[[#This Row],[FECHA DE FACTURACIÓN]])&gt;PROVEEDORES[[#This Row],[PLAZO Días]],"PAGO VENCIDO")</f>
        <v>0</v>
      </c>
      <c r="C706" s="25">
        <f>+VLOOKUP(PROVEEDORES[[#This Row],[PROVEEDOR]],TERCEROS_INFO[#All],2,FALSE)</f>
        <v>30</v>
      </c>
      <c r="D706" s="30">
        <f>+SUMIFS(PROVEEDORES[Total],PROVEEDORES[PROVEEDOR],PROVEEDORES[[#This Row],[PROVEEDOR]],PROVEEDORES[FECHA DE PAGO],"")</f>
        <v>0</v>
      </c>
      <c r="E706" s="30"/>
      <c r="F706" s="73" t="str">
        <f>+VLOOKUP(PROVEEDORES[[#This Row],[PROVEEDOR]],TERCEROS_INFO[[PROVEEDOR]:[CORREO]],5,FALSE)</f>
        <v>??;girlesa.ruiz@servipilas.com;joriescobar64@gmail.com</v>
      </c>
      <c r="G706" s="111">
        <v>44433</v>
      </c>
      <c r="H706" s="31" t="s">
        <v>1018</v>
      </c>
      <c r="I706" s="111">
        <v>44433</v>
      </c>
      <c r="J706" s="48" t="s">
        <v>803</v>
      </c>
      <c r="K706" s="26">
        <v>696000</v>
      </c>
      <c r="L706" s="26"/>
      <c r="M706" s="27">
        <v>0</v>
      </c>
      <c r="N706" s="28">
        <v>0.1</v>
      </c>
      <c r="O706" s="27">
        <v>69600</v>
      </c>
      <c r="P706" s="28">
        <v>0</v>
      </c>
      <c r="Q706" s="27">
        <v>0</v>
      </c>
      <c r="R706" s="26">
        <v>626400</v>
      </c>
      <c r="S706" s="115">
        <f ca="1">IF(PROVEEDORES[[#This Row],[FECHA DE PAGO]]=0,TODAY()-PROVEEDORES[[#This Row],[FECHA DE FACTURACIÓN]]-PROVEEDORES[[#This Row],[PLAZO Días]],0)</f>
        <v>0</v>
      </c>
      <c r="T70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7" spans="1:20" ht="21.9" customHeight="1" x14ac:dyDescent="0.3">
      <c r="A707" s="113" t="str">
        <f>+IF(PROVEEDORES[[#This Row],[FECHA DE PAGO]]=PROVEEDORES[[#This Row],[FECHA DE FACTURACIÓN]],"DE CONTADO","CRÉDITO")</f>
        <v>CRÉDITO</v>
      </c>
      <c r="B707" s="51" t="str">
        <f>+IF((PROVEEDORES[[#This Row],[FECHA DE PAGO]]-PROVEEDORES[[#This Row],[FECHA DE FACTURACIÓN]])&gt;PROVEEDORES[[#This Row],[PLAZO Días]],"PAGO VENCIDO")</f>
        <v>PAGO VENCIDO</v>
      </c>
      <c r="C707" s="25">
        <f>+VLOOKUP(PROVEEDORES[[#This Row],[PROVEEDOR]],TERCEROS_INFO[#All],2,FALSE)</f>
        <v>90</v>
      </c>
      <c r="D707" s="30">
        <f>+SUMIFS(PROVEEDORES[Total],PROVEEDORES[PROVEEDOR],PROVEEDORES[[#This Row],[PROVEEDOR]],PROVEEDORES[FECHA DE PAGO],"")</f>
        <v>26364243.66155</v>
      </c>
      <c r="E707" s="30"/>
      <c r="F707" s="73" t="str">
        <f>+VLOOKUP(PROVEEDORES[[#This Row],[PROVEEDOR]],TERCEROS_INFO[[PROVEEDOR]:[CORREO]],5,FALSE)</f>
        <v>javiergomez_72@hotmail.com ;girlesa.ruiz@servipilas.com;joriescobar64@gmail.com</v>
      </c>
      <c r="G707" s="111">
        <v>44533</v>
      </c>
      <c r="H707" s="31" t="s">
        <v>12</v>
      </c>
      <c r="I707" s="111">
        <v>44433</v>
      </c>
      <c r="J707" s="48" t="s">
        <v>489</v>
      </c>
      <c r="K707" s="26">
        <v>949580</v>
      </c>
      <c r="L707" s="26"/>
      <c r="M707" s="27">
        <v>180420.2</v>
      </c>
      <c r="N707" s="28"/>
      <c r="O707" s="27">
        <v>0</v>
      </c>
      <c r="P707" s="28">
        <v>0</v>
      </c>
      <c r="Q707" s="27">
        <v>0</v>
      </c>
      <c r="R707" s="26">
        <v>1130000.2</v>
      </c>
      <c r="S707" s="115">
        <f ca="1">IF(PROVEEDORES[[#This Row],[FECHA DE PAGO]]=0,TODAY()-PROVEEDORES[[#This Row],[FECHA DE FACTURACIÓN]]-PROVEEDORES[[#This Row],[PLAZO Días]],0)</f>
        <v>0</v>
      </c>
      <c r="T70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8" spans="1:20" ht="21.9" customHeight="1" x14ac:dyDescent="0.3">
      <c r="A708" s="113" t="str">
        <f>+IF(PROVEEDORES[[#This Row],[FECHA DE PAGO]]=PROVEEDORES[[#This Row],[FECHA DE FACTURACIÓN]],"DE CONTADO","CRÉDITO")</f>
        <v>DE CONTADO</v>
      </c>
      <c r="B708" s="51" t="b">
        <f>+IF((PROVEEDORES[[#This Row],[FECHA DE PAGO]]-PROVEEDORES[[#This Row],[FECHA DE FACTURACIÓN]])&gt;PROVEEDORES[[#This Row],[PLAZO Días]],"PAGO VENCIDO")</f>
        <v>0</v>
      </c>
      <c r="C708" s="25">
        <f>+VLOOKUP(PROVEEDORES[[#This Row],[PROVEEDOR]],TERCEROS_INFO[#All],2,FALSE)</f>
        <v>30</v>
      </c>
      <c r="D708" s="30">
        <f>+SUMIFS(PROVEEDORES[Total],PROVEEDORES[PROVEEDOR],PROVEEDORES[[#This Row],[PROVEEDOR]],PROVEEDORES[FECHA DE PAGO],"")</f>
        <v>0</v>
      </c>
      <c r="E708" s="30"/>
      <c r="F708" s="73" t="str">
        <f>+VLOOKUP(PROVEEDORES[[#This Row],[PROVEEDOR]],TERCEROS_INFO[[PROVEEDOR]:[CORREO]],5,FALSE)</f>
        <v/>
      </c>
      <c r="G708" s="111">
        <v>44434</v>
      </c>
      <c r="H708" s="31" t="s">
        <v>1052</v>
      </c>
      <c r="I708" s="111">
        <v>44434</v>
      </c>
      <c r="J708" s="48"/>
      <c r="K708" s="26">
        <v>810000</v>
      </c>
      <c r="L708" s="26"/>
      <c r="M708" s="27">
        <v>0</v>
      </c>
      <c r="N708" s="28"/>
      <c r="O708" s="27">
        <v>0</v>
      </c>
      <c r="P708" s="28">
        <v>0</v>
      </c>
      <c r="Q708" s="27">
        <v>0</v>
      </c>
      <c r="R708" s="26">
        <v>810000</v>
      </c>
      <c r="S708" s="115">
        <f ca="1">IF(PROVEEDORES[[#This Row],[FECHA DE PAGO]]=0,TODAY()-PROVEEDORES[[#This Row],[FECHA DE FACTURACIÓN]]-PROVEEDORES[[#This Row],[PLAZO Días]],0)</f>
        <v>0</v>
      </c>
      <c r="T7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09" spans="1:20" ht="21.9" customHeight="1" x14ac:dyDescent="0.3">
      <c r="A709" s="113" t="str">
        <f>+IF(PROVEEDORES[[#This Row],[FECHA DE PAGO]]=PROVEEDORES[[#This Row],[FECHA DE FACTURACIÓN]],"DE CONTADO","CRÉDITO")</f>
        <v>DE CONTADO</v>
      </c>
      <c r="B709" s="51" t="b">
        <f>+IF((PROVEEDORES[[#This Row],[FECHA DE PAGO]]-PROVEEDORES[[#This Row],[FECHA DE FACTURACIÓN]])&gt;PROVEEDORES[[#This Row],[PLAZO Días]],"PAGO VENCIDO")</f>
        <v>0</v>
      </c>
      <c r="C709" s="25">
        <f>+VLOOKUP(PROVEEDORES[[#This Row],[PROVEEDOR]],TERCEROS_INFO[#All],2,FALSE)</f>
        <v>30</v>
      </c>
      <c r="D709" s="30">
        <f>+SUMIFS(PROVEEDORES[Total],PROVEEDORES[PROVEEDOR],PROVEEDORES[[#This Row],[PROVEEDOR]],PROVEEDORES[FECHA DE PAGO],"")</f>
        <v>0</v>
      </c>
      <c r="E709" s="30"/>
      <c r="F709" s="73" t="str">
        <f>+VLOOKUP(PROVEEDORES[[#This Row],[PROVEEDOR]],TERCEROS_INFO[[PROVEEDOR]:[CORREO]],5,FALSE)</f>
        <v/>
      </c>
      <c r="G709" s="111">
        <v>44434</v>
      </c>
      <c r="H709" s="31" t="s">
        <v>1052</v>
      </c>
      <c r="I709" s="111">
        <v>44434</v>
      </c>
      <c r="J709" s="48"/>
      <c r="K709" s="26">
        <v>1000000</v>
      </c>
      <c r="L709" s="26"/>
      <c r="M709" s="27">
        <v>0</v>
      </c>
      <c r="N709" s="28"/>
      <c r="O709" s="27">
        <v>0</v>
      </c>
      <c r="P709" s="28">
        <v>0</v>
      </c>
      <c r="Q709" s="27">
        <v>0</v>
      </c>
      <c r="R709" s="26">
        <v>1000000</v>
      </c>
      <c r="S709" s="115">
        <f ca="1">IF(PROVEEDORES[[#This Row],[FECHA DE PAGO]]=0,TODAY()-PROVEEDORES[[#This Row],[FECHA DE FACTURACIÓN]]-PROVEEDORES[[#This Row],[PLAZO Días]],0)</f>
        <v>0</v>
      </c>
      <c r="T70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0" spans="1:20" ht="21.9" customHeight="1" x14ac:dyDescent="0.3">
      <c r="A710" s="113" t="str">
        <f>+IF(PROVEEDORES[[#This Row],[FECHA DE PAGO]]=PROVEEDORES[[#This Row],[FECHA DE FACTURACIÓN]],"DE CONTADO","CRÉDITO")</f>
        <v>CRÉDITO</v>
      </c>
      <c r="B710" s="51" t="str">
        <f>+IF((PROVEEDORES[[#This Row],[FECHA DE PAGO]]-PROVEEDORES[[#This Row],[FECHA DE FACTURACIÓN]])&gt;PROVEEDORES[[#This Row],[PLAZO Días]],"PAGO VENCIDO")</f>
        <v>PAGO VENCIDO</v>
      </c>
      <c r="C710" s="25">
        <f>+VLOOKUP(PROVEEDORES[[#This Row],[PROVEEDOR]],TERCEROS_INFO[#All],2,FALSE)</f>
        <v>30</v>
      </c>
      <c r="D710" s="30">
        <f>+SUMIFS(PROVEEDORES[Total],PROVEEDORES[PROVEEDOR],PROVEEDORES[[#This Row],[PROVEEDOR]],PROVEEDORES[FECHA DE PAGO],"")</f>
        <v>4078650.6</v>
      </c>
      <c r="E710" s="30"/>
      <c r="F710" s="73" t="str">
        <f>+VLOOKUP(PROVEEDORES[[#This Row],[PROVEEDOR]],TERCEROS_INFO[[PROVEEDOR]:[CORREO]],5,FALSE)</f>
        <v>financiera@nalpicentral.com;girlesa.ruiz@servipilas.com;joriescobar64@gmail.com</v>
      </c>
      <c r="G710" s="111">
        <v>44498</v>
      </c>
      <c r="H710" s="31" t="s">
        <v>1095</v>
      </c>
      <c r="I710" s="111">
        <v>44434</v>
      </c>
      <c r="J710" s="48">
        <v>22248</v>
      </c>
      <c r="K710" s="26">
        <v>1912672</v>
      </c>
      <c r="L710" s="26">
        <v>88792</v>
      </c>
      <c r="M710" s="27">
        <v>346537.2</v>
      </c>
      <c r="N710" s="28"/>
      <c r="O710" s="27">
        <v>0</v>
      </c>
      <c r="P710" s="28">
        <v>2.5000000000000001E-2</v>
      </c>
      <c r="Q710" s="27">
        <v>45597</v>
      </c>
      <c r="R710" s="26">
        <v>2124820.2000000002</v>
      </c>
      <c r="S710" s="115">
        <f ca="1">IF(PROVEEDORES[[#This Row],[FECHA DE PAGO]]=0,TODAY()-PROVEEDORES[[#This Row],[FECHA DE FACTURACIÓN]]-PROVEEDORES[[#This Row],[PLAZO Días]],0)</f>
        <v>0</v>
      </c>
      <c r="T7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1" spans="1:20" ht="21.9" customHeight="1" x14ac:dyDescent="0.3">
      <c r="A711" s="113" t="str">
        <f>+IF(PROVEEDORES[[#This Row],[FECHA DE PAGO]]=PROVEEDORES[[#This Row],[FECHA DE FACTURACIÓN]],"DE CONTADO","CRÉDITO")</f>
        <v>CRÉDITO</v>
      </c>
      <c r="B711" s="51" t="b">
        <f>+IF((PROVEEDORES[[#This Row],[FECHA DE PAGO]]-PROVEEDORES[[#This Row],[FECHA DE FACTURACIÓN]])&gt;PROVEEDORES[[#This Row],[PLAZO Días]],"PAGO VENCIDO")</f>
        <v>0</v>
      </c>
      <c r="C711" s="25">
        <f>+VLOOKUP(PROVEEDORES[[#This Row],[PROVEEDOR]],TERCEROS_INFO[#All],2,FALSE)</f>
        <v>180</v>
      </c>
      <c r="D711" s="30">
        <f>+SUMIFS(PROVEEDORES[Total],PROVEEDORES[PROVEEDOR],PROVEEDORES[[#This Row],[PROVEEDOR]],PROVEEDORES[FECHA DE PAGO],"")</f>
        <v>0</v>
      </c>
      <c r="E711" s="30"/>
      <c r="F711" s="73" t="str">
        <f>+VLOOKUP(PROVEEDORES[[#This Row],[PROVEEDOR]],TERCEROS_INFO[[PROVEEDOR]:[CORREO]],5,FALSE)</f>
        <v>pse</v>
      </c>
      <c r="G711" s="111">
        <v>44436</v>
      </c>
      <c r="H711" s="31" t="s">
        <v>371</v>
      </c>
      <c r="I711" s="111">
        <v>44435</v>
      </c>
      <c r="J711" s="48" t="s">
        <v>29</v>
      </c>
      <c r="K711" s="26">
        <v>0</v>
      </c>
      <c r="L711" s="26"/>
      <c r="M711" s="27">
        <v>0</v>
      </c>
      <c r="N711" s="28"/>
      <c r="O711" s="27">
        <v>1604000</v>
      </c>
      <c r="P711" s="28">
        <v>0</v>
      </c>
      <c r="Q711" s="27">
        <v>0</v>
      </c>
      <c r="R711" s="26">
        <v>-1604000</v>
      </c>
      <c r="S711" s="115">
        <f ca="1">IF(PROVEEDORES[[#This Row],[FECHA DE PAGO]]=0,TODAY()-PROVEEDORES[[#This Row],[FECHA DE FACTURACIÓN]]-PROVEEDORES[[#This Row],[PLAZO Días]],0)</f>
        <v>0</v>
      </c>
      <c r="T7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2" spans="1:20" ht="21.9" customHeight="1" x14ac:dyDescent="0.3">
      <c r="A712" s="113" t="str">
        <f>+IF(PROVEEDORES[[#This Row],[FECHA DE PAGO]]=PROVEEDORES[[#This Row],[FECHA DE FACTURACIÓN]],"DE CONTADO","CRÉDITO")</f>
        <v>CRÉDITO</v>
      </c>
      <c r="B712" s="51" t="str">
        <f>+IF((PROVEEDORES[[#This Row],[FECHA DE PAGO]]-PROVEEDORES[[#This Row],[FECHA DE FACTURACIÓN]])&gt;PROVEEDORES[[#This Row],[PLAZO Días]],"PAGO VENCIDO")</f>
        <v>PAGO VENCIDO</v>
      </c>
      <c r="C712" s="25">
        <f>+VLOOKUP(PROVEEDORES[[#This Row],[PROVEEDOR]],TERCEROS_INFO[#All],2,FALSE)</f>
        <v>30</v>
      </c>
      <c r="D712" s="30">
        <f>+SUMIFS(PROVEEDORES[Total],PROVEEDORES[PROVEEDOR],PROVEEDORES[[#This Row],[PROVEEDOR]],PROVEEDORES[FECHA DE PAGO],"")</f>
        <v>21832129.73</v>
      </c>
      <c r="E712" s="30"/>
      <c r="F712" s="73" t="str">
        <f>+VLOOKUP(PROVEEDORES[[#This Row],[PROVEEDOR]],TERCEROS_INFO[[PROVEEDOR]:[CORREO]],5,FALSE)</f>
        <v>cartera1@grupostatur.com;girlesa.ruiz@servipilas.com;joriescobar64@gmail.com</v>
      </c>
      <c r="G712" s="111">
        <v>44537</v>
      </c>
      <c r="H712" s="31" t="s">
        <v>9</v>
      </c>
      <c r="I712" s="111">
        <v>44435</v>
      </c>
      <c r="J712" s="48">
        <v>71594</v>
      </c>
      <c r="K712" s="26">
        <v>289527</v>
      </c>
      <c r="L712" s="26"/>
      <c r="M712" s="27">
        <v>55010.13</v>
      </c>
      <c r="N712" s="28"/>
      <c r="O712" s="27">
        <v>0</v>
      </c>
      <c r="P712" s="28">
        <v>0</v>
      </c>
      <c r="Q712" s="27">
        <v>0</v>
      </c>
      <c r="R712" s="26">
        <v>344537.13</v>
      </c>
      <c r="S712" s="115">
        <f ca="1">IF(PROVEEDORES[[#This Row],[FECHA DE PAGO]]=0,TODAY()-PROVEEDORES[[#This Row],[FECHA DE FACTURACIÓN]]-PROVEEDORES[[#This Row],[PLAZO Días]],0)</f>
        <v>0</v>
      </c>
      <c r="T7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3" spans="1:20" ht="21.9" customHeight="1" x14ac:dyDescent="0.3">
      <c r="A713" s="113" t="str">
        <f>+IF(PROVEEDORES[[#This Row],[FECHA DE PAGO]]=PROVEEDORES[[#This Row],[FECHA DE FACTURACIÓN]],"DE CONTADO","CRÉDITO")</f>
        <v>CRÉDITO</v>
      </c>
      <c r="B713" s="51" t="b">
        <f>+IF((PROVEEDORES[[#This Row],[FECHA DE PAGO]]-PROVEEDORES[[#This Row],[FECHA DE FACTURACIÓN]])&gt;PROVEEDORES[[#This Row],[PLAZO Días]],"PAGO VENCIDO")</f>
        <v>0</v>
      </c>
      <c r="C713" s="25">
        <f>+VLOOKUP(PROVEEDORES[[#This Row],[PROVEEDOR]],TERCEROS_INFO[#All],2,FALSE)</f>
        <v>30</v>
      </c>
      <c r="D713" s="30">
        <f>+SUMIFS(PROVEEDORES[Total],PROVEEDORES[PROVEEDOR],PROVEEDORES[[#This Row],[PROVEEDOR]],PROVEEDORES[FECHA DE PAGO],"")</f>
        <v>3320000</v>
      </c>
      <c r="E713" s="30"/>
      <c r="F713" s="73" t="str">
        <f>+VLOOKUP(PROVEEDORES[[#This Row],[PROVEEDOR]],TERCEROS_INFO[[PROVEEDOR]:[CORREO]],5,FALSE)</f>
        <v>Pygimportadora@gmail.com;girlesa.ruiz@servipilas.com;joriescobar64@gmail.com</v>
      </c>
      <c r="G713" s="111">
        <v>44445</v>
      </c>
      <c r="H713" s="31" t="s">
        <v>1068</v>
      </c>
      <c r="I713" s="111">
        <v>44435</v>
      </c>
      <c r="J713" s="48" t="s">
        <v>805</v>
      </c>
      <c r="K713" s="26">
        <v>1500000</v>
      </c>
      <c r="L713" s="26"/>
      <c r="M713" s="27">
        <v>0</v>
      </c>
      <c r="N713" s="28"/>
      <c r="O713" s="27">
        <v>0</v>
      </c>
      <c r="P713" s="28">
        <v>0</v>
      </c>
      <c r="Q713" s="27">
        <v>0</v>
      </c>
      <c r="R713" s="26">
        <v>1500000</v>
      </c>
      <c r="S713" s="115">
        <f ca="1">IF(PROVEEDORES[[#This Row],[FECHA DE PAGO]]=0,TODAY()-PROVEEDORES[[#This Row],[FECHA DE FACTURACIÓN]]-PROVEEDORES[[#This Row],[PLAZO Días]],0)</f>
        <v>0</v>
      </c>
      <c r="T7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4" spans="1:20" ht="21.9" customHeight="1" x14ac:dyDescent="0.3">
      <c r="A714" s="113" t="str">
        <f>+IF(PROVEEDORES[[#This Row],[FECHA DE PAGO]]=PROVEEDORES[[#This Row],[FECHA DE FACTURACIÓN]],"DE CONTADO","CRÉDITO")</f>
        <v>CRÉDITO</v>
      </c>
      <c r="B714" s="51" t="str">
        <f>+IF((PROVEEDORES[[#This Row],[FECHA DE PAGO]]-PROVEEDORES[[#This Row],[FECHA DE FACTURACIÓN]])&gt;PROVEEDORES[[#This Row],[PLAZO Días]],"PAGO VENCIDO")</f>
        <v>PAGO VENCIDO</v>
      </c>
      <c r="C714" s="25">
        <f>+VLOOKUP(PROVEEDORES[[#This Row],[PROVEEDOR]],TERCEROS_INFO[#All],2,FALSE)</f>
        <v>30</v>
      </c>
      <c r="D714" s="30">
        <f>+SUMIFS(PROVEEDORES[Total],PROVEEDORES[PROVEEDOR],PROVEEDORES[[#This Row],[PROVEEDOR]],PROVEEDORES[FECHA DE PAGO],"")</f>
        <v>3400186.8245000001</v>
      </c>
      <c r="E714" s="30"/>
      <c r="F714" s="73" t="str">
        <f>+VLOOKUP(PROVEEDORES[[#This Row],[PROVEEDOR]],TERCEROS_INFO[[PROVEEDOR]:[CORREO]],5,FALSE)</f>
        <v>contabilidad@amgimportadora.com;mcastellanos@amgimportadora.com;girlesa.ruiz@servipilas.com;joriescobar64@gmail.com</v>
      </c>
      <c r="G714" s="111">
        <v>44476</v>
      </c>
      <c r="H714" s="31" t="s">
        <v>20</v>
      </c>
      <c r="I714" s="111">
        <v>44435</v>
      </c>
      <c r="J714" s="48">
        <v>4659</v>
      </c>
      <c r="K714" s="26">
        <v>1955400</v>
      </c>
      <c r="L714" s="26"/>
      <c r="M714" s="27">
        <v>371526</v>
      </c>
      <c r="N714" s="28"/>
      <c r="O714" s="27">
        <v>0</v>
      </c>
      <c r="P714" s="28">
        <v>2.5000000000000001E-2</v>
      </c>
      <c r="Q714" s="27">
        <v>48885</v>
      </c>
      <c r="R714" s="26">
        <v>2278041</v>
      </c>
      <c r="S714" s="115">
        <f ca="1">IF(PROVEEDORES[[#This Row],[FECHA DE PAGO]]=0,TODAY()-PROVEEDORES[[#This Row],[FECHA DE FACTURACIÓN]]-PROVEEDORES[[#This Row],[PLAZO Días]],0)</f>
        <v>0</v>
      </c>
      <c r="T7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5" spans="1:20" ht="21.9" customHeight="1" x14ac:dyDescent="0.3">
      <c r="A715" s="113" t="str">
        <f>+IF(PROVEEDORES[[#This Row],[FECHA DE PAGO]]=PROVEEDORES[[#This Row],[FECHA DE FACTURACIÓN]],"DE CONTADO","CRÉDITO")</f>
        <v>CRÉDITO</v>
      </c>
      <c r="B715" s="51" t="str">
        <f>+IF((PROVEEDORES[[#This Row],[FECHA DE PAGO]]-PROVEEDORES[[#This Row],[FECHA DE FACTURACIÓN]])&gt;PROVEEDORES[[#This Row],[PLAZO Días]],"PAGO VENCIDO")</f>
        <v>PAGO VENCIDO</v>
      </c>
      <c r="C715" s="25">
        <f>+VLOOKUP(PROVEEDORES[[#This Row],[PROVEEDOR]],TERCEROS_INFO[#All],2,FALSE)</f>
        <v>30</v>
      </c>
      <c r="D715" s="30">
        <f>+SUMIFS(PROVEEDORES[Total],PROVEEDORES[PROVEEDOR],PROVEEDORES[[#This Row],[PROVEEDOR]],PROVEEDORES[FECHA DE PAGO],"")</f>
        <v>6482443.1751999995</v>
      </c>
      <c r="E715" s="30"/>
      <c r="F715" s="73" t="str">
        <f>+VLOOKUP(PROVEEDORES[[#This Row],[PROVEEDOR]],TERCEROS_INFO[[PROVEEDOR]:[CORREO]],5,FALSE)</f>
        <v>angela.navas@hyrdistribuciones.com;girlesa.ruiz@servipilas.com;joriescobar64@gmail.com</v>
      </c>
      <c r="G715" s="111">
        <v>44482</v>
      </c>
      <c r="H715" s="31" t="s">
        <v>18</v>
      </c>
      <c r="I715" s="111">
        <v>44435</v>
      </c>
      <c r="J715" s="48">
        <v>1042278</v>
      </c>
      <c r="K715" s="26">
        <v>3032560.8</v>
      </c>
      <c r="L715" s="26"/>
      <c r="M715" s="27">
        <v>576186.55200000003</v>
      </c>
      <c r="N715" s="28"/>
      <c r="O715" s="27">
        <v>0</v>
      </c>
      <c r="P715" s="28">
        <v>2.5000000000000001E-2</v>
      </c>
      <c r="Q715" s="27">
        <v>75814.02</v>
      </c>
      <c r="R715" s="26">
        <v>3532933.3319999999</v>
      </c>
      <c r="S715" s="115">
        <f ca="1">IF(PROVEEDORES[[#This Row],[FECHA DE PAGO]]=0,TODAY()-PROVEEDORES[[#This Row],[FECHA DE FACTURACIÓN]]-PROVEEDORES[[#This Row],[PLAZO Días]],0)</f>
        <v>0</v>
      </c>
      <c r="T7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6" spans="1:20" ht="21.9" customHeight="1" x14ac:dyDescent="0.3">
      <c r="A716" s="113" t="str">
        <f>+IF(PROVEEDORES[[#This Row],[FECHA DE PAGO]]=PROVEEDORES[[#This Row],[FECHA DE FACTURACIÓN]],"DE CONTADO","CRÉDITO")</f>
        <v>CRÉDITO</v>
      </c>
      <c r="B716" s="51" t="str">
        <f>+IF((PROVEEDORES[[#This Row],[FECHA DE PAGO]]-PROVEEDORES[[#This Row],[FECHA DE FACTURACIÓN]])&gt;PROVEEDORES[[#This Row],[PLAZO Días]],"PAGO VENCIDO")</f>
        <v>PAGO VENCIDO</v>
      </c>
      <c r="C716" s="25">
        <f>+VLOOKUP(PROVEEDORES[[#This Row],[PROVEEDOR]],TERCEROS_INFO[#All],2,FALSE)</f>
        <v>30</v>
      </c>
      <c r="D716" s="30">
        <f>+SUMIFS(PROVEEDORES[Total],PROVEEDORES[PROVEEDOR],PROVEEDORES[[#This Row],[PROVEEDOR]],PROVEEDORES[FECHA DE PAGO],"")</f>
        <v>2324514.0150000001</v>
      </c>
      <c r="E716" s="30"/>
      <c r="F716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716" s="111">
        <v>44485</v>
      </c>
      <c r="H716" s="31" t="s">
        <v>24</v>
      </c>
      <c r="I716" s="111">
        <v>44435</v>
      </c>
      <c r="J716" s="48" t="s">
        <v>507</v>
      </c>
      <c r="K716" s="26">
        <v>3096632</v>
      </c>
      <c r="L716" s="26"/>
      <c r="M716" s="27">
        <v>588360.07999999996</v>
      </c>
      <c r="N716" s="28"/>
      <c r="O716" s="27">
        <v>0</v>
      </c>
      <c r="P716" s="28">
        <v>2.5000000000000001E-2</v>
      </c>
      <c r="Q716" s="27">
        <v>77415.8</v>
      </c>
      <c r="R716" s="26">
        <v>3607576.2800000003</v>
      </c>
      <c r="S716" s="115">
        <f ca="1">IF(PROVEEDORES[[#This Row],[FECHA DE PAGO]]=0,TODAY()-PROVEEDORES[[#This Row],[FECHA DE FACTURACIÓN]]-PROVEEDORES[[#This Row],[PLAZO Días]],0)</f>
        <v>0</v>
      </c>
      <c r="T7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7" spans="1:20" ht="21.9" customHeight="1" x14ac:dyDescent="0.3">
      <c r="A717" s="113" t="str">
        <f>+IF(PROVEEDORES[[#This Row],[FECHA DE PAGO]]=PROVEEDORES[[#This Row],[FECHA DE FACTURACIÓN]],"DE CONTADO","CRÉDITO")</f>
        <v>CRÉDITO</v>
      </c>
      <c r="B717" s="51" t="str">
        <f>+IF((PROVEEDORES[[#This Row],[FECHA DE PAGO]]-PROVEEDORES[[#This Row],[FECHA DE FACTURACIÓN]])&gt;PROVEEDORES[[#This Row],[PLAZO Días]],"PAGO VENCIDO")</f>
        <v>PAGO VENCIDO</v>
      </c>
      <c r="C717" s="25">
        <f>+VLOOKUP(PROVEEDORES[[#This Row],[PROVEEDOR]],TERCEROS_INFO[#All],2,FALSE)</f>
        <v>30</v>
      </c>
      <c r="D717" s="30">
        <f>+SUMIFS(PROVEEDORES[Total],PROVEEDORES[PROVEEDOR],PROVEEDORES[[#This Row],[PROVEEDOR]],PROVEEDORES[FECHA DE PAGO],"")</f>
        <v>21832129.73</v>
      </c>
      <c r="E717" s="30"/>
      <c r="F717" s="73" t="str">
        <f>+VLOOKUP(PROVEEDORES[[#This Row],[PROVEEDOR]],TERCEROS_INFO[[PROVEEDOR]:[CORREO]],5,FALSE)</f>
        <v>cartera1@grupostatur.com;girlesa.ruiz@servipilas.com;joriescobar64@gmail.com</v>
      </c>
      <c r="G717" s="111">
        <v>44533</v>
      </c>
      <c r="H717" s="31" t="s">
        <v>9</v>
      </c>
      <c r="I717" s="111">
        <v>44435</v>
      </c>
      <c r="J717" s="48">
        <v>71593</v>
      </c>
      <c r="K717" s="26">
        <v>14809823</v>
      </c>
      <c r="L717" s="26"/>
      <c r="M717" s="27">
        <v>2813866.37</v>
      </c>
      <c r="N717" s="28"/>
      <c r="O717" s="27">
        <v>0</v>
      </c>
      <c r="P717" s="28">
        <v>2.5000000000000001E-2</v>
      </c>
      <c r="Q717" s="27">
        <v>370245.57500000001</v>
      </c>
      <c r="R717" s="26">
        <v>17253443.795000002</v>
      </c>
      <c r="S717" s="115">
        <f ca="1">IF(PROVEEDORES[[#This Row],[FECHA DE PAGO]]=0,TODAY()-PROVEEDORES[[#This Row],[FECHA DE FACTURACIÓN]]-PROVEEDORES[[#This Row],[PLAZO Días]],0)</f>
        <v>0</v>
      </c>
      <c r="T7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8" spans="1:20" ht="21.9" customHeight="1" x14ac:dyDescent="0.3">
      <c r="A718" s="113" t="str">
        <f>+IF(PROVEEDORES[[#This Row],[FECHA DE PAGO]]=PROVEEDORES[[#This Row],[FECHA DE FACTURACIÓN]],"DE CONTADO","CRÉDITO")</f>
        <v>DE CONTADO</v>
      </c>
      <c r="B718" s="51" t="b">
        <f>+IF((PROVEEDORES[[#This Row],[FECHA DE PAGO]]-PROVEEDORES[[#This Row],[FECHA DE FACTURACIÓN]])&gt;PROVEEDORES[[#This Row],[PLAZO Días]],"PAGO VENCIDO")</f>
        <v>0</v>
      </c>
      <c r="C718" s="25">
        <f>+VLOOKUP(PROVEEDORES[[#This Row],[PROVEEDOR]],TERCEROS_INFO[#All],2,FALSE)</f>
        <v>30</v>
      </c>
      <c r="D718" s="30">
        <f>+SUMIFS(PROVEEDORES[Total],PROVEEDORES[PROVEEDOR],PROVEEDORES[[#This Row],[PROVEEDOR]],PROVEEDORES[FECHA DE PAGO],"")</f>
        <v>0</v>
      </c>
      <c r="E718" s="30"/>
      <c r="F718" s="73" t="str">
        <f>+VLOOKUP(PROVEEDORES[[#This Row],[PROVEEDOR]],TERCEROS_INFO[[PROVEEDOR]:[CORREO]],5,FALSE)</f>
        <v/>
      </c>
      <c r="G718" s="111">
        <v>44438</v>
      </c>
      <c r="H718" s="31" t="s">
        <v>1016</v>
      </c>
      <c r="I718" s="111">
        <v>44438</v>
      </c>
      <c r="J718" s="48" t="s">
        <v>666</v>
      </c>
      <c r="K718" s="26">
        <v>12000</v>
      </c>
      <c r="L718" s="26"/>
      <c r="M718" s="27">
        <v>0</v>
      </c>
      <c r="N718" s="28"/>
      <c r="O718" s="27">
        <v>0</v>
      </c>
      <c r="P718" s="28">
        <v>0</v>
      </c>
      <c r="Q718" s="27">
        <v>0</v>
      </c>
      <c r="R718" s="26">
        <v>12000</v>
      </c>
      <c r="S718" s="115">
        <f ca="1">IF(PROVEEDORES[[#This Row],[FECHA DE PAGO]]=0,TODAY()-PROVEEDORES[[#This Row],[FECHA DE FACTURACIÓN]]-PROVEEDORES[[#This Row],[PLAZO Días]],0)</f>
        <v>0</v>
      </c>
      <c r="T7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19" spans="1:20" ht="21.9" customHeight="1" x14ac:dyDescent="0.3">
      <c r="A719" s="113" t="str">
        <f>+IF(PROVEEDORES[[#This Row],[FECHA DE PAGO]]=PROVEEDORES[[#This Row],[FECHA DE FACTURACIÓN]],"DE CONTADO","CRÉDITO")</f>
        <v>DE CONTADO</v>
      </c>
      <c r="B719" s="51" t="b">
        <f>+IF((PROVEEDORES[[#This Row],[FECHA DE PAGO]]-PROVEEDORES[[#This Row],[FECHA DE FACTURACIÓN]])&gt;PROVEEDORES[[#This Row],[PLAZO Días]],"PAGO VENCIDO")</f>
        <v>0</v>
      </c>
      <c r="C719" s="25">
        <f>+VLOOKUP(PROVEEDORES[[#This Row],[PROVEEDOR]],TERCEROS_INFO[#All],2,FALSE)</f>
        <v>30</v>
      </c>
      <c r="D719" s="30">
        <f>+SUMIFS(PROVEEDORES[Total],PROVEEDORES[PROVEEDOR],PROVEEDORES[[#This Row],[PROVEEDOR]],PROVEEDORES[FECHA DE PAGO],"")</f>
        <v>0</v>
      </c>
      <c r="E719" s="30"/>
      <c r="F719" s="73" t="str">
        <f>+VLOOKUP(PROVEEDORES[[#This Row],[PROVEEDOR]],TERCEROS_INFO[[PROVEEDOR]:[CORREO]],5,FALSE)</f>
        <v/>
      </c>
      <c r="G719" s="111">
        <v>44438</v>
      </c>
      <c r="H719" s="31" t="s">
        <v>1016</v>
      </c>
      <c r="I719" s="111">
        <v>44438</v>
      </c>
      <c r="J719" s="48" t="s">
        <v>806</v>
      </c>
      <c r="K719" s="26">
        <v>150000</v>
      </c>
      <c r="L719" s="26"/>
      <c r="M719" s="27">
        <v>0</v>
      </c>
      <c r="N719" s="28"/>
      <c r="O719" s="27">
        <v>0</v>
      </c>
      <c r="P719" s="28">
        <v>0</v>
      </c>
      <c r="Q719" s="27">
        <v>0</v>
      </c>
      <c r="R719" s="26">
        <v>150000</v>
      </c>
      <c r="S719" s="115">
        <f ca="1">IF(PROVEEDORES[[#This Row],[FECHA DE PAGO]]=0,TODAY()-PROVEEDORES[[#This Row],[FECHA DE FACTURACIÓN]]-PROVEEDORES[[#This Row],[PLAZO Días]],0)</f>
        <v>0</v>
      </c>
      <c r="T7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0" spans="1:20" ht="21.9" customHeight="1" x14ac:dyDescent="0.3">
      <c r="A720" s="113" t="str">
        <f>+IF(PROVEEDORES[[#This Row],[FECHA DE PAGO]]=PROVEEDORES[[#This Row],[FECHA DE FACTURACIÓN]],"DE CONTADO","CRÉDITO")</f>
        <v>DE CONTADO</v>
      </c>
      <c r="B720" s="51" t="b">
        <f>+IF((PROVEEDORES[[#This Row],[FECHA DE PAGO]]-PROVEEDORES[[#This Row],[FECHA DE FACTURACIÓN]])&gt;PROVEEDORES[[#This Row],[PLAZO Días]],"PAGO VENCIDO")</f>
        <v>0</v>
      </c>
      <c r="C720" s="25">
        <f>+VLOOKUP(PROVEEDORES[[#This Row],[PROVEEDOR]],TERCEROS_INFO[#All],2,FALSE)</f>
        <v>30</v>
      </c>
      <c r="D720" s="30">
        <f>+SUMIFS(PROVEEDORES[Total],PROVEEDORES[PROVEEDOR],PROVEEDORES[[#This Row],[PROVEEDOR]],PROVEEDORES[FECHA DE PAGO],"")</f>
        <v>0</v>
      </c>
      <c r="E720" s="30"/>
      <c r="F720" s="73" t="str">
        <f>+VLOOKUP(PROVEEDORES[[#This Row],[PROVEEDOR]],TERCEROS_INFO[[PROVEEDOR]:[CORREO]],5,FALSE)</f>
        <v/>
      </c>
      <c r="G720" s="111">
        <v>44438</v>
      </c>
      <c r="H720" s="31" t="s">
        <v>1016</v>
      </c>
      <c r="I720" s="111">
        <v>44438</v>
      </c>
      <c r="J720" s="48" t="s">
        <v>667</v>
      </c>
      <c r="K720" s="26">
        <v>216000</v>
      </c>
      <c r="L720" s="26"/>
      <c r="M720" s="27">
        <v>0</v>
      </c>
      <c r="N720" s="28"/>
      <c r="O720" s="27">
        <v>0</v>
      </c>
      <c r="P720" s="28">
        <v>0</v>
      </c>
      <c r="Q720" s="27">
        <v>0</v>
      </c>
      <c r="R720" s="26">
        <v>216000</v>
      </c>
      <c r="S720" s="115">
        <f ca="1">IF(PROVEEDORES[[#This Row],[FECHA DE PAGO]]=0,TODAY()-PROVEEDORES[[#This Row],[FECHA DE FACTURACIÓN]]-PROVEEDORES[[#This Row],[PLAZO Días]],0)</f>
        <v>0</v>
      </c>
      <c r="T7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1" spans="1:20" ht="21.9" customHeight="1" x14ac:dyDescent="0.3">
      <c r="A721" s="113" t="str">
        <f>+IF(PROVEEDORES[[#This Row],[FECHA DE PAGO]]=PROVEEDORES[[#This Row],[FECHA DE FACTURACIÓN]],"DE CONTADO","CRÉDITO")</f>
        <v>DE CONTADO</v>
      </c>
      <c r="B721" s="51" t="b">
        <f>+IF((PROVEEDORES[[#This Row],[FECHA DE PAGO]]-PROVEEDORES[[#This Row],[FECHA DE FACTURACIÓN]])&gt;PROVEEDORES[[#This Row],[PLAZO Días]],"PAGO VENCIDO")</f>
        <v>0</v>
      </c>
      <c r="C721" s="25">
        <f>+VLOOKUP(PROVEEDORES[[#This Row],[PROVEEDOR]],TERCEROS_INFO[#All],2,FALSE)</f>
        <v>30</v>
      </c>
      <c r="D721" s="30">
        <f>+SUMIFS(PROVEEDORES[Total],PROVEEDORES[PROVEEDOR],PROVEEDORES[[#This Row],[PROVEEDOR]],PROVEEDORES[FECHA DE PAGO],"")</f>
        <v>0</v>
      </c>
      <c r="E721" s="30"/>
      <c r="F721" s="73" t="str">
        <f>+VLOOKUP(PROVEEDORES[[#This Row],[PROVEEDOR]],TERCEROS_INFO[[PROVEEDOR]:[CORREO]],5,FALSE)</f>
        <v/>
      </c>
      <c r="G721" s="111">
        <v>44438</v>
      </c>
      <c r="H721" s="31" t="s">
        <v>1016</v>
      </c>
      <c r="I721" s="111">
        <v>44438</v>
      </c>
      <c r="J721" s="48" t="s">
        <v>76</v>
      </c>
      <c r="K721" s="26">
        <v>338900</v>
      </c>
      <c r="L721" s="26"/>
      <c r="M721" s="27">
        <v>0</v>
      </c>
      <c r="N721" s="28"/>
      <c r="O721" s="27">
        <v>0</v>
      </c>
      <c r="P721" s="28">
        <v>0</v>
      </c>
      <c r="Q721" s="27">
        <v>0</v>
      </c>
      <c r="R721" s="26">
        <v>338900</v>
      </c>
      <c r="S721" s="115">
        <f ca="1">IF(PROVEEDORES[[#This Row],[FECHA DE PAGO]]=0,TODAY()-PROVEEDORES[[#This Row],[FECHA DE FACTURACIÓN]]-PROVEEDORES[[#This Row],[PLAZO Días]],0)</f>
        <v>0</v>
      </c>
      <c r="T7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2" spans="1:20" ht="21.9" customHeight="1" x14ac:dyDescent="0.3">
      <c r="A722" s="113" t="str">
        <f>+IF(PROVEEDORES[[#This Row],[FECHA DE PAGO]]=PROVEEDORES[[#This Row],[FECHA DE FACTURACIÓN]],"DE CONTADO","CRÉDITO")</f>
        <v>CRÉDITO</v>
      </c>
      <c r="B722" s="51" t="str">
        <f>+IF((PROVEEDORES[[#This Row],[FECHA DE PAGO]]-PROVEEDORES[[#This Row],[FECHA DE FACTURACIÓN]])&gt;PROVEEDORES[[#This Row],[PLAZO Días]],"PAGO VENCIDO")</f>
        <v>PAGO VENCIDO</v>
      </c>
      <c r="C722" s="25">
        <f>+VLOOKUP(PROVEEDORES[[#This Row],[PROVEEDOR]],TERCEROS_INFO[#All],2,FALSE)</f>
        <v>45</v>
      </c>
      <c r="D722" s="30">
        <f>+SUMIFS(PROVEEDORES[Total],PROVEEDORES[PROVEEDOR],PROVEEDORES[[#This Row],[PROVEEDOR]],PROVEEDORES[FECHA DE PAGO],"")</f>
        <v>1070024.2</v>
      </c>
      <c r="E722" s="30"/>
      <c r="F722" s="73" t="str">
        <f>+VLOOKUP(PROVEEDORES[[#This Row],[PROVEEDOR]],TERCEROS_INFO[[PROVEEDOR]:[CORREO]],5,FALSE)</f>
        <v>libardopineda@tronex.com;girlesa.ruiz@servipilas.com;joriescobar64@gmail.com</v>
      </c>
      <c r="G722" s="111">
        <v>44510</v>
      </c>
      <c r="H722" s="31" t="s">
        <v>10</v>
      </c>
      <c r="I722" s="111">
        <v>44438</v>
      </c>
      <c r="J722" s="48" t="s">
        <v>502</v>
      </c>
      <c r="K722" s="26">
        <v>400000</v>
      </c>
      <c r="L722" s="26"/>
      <c r="M722" s="27">
        <v>76000</v>
      </c>
      <c r="N722" s="28"/>
      <c r="O722" s="27">
        <v>0</v>
      </c>
      <c r="P722" s="28">
        <v>0</v>
      </c>
      <c r="Q722" s="27">
        <v>0</v>
      </c>
      <c r="R722" s="26">
        <v>476000</v>
      </c>
      <c r="S722" s="115">
        <f ca="1">IF(PROVEEDORES[[#This Row],[FECHA DE PAGO]]=0,TODAY()-PROVEEDORES[[#This Row],[FECHA DE FACTURACIÓN]]-PROVEEDORES[[#This Row],[PLAZO Días]],0)</f>
        <v>0</v>
      </c>
      <c r="T7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3" spans="1:20" ht="21.9" customHeight="1" x14ac:dyDescent="0.3">
      <c r="A723" s="113" t="str">
        <f>+IF(PROVEEDORES[[#This Row],[FECHA DE PAGO]]=PROVEEDORES[[#This Row],[FECHA DE FACTURACIÓN]],"DE CONTADO","CRÉDITO")</f>
        <v>CRÉDITO</v>
      </c>
      <c r="B723" s="51" t="str">
        <f>+IF((PROVEEDORES[[#This Row],[FECHA DE PAGO]]-PROVEEDORES[[#This Row],[FECHA DE FACTURACIÓN]])&gt;PROVEEDORES[[#This Row],[PLAZO Días]],"PAGO VENCIDO")</f>
        <v>PAGO VENCIDO</v>
      </c>
      <c r="C723" s="25">
        <f>+VLOOKUP(PROVEEDORES[[#This Row],[PROVEEDOR]],TERCEROS_INFO[#All],2,FALSE)</f>
        <v>90</v>
      </c>
      <c r="D723" s="30">
        <f>+SUMIFS(PROVEEDORES[Total],PROVEEDORES[PROVEEDOR],PROVEEDORES[[#This Row],[PROVEEDOR]],PROVEEDORES[FECHA DE PAGO],"")</f>
        <v>26364243.66155</v>
      </c>
      <c r="E723" s="30"/>
      <c r="F723" s="73" t="str">
        <f>+VLOOKUP(PROVEEDORES[[#This Row],[PROVEEDOR]],TERCEROS_INFO[[PROVEEDOR]:[CORREO]],5,FALSE)</f>
        <v>javiergomez_72@hotmail.com ;girlesa.ruiz@servipilas.com;joriescobar64@gmail.com</v>
      </c>
      <c r="G723" s="111">
        <v>44533</v>
      </c>
      <c r="H723" s="31" t="s">
        <v>12</v>
      </c>
      <c r="I723" s="111">
        <v>44438</v>
      </c>
      <c r="J723" s="48" t="s">
        <v>508</v>
      </c>
      <c r="K723" s="26">
        <v>1033614</v>
      </c>
      <c r="L723" s="26"/>
      <c r="M723" s="27">
        <v>196386.66</v>
      </c>
      <c r="N723" s="28"/>
      <c r="O723" s="27">
        <v>0</v>
      </c>
      <c r="P723" s="28">
        <v>2.5000000000000001E-2</v>
      </c>
      <c r="Q723" s="27">
        <v>25840.350000000002</v>
      </c>
      <c r="R723" s="26">
        <v>1204160.3099999998</v>
      </c>
      <c r="S723" s="115">
        <f ca="1">IF(PROVEEDORES[[#This Row],[FECHA DE PAGO]]=0,TODAY()-PROVEEDORES[[#This Row],[FECHA DE FACTURACIÓN]]-PROVEEDORES[[#This Row],[PLAZO Días]],0)</f>
        <v>0</v>
      </c>
      <c r="T7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4" spans="1:20" ht="21.9" customHeight="1" x14ac:dyDescent="0.3">
      <c r="A724" s="113" t="str">
        <f>+IF(PROVEEDORES[[#This Row],[FECHA DE PAGO]]=PROVEEDORES[[#This Row],[FECHA DE FACTURACIÓN]],"DE CONTADO","CRÉDITO")</f>
        <v>DE CONTADO</v>
      </c>
      <c r="B724" s="51" t="b">
        <f>+IF((PROVEEDORES[[#This Row],[FECHA DE PAGO]]-PROVEEDORES[[#This Row],[FECHA DE FACTURACIÓN]])&gt;PROVEEDORES[[#This Row],[PLAZO Días]],"PAGO VENCIDO")</f>
        <v>0</v>
      </c>
      <c r="C724" s="25">
        <f>+VLOOKUP(PROVEEDORES[[#This Row],[PROVEEDOR]],TERCEROS_INFO[#All],2,FALSE)</f>
        <v>30</v>
      </c>
      <c r="D724" s="30">
        <f>+SUMIFS(PROVEEDORES[Total],PROVEEDORES[PROVEEDOR],PROVEEDORES[[#This Row],[PROVEEDOR]],PROVEEDORES[FECHA DE PAGO],"")</f>
        <v>0</v>
      </c>
      <c r="E724" s="30"/>
      <c r="F724" s="73">
        <f>+VLOOKUP(PROVEEDORES[[#This Row],[PROVEEDOR]],TERCEROS_INFO[[PROVEEDOR]:[CORREO]],5,FALSE)</f>
        <v>0</v>
      </c>
      <c r="G724" s="111">
        <v>44438</v>
      </c>
      <c r="H724" s="31" t="s">
        <v>498</v>
      </c>
      <c r="I724" s="111">
        <v>44438</v>
      </c>
      <c r="J724" s="48" t="s">
        <v>499</v>
      </c>
      <c r="K724" s="26">
        <v>1608000</v>
      </c>
      <c r="L724" s="26"/>
      <c r="M724" s="27">
        <v>305520</v>
      </c>
      <c r="N724" s="28"/>
      <c r="O724" s="27">
        <v>0</v>
      </c>
      <c r="P724" s="28">
        <v>2.5000000000000001E-2</v>
      </c>
      <c r="Q724" s="27">
        <v>40200</v>
      </c>
      <c r="R724" s="26">
        <v>1873320</v>
      </c>
      <c r="S724" s="115">
        <f ca="1">IF(PROVEEDORES[[#This Row],[FECHA DE PAGO]]=0,TODAY()-PROVEEDORES[[#This Row],[FECHA DE FACTURACIÓN]]-PROVEEDORES[[#This Row],[PLAZO Días]],0)</f>
        <v>0</v>
      </c>
      <c r="T7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5" spans="1:20" ht="21.9" customHeight="1" x14ac:dyDescent="0.3">
      <c r="A725" s="113" t="str">
        <f>+IF(PROVEEDORES[[#This Row],[FECHA DE PAGO]]=PROVEEDORES[[#This Row],[FECHA DE FACTURACIÓN]],"DE CONTADO","CRÉDITO")</f>
        <v>DE CONTADO</v>
      </c>
      <c r="B725" s="51" t="b">
        <f>+IF((PROVEEDORES[[#This Row],[FECHA DE PAGO]]-PROVEEDORES[[#This Row],[FECHA DE FACTURACIÓN]])&gt;PROVEEDORES[[#This Row],[PLAZO Días]],"PAGO VENCIDO")</f>
        <v>0</v>
      </c>
      <c r="C725" s="25">
        <f>+VLOOKUP(PROVEEDORES[[#This Row],[PROVEEDOR]],TERCEROS_INFO[#All],2,FALSE)</f>
        <v>30</v>
      </c>
      <c r="D725" s="30">
        <f>+SUMIFS(PROVEEDORES[Total],PROVEEDORES[PROVEEDOR],PROVEEDORES[[#This Row],[PROVEEDOR]],PROVEEDORES[FECHA DE PAGO],"")</f>
        <v>0</v>
      </c>
      <c r="E725" s="30"/>
      <c r="F725" s="73" t="str">
        <f>+VLOOKUP(PROVEEDORES[[#This Row],[PROVEEDOR]],TERCEROS_INFO[[PROVEEDOR]:[CORREO]],5,FALSE)</f>
        <v/>
      </c>
      <c r="G725" s="111">
        <v>44438</v>
      </c>
      <c r="H725" s="31" t="s">
        <v>1016</v>
      </c>
      <c r="I725" s="111">
        <v>44438</v>
      </c>
      <c r="J725" s="48" t="s">
        <v>668</v>
      </c>
      <c r="K725" s="26">
        <v>2229109</v>
      </c>
      <c r="L725" s="26"/>
      <c r="M725" s="27">
        <v>0</v>
      </c>
      <c r="N725" s="28"/>
      <c r="O725" s="27">
        <v>0</v>
      </c>
      <c r="P725" s="28">
        <v>0</v>
      </c>
      <c r="Q725" s="27">
        <v>0</v>
      </c>
      <c r="R725" s="26">
        <v>2229109</v>
      </c>
      <c r="S725" s="115">
        <f ca="1">IF(PROVEEDORES[[#This Row],[FECHA DE PAGO]]=0,TODAY()-PROVEEDORES[[#This Row],[FECHA DE FACTURACIÓN]]-PROVEEDORES[[#This Row],[PLAZO Días]],0)</f>
        <v>0</v>
      </c>
      <c r="T72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6" spans="1:20" ht="21.9" customHeight="1" x14ac:dyDescent="0.3">
      <c r="A726" s="113" t="str">
        <f>+IF(PROVEEDORES[[#This Row],[FECHA DE PAGO]]=PROVEEDORES[[#This Row],[FECHA DE FACTURACIÓN]],"DE CONTADO","CRÉDITO")</f>
        <v>DE CONTADO</v>
      </c>
      <c r="B726" s="51" t="b">
        <f>+IF((PROVEEDORES[[#This Row],[FECHA DE PAGO]]-PROVEEDORES[[#This Row],[FECHA DE FACTURACIÓN]])&gt;PROVEEDORES[[#This Row],[PLAZO Días]],"PAGO VENCIDO")</f>
        <v>0</v>
      </c>
      <c r="C726" s="25">
        <f>+VLOOKUP(PROVEEDORES[[#This Row],[PROVEEDOR]],TERCEROS_INFO[#All],2,FALSE)</f>
        <v>10</v>
      </c>
      <c r="D726" s="30">
        <f>+SUMIFS(PROVEEDORES[Total],PROVEEDORES[PROVEEDOR],PROVEEDORES[[#This Row],[PROVEEDOR]],PROVEEDORES[FECHA DE PAGO],"")</f>
        <v>0</v>
      </c>
      <c r="E726" s="30"/>
      <c r="F726" s="73" t="str">
        <f>+VLOOKUP(PROVEEDORES[[#This Row],[PROVEEDOR]],TERCEROS_INFO[[PROVEEDOR]:[CORREO]],5,FALSE)</f>
        <v/>
      </c>
      <c r="G726" s="111">
        <v>44438</v>
      </c>
      <c r="H726" s="31" t="s">
        <v>23</v>
      </c>
      <c r="I726" s="111">
        <v>44438</v>
      </c>
      <c r="J726" s="48">
        <v>284796</v>
      </c>
      <c r="K726" s="26">
        <v>2399826</v>
      </c>
      <c r="L726" s="26"/>
      <c r="M726" s="27">
        <v>0</v>
      </c>
      <c r="N726" s="28"/>
      <c r="O726" s="27">
        <v>0</v>
      </c>
      <c r="P726" s="28">
        <v>0</v>
      </c>
      <c r="Q726" s="27">
        <v>0</v>
      </c>
      <c r="R726" s="26">
        <v>2399826</v>
      </c>
      <c r="S726" s="115">
        <f ca="1">IF(PROVEEDORES[[#This Row],[FECHA DE PAGO]]=0,TODAY()-PROVEEDORES[[#This Row],[FECHA DE FACTURACIÓN]]-PROVEEDORES[[#This Row],[PLAZO Días]],0)</f>
        <v>0</v>
      </c>
      <c r="T72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7" spans="1:20" ht="21.9" customHeight="1" x14ac:dyDescent="0.3">
      <c r="A727" s="113" t="str">
        <f>+IF(PROVEEDORES[[#This Row],[FECHA DE PAGO]]=PROVEEDORES[[#This Row],[FECHA DE FACTURACIÓN]],"DE CONTADO","CRÉDITO")</f>
        <v>CRÉDITO</v>
      </c>
      <c r="B727" s="51" t="b">
        <f>+IF((PROVEEDORES[[#This Row],[FECHA DE PAGO]]-PROVEEDORES[[#This Row],[FECHA DE FACTURACIÓN]])&gt;PROVEEDORES[[#This Row],[PLAZO Días]],"PAGO VENCIDO")</f>
        <v>0</v>
      </c>
      <c r="C727" s="25">
        <f>+VLOOKUP(PROVEEDORES[[#This Row],[PROVEEDOR]],TERCEROS_INFO[#All],2,FALSE)</f>
        <v>45</v>
      </c>
      <c r="D727" s="30">
        <f>+SUMIFS(PROVEEDORES[Total],PROVEEDORES[PROVEEDOR],PROVEEDORES[[#This Row],[PROVEEDOR]],PROVEEDORES[FECHA DE PAGO],"")</f>
        <v>17760678.600000001</v>
      </c>
      <c r="E727" s="30"/>
      <c r="F727" s="73" t="str">
        <f>+VLOOKUP(PROVEEDORES[[#This Row],[PROVEEDOR]],TERCEROS_INFO[[PROVEEDOR]:[CORREO]],5,FALSE)</f>
        <v>zully.florez@powest.com;girlesa.ruiz@servipilas.com;joriescobar64@gmail.com</v>
      </c>
      <c r="G727" s="111">
        <v>44476</v>
      </c>
      <c r="H727" s="31" t="s">
        <v>19</v>
      </c>
      <c r="I727" s="111">
        <v>44438</v>
      </c>
      <c r="J727" s="48" t="s">
        <v>506</v>
      </c>
      <c r="K727" s="26">
        <v>4283520</v>
      </c>
      <c r="L727" s="26"/>
      <c r="M727" s="27">
        <v>813868.8</v>
      </c>
      <c r="N727" s="28"/>
      <c r="O727" s="27">
        <v>0</v>
      </c>
      <c r="P727" s="28">
        <v>0</v>
      </c>
      <c r="Q727" s="27">
        <v>0</v>
      </c>
      <c r="R727" s="26">
        <v>5097388.8</v>
      </c>
      <c r="S727" s="115">
        <f ca="1">IF(PROVEEDORES[[#This Row],[FECHA DE PAGO]]=0,TODAY()-PROVEEDORES[[#This Row],[FECHA DE FACTURACIÓN]]-PROVEEDORES[[#This Row],[PLAZO Días]],0)</f>
        <v>0</v>
      </c>
      <c r="T7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8" spans="1:20" ht="21.9" customHeight="1" x14ac:dyDescent="0.3">
      <c r="A728" s="113" t="str">
        <f>+IF(PROVEEDORES[[#This Row],[FECHA DE PAGO]]=PROVEEDORES[[#This Row],[FECHA DE FACTURACIÓN]],"DE CONTADO","CRÉDITO")</f>
        <v>CRÉDITO</v>
      </c>
      <c r="B728" s="51" t="b">
        <f>+IF((PROVEEDORES[[#This Row],[FECHA DE PAGO]]-PROVEEDORES[[#This Row],[FECHA DE FACTURACIÓN]])&gt;PROVEEDORES[[#This Row],[PLAZO Días]],"PAGO VENCIDO")</f>
        <v>0</v>
      </c>
      <c r="C728" s="25">
        <f>+VLOOKUP(PROVEEDORES[[#This Row],[PROVEEDOR]],TERCEROS_INFO[#All],2,FALSE)</f>
        <v>90</v>
      </c>
      <c r="D728" s="30">
        <f>+SUMIFS(PROVEEDORES[Total],PROVEEDORES[PROVEEDOR],PROVEEDORES[[#This Row],[PROVEEDOR]],PROVEEDORES[FECHA DE PAGO],"")</f>
        <v>0</v>
      </c>
      <c r="E728" s="30"/>
      <c r="F728" s="73" t="str">
        <f>+VLOOKUP(PROVEEDORES[[#This Row],[PROVEEDOR]],TERCEROS_INFO[[PROVEEDOR]:[CORREO]],5,FALSE)</f>
        <v/>
      </c>
      <c r="G728" s="111">
        <v>44516</v>
      </c>
      <c r="H728" s="31" t="s">
        <v>1024</v>
      </c>
      <c r="I728" s="111">
        <v>44439</v>
      </c>
      <c r="J728" s="48" t="s">
        <v>807</v>
      </c>
      <c r="K728" s="26">
        <v>605000</v>
      </c>
      <c r="L728" s="26"/>
      <c r="M728" s="27">
        <v>0</v>
      </c>
      <c r="N728" s="28"/>
      <c r="O728" s="27">
        <v>0</v>
      </c>
      <c r="P728" s="28">
        <v>0</v>
      </c>
      <c r="Q728" s="27">
        <v>0</v>
      </c>
      <c r="R728" s="26">
        <v>605000</v>
      </c>
      <c r="S728" s="115">
        <f ca="1">IF(PROVEEDORES[[#This Row],[FECHA DE PAGO]]=0,TODAY()-PROVEEDORES[[#This Row],[FECHA DE FACTURACIÓN]]-PROVEEDORES[[#This Row],[PLAZO Días]],0)</f>
        <v>0</v>
      </c>
      <c r="T72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29" spans="1:20" ht="21.9" customHeight="1" x14ac:dyDescent="0.3">
      <c r="A729" s="113" t="str">
        <f>+IF(PROVEEDORES[[#This Row],[FECHA DE PAGO]]=PROVEEDORES[[#This Row],[FECHA DE FACTURACIÓN]],"DE CONTADO","CRÉDITO")</f>
        <v>CRÉDITO</v>
      </c>
      <c r="B729" s="51" t="str">
        <f>+IF((PROVEEDORES[[#This Row],[FECHA DE PAGO]]-PROVEEDORES[[#This Row],[FECHA DE FACTURACIÓN]])&gt;PROVEEDORES[[#This Row],[PLAZO Días]],"PAGO VENCIDO")</f>
        <v>PAGO VENCIDO</v>
      </c>
      <c r="C729" s="25">
        <f>+VLOOKUP(PROVEEDORES[[#This Row],[PROVEEDOR]],TERCEROS_INFO[#All],2,FALSE)</f>
        <v>30</v>
      </c>
      <c r="D729" s="30">
        <f>+SUMIFS(PROVEEDORES[Total],PROVEEDORES[PROVEEDOR],PROVEEDORES[[#This Row],[PROVEEDOR]],PROVEEDORES[FECHA DE PAGO],"")</f>
        <v>1741040.075</v>
      </c>
      <c r="E729" s="30"/>
      <c r="F729" s="73" t="str">
        <f>+VLOOKUP(PROVEEDORES[[#This Row],[PROVEEDOR]],TERCEROS_INFO[[PROVEEDOR]:[CORREO]],5,FALSE)</f>
        <v>sfonnegra@nanicastation.com.co;facturas@nanicastation.com.co;girlesa.ruiz@servipilas.com;joriescobar64@gmail.com</v>
      </c>
      <c r="G729" s="111">
        <v>44498</v>
      </c>
      <c r="H729" s="31" t="s">
        <v>570</v>
      </c>
      <c r="I729" s="111">
        <v>44439</v>
      </c>
      <c r="J729" s="48" t="s">
        <v>519</v>
      </c>
      <c r="K729" s="26">
        <v>854457</v>
      </c>
      <c r="L729" s="26"/>
      <c r="M729" s="27">
        <v>162346.83000000002</v>
      </c>
      <c r="N729" s="28"/>
      <c r="O729" s="27">
        <v>0</v>
      </c>
      <c r="P729" s="28">
        <v>0</v>
      </c>
      <c r="Q729" s="27">
        <v>0</v>
      </c>
      <c r="R729" s="26">
        <v>1016803.8300000001</v>
      </c>
      <c r="S729" s="115">
        <f ca="1">IF(PROVEEDORES[[#This Row],[FECHA DE PAGO]]=0,TODAY()-PROVEEDORES[[#This Row],[FECHA DE FACTURACIÓN]]-PROVEEDORES[[#This Row],[PLAZO Días]],0)</f>
        <v>0</v>
      </c>
      <c r="T72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0" spans="1:20" ht="21.9" customHeight="1" x14ac:dyDescent="0.3">
      <c r="A730" s="113" t="str">
        <f>+IF(PROVEEDORES[[#This Row],[FECHA DE PAGO]]=PROVEEDORES[[#This Row],[FECHA DE FACTURACIÓN]],"DE CONTADO","CRÉDITO")</f>
        <v>CRÉDITO</v>
      </c>
      <c r="B730" s="51" t="str">
        <f>+IF((PROVEEDORES[[#This Row],[FECHA DE PAGO]]-PROVEEDORES[[#This Row],[FECHA DE FACTURACIÓN]])&gt;PROVEEDORES[[#This Row],[PLAZO Días]],"PAGO VENCIDO")</f>
        <v>PAGO VENCIDO</v>
      </c>
      <c r="C730" s="25">
        <f>+VLOOKUP(PROVEEDORES[[#This Row],[PROVEEDOR]],TERCEROS_INFO[#All],2,FALSE)</f>
        <v>30</v>
      </c>
      <c r="D730" s="30">
        <f>+SUMIFS(PROVEEDORES[Total],PROVEEDORES[PROVEEDOR],PROVEEDORES[[#This Row],[PROVEEDOR]],PROVEEDORES[FECHA DE PAGO],"")</f>
        <v>6482443.1751999995</v>
      </c>
      <c r="E730" s="30"/>
      <c r="F730" s="73" t="str">
        <f>+VLOOKUP(PROVEEDORES[[#This Row],[PROVEEDOR]],TERCEROS_INFO[[PROVEEDOR]:[CORREO]],5,FALSE)</f>
        <v>angela.navas@hyrdistribuciones.com;girlesa.ruiz@servipilas.com;joriescobar64@gmail.com</v>
      </c>
      <c r="G730" s="111">
        <v>44488</v>
      </c>
      <c r="H730" s="31" t="s">
        <v>18</v>
      </c>
      <c r="I730" s="111">
        <v>44439</v>
      </c>
      <c r="J730" s="48">
        <v>1042459</v>
      </c>
      <c r="K730" s="26">
        <v>3346303.2</v>
      </c>
      <c r="L730" s="26"/>
      <c r="M730" s="27">
        <v>635797.60800000001</v>
      </c>
      <c r="N730" s="28"/>
      <c r="O730" s="27">
        <v>0</v>
      </c>
      <c r="P730" s="28">
        <v>2.5000000000000001E-2</v>
      </c>
      <c r="Q730" s="27">
        <v>83657.580000000016</v>
      </c>
      <c r="R730" s="26">
        <v>3898443.2280000001</v>
      </c>
      <c r="S730" s="115">
        <f ca="1">IF(PROVEEDORES[[#This Row],[FECHA DE PAGO]]=0,TODAY()-PROVEEDORES[[#This Row],[FECHA DE FACTURACIÓN]]-PROVEEDORES[[#This Row],[PLAZO Días]],0)</f>
        <v>0</v>
      </c>
      <c r="T73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1" spans="1:20" ht="21.9" customHeight="1" x14ac:dyDescent="0.3">
      <c r="A731" s="113" t="str">
        <f>+IF(PROVEEDORES[[#This Row],[FECHA DE PAGO]]=PROVEEDORES[[#This Row],[FECHA DE FACTURACIÓN]],"DE CONTADO","CRÉDITO")</f>
        <v>DE CONTADO</v>
      </c>
      <c r="B731" s="51" t="b">
        <f>+IF((PROVEEDORES[[#This Row],[FECHA DE PAGO]]-PROVEEDORES[[#This Row],[FECHA DE FACTURACIÓN]])&gt;PROVEEDORES[[#This Row],[PLAZO Días]],"PAGO VENCIDO")</f>
        <v>0</v>
      </c>
      <c r="C731" s="25">
        <f>+VLOOKUP(PROVEEDORES[[#This Row],[PROVEEDOR]],TERCEROS_INFO[#All],2,FALSE)</f>
        <v>30</v>
      </c>
      <c r="D731" s="30">
        <f>+SUMIFS(PROVEEDORES[Total],PROVEEDORES[PROVEEDOR],PROVEEDORES[[#This Row],[PROVEEDOR]],PROVEEDORES[FECHA DE PAGO],"")</f>
        <v>0</v>
      </c>
      <c r="E731" s="30"/>
      <c r="F731" s="73" t="str">
        <f>+VLOOKUP(PROVEEDORES[[#This Row],[PROVEEDOR]],TERCEROS_INFO[[PROVEEDOR]:[CORREO]],5,FALSE)</f>
        <v/>
      </c>
      <c r="G731" s="111">
        <v>44440</v>
      </c>
      <c r="H731" s="31" t="s">
        <v>1016</v>
      </c>
      <c r="I731" s="111">
        <v>44440</v>
      </c>
      <c r="J731" s="48" t="s">
        <v>808</v>
      </c>
      <c r="K731" s="26">
        <v>50000</v>
      </c>
      <c r="L731" s="26"/>
      <c r="M731" s="27">
        <v>0</v>
      </c>
      <c r="N731" s="28"/>
      <c r="O731" s="27">
        <v>0</v>
      </c>
      <c r="P731" s="28">
        <v>0</v>
      </c>
      <c r="Q731" s="27">
        <v>0</v>
      </c>
      <c r="R731" s="26">
        <v>50000</v>
      </c>
      <c r="S731" s="115">
        <f ca="1">IF(PROVEEDORES[[#This Row],[FECHA DE PAGO]]=0,TODAY()-PROVEEDORES[[#This Row],[FECHA DE FACTURACIÓN]]-PROVEEDORES[[#This Row],[PLAZO Días]],0)</f>
        <v>0</v>
      </c>
      <c r="T7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2" spans="1:20" ht="21.9" customHeight="1" x14ac:dyDescent="0.3">
      <c r="A732" s="113" t="str">
        <f>+IF(PROVEEDORES[[#This Row],[FECHA DE PAGO]]=PROVEEDORES[[#This Row],[FECHA DE FACTURACIÓN]],"DE CONTADO","CRÉDITO")</f>
        <v>CRÉDITO</v>
      </c>
      <c r="B732" s="51" t="b">
        <f>+IF((PROVEEDORES[[#This Row],[FECHA DE PAGO]]-PROVEEDORES[[#This Row],[FECHA DE FACTURACIÓN]])&gt;PROVEEDORES[[#This Row],[PLAZO Días]],"PAGO VENCIDO")</f>
        <v>0</v>
      </c>
      <c r="C732" s="25">
        <f>+VLOOKUP(PROVEEDORES[[#This Row],[PROVEEDOR]],TERCEROS_INFO[#All],2,FALSE)</f>
        <v>30</v>
      </c>
      <c r="D732" s="30">
        <f>+SUMIFS(PROVEEDORES[Total],PROVEEDORES[PROVEEDOR],PROVEEDORES[[#This Row],[PROVEEDOR]],PROVEEDORES[FECHA DE PAGO],"")</f>
        <v>0</v>
      </c>
      <c r="E732" s="30"/>
      <c r="F732" s="73">
        <f>+VLOOKUP(PROVEEDORES[[#This Row],[PROVEEDOR]],TERCEROS_INFO[[PROVEEDOR]:[CORREO]],5,FALSE)</f>
        <v>0</v>
      </c>
      <c r="G732" s="111">
        <v>44453</v>
      </c>
      <c r="H732" s="31" t="s">
        <v>1047</v>
      </c>
      <c r="I732" s="111">
        <v>44440</v>
      </c>
      <c r="J732" s="48" t="s">
        <v>810</v>
      </c>
      <c r="K732" s="26">
        <v>77875.25</v>
      </c>
      <c r="L732" s="26"/>
      <c r="M732" s="27">
        <v>0</v>
      </c>
      <c r="N732" s="28"/>
      <c r="O732" s="27">
        <v>0</v>
      </c>
      <c r="P732" s="28">
        <v>0</v>
      </c>
      <c r="Q732" s="27">
        <v>0</v>
      </c>
      <c r="R732" s="26">
        <v>77875.25</v>
      </c>
      <c r="S732" s="115">
        <f ca="1">IF(PROVEEDORES[[#This Row],[FECHA DE PAGO]]=0,TODAY()-PROVEEDORES[[#This Row],[FECHA DE FACTURACIÓN]]-PROVEEDORES[[#This Row],[PLAZO Días]],0)</f>
        <v>0</v>
      </c>
      <c r="T7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3" spans="1:20" ht="21.9" customHeight="1" x14ac:dyDescent="0.3">
      <c r="A733" s="113" t="str">
        <f>+IF(PROVEEDORES[[#This Row],[FECHA DE PAGO]]=PROVEEDORES[[#This Row],[FECHA DE FACTURACIÓN]],"DE CONTADO","CRÉDITO")</f>
        <v>CRÉDITO</v>
      </c>
      <c r="B733" s="51" t="b">
        <f>+IF((PROVEEDORES[[#This Row],[FECHA DE PAGO]]-PROVEEDORES[[#This Row],[FECHA DE FACTURACIÓN]])&gt;PROVEEDORES[[#This Row],[PLAZO Días]],"PAGO VENCIDO")</f>
        <v>0</v>
      </c>
      <c r="C733" s="25">
        <f>+VLOOKUP(PROVEEDORES[[#This Row],[PROVEEDOR]],TERCEROS_INFO[#All],2,FALSE)</f>
        <v>30</v>
      </c>
      <c r="D733" s="30">
        <f>+SUMIFS(PROVEEDORES[Total],PROVEEDORES[PROVEEDOR],PROVEEDORES[[#This Row],[PROVEEDOR]],PROVEEDORES[FECHA DE PAGO],"")</f>
        <v>248736.18000000002</v>
      </c>
      <c r="E733" s="30"/>
      <c r="F733" s="73" t="str">
        <f>+VLOOKUP(PROVEEDORES[[#This Row],[PROVEEDOR]],TERCEROS_INFO[[PROVEEDOR]:[CORREO]],5,FALSE)</f>
        <v>administracion@sapian.com.co;girlesa.ruiz@servipilas.com;joriescobar64@gmail.com</v>
      </c>
      <c r="G733" s="111">
        <v>44461</v>
      </c>
      <c r="H733" s="31" t="s">
        <v>346</v>
      </c>
      <c r="I733" s="111">
        <v>44440</v>
      </c>
      <c r="J733" s="48" t="s">
        <v>509</v>
      </c>
      <c r="K733" s="26">
        <v>203897</v>
      </c>
      <c r="L733" s="26"/>
      <c r="M733" s="27">
        <v>38740.43</v>
      </c>
      <c r="N733" s="28"/>
      <c r="O733" s="27">
        <v>0</v>
      </c>
      <c r="P733" s="28">
        <v>3.5000000000000003E-2</v>
      </c>
      <c r="Q733" s="27">
        <v>7136.3950000000004</v>
      </c>
      <c r="R733" s="26">
        <v>0</v>
      </c>
      <c r="S733" s="115">
        <f ca="1">IF(PROVEEDORES[[#This Row],[FECHA DE PAGO]]=0,TODAY()-PROVEEDORES[[#This Row],[FECHA DE FACTURACIÓN]]-PROVEEDORES[[#This Row],[PLAZO Días]],0)</f>
        <v>0</v>
      </c>
      <c r="T7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4" spans="1:20" ht="21.9" customHeight="1" x14ac:dyDescent="0.3">
      <c r="A734" s="113" t="str">
        <f>+IF(PROVEEDORES[[#This Row],[FECHA DE PAGO]]=PROVEEDORES[[#This Row],[FECHA DE FACTURACIÓN]],"DE CONTADO","CRÉDITO")</f>
        <v>CRÉDITO</v>
      </c>
      <c r="B734" s="51" t="b">
        <f>+IF((PROVEEDORES[[#This Row],[FECHA DE PAGO]]-PROVEEDORES[[#This Row],[FECHA DE FACTURACIÓN]])&gt;PROVEEDORES[[#This Row],[PLAZO Días]],"PAGO VENCIDO")</f>
        <v>0</v>
      </c>
      <c r="C734" s="25">
        <f>+VLOOKUP(PROVEEDORES[[#This Row],[PROVEEDOR]],TERCEROS_INFO[#All],2,FALSE)</f>
        <v>30</v>
      </c>
      <c r="D734" s="30">
        <f>+SUMIFS(PROVEEDORES[Total],PROVEEDORES[PROVEEDOR],PROVEEDORES[[#This Row],[PROVEEDOR]],PROVEEDORES[FECHA DE PAGO],"")</f>
        <v>0</v>
      </c>
      <c r="E734" s="30"/>
      <c r="F734" s="73" t="str">
        <f>+VLOOKUP(PROVEEDORES[[#This Row],[PROVEEDOR]],TERCEROS_INFO[[PROVEEDOR]:[CORREO]],5,FALSE)</f>
        <v>facturacion@losmolinos.com.co</v>
      </c>
      <c r="G734" s="111">
        <v>44456</v>
      </c>
      <c r="H734" s="31" t="s">
        <v>345</v>
      </c>
      <c r="I734" s="111">
        <v>44440</v>
      </c>
      <c r="J734" s="48">
        <v>64226</v>
      </c>
      <c r="K734" s="26">
        <v>302624.74</v>
      </c>
      <c r="L734" s="26"/>
      <c r="M734" s="27">
        <v>0</v>
      </c>
      <c r="N734" s="28"/>
      <c r="O734" s="27">
        <v>54722.770000000004</v>
      </c>
      <c r="P734" s="28">
        <v>0</v>
      </c>
      <c r="Q734" s="27">
        <v>0</v>
      </c>
      <c r="R734" s="26">
        <v>247901.96999999997</v>
      </c>
      <c r="S734" s="115">
        <f ca="1">IF(PROVEEDORES[[#This Row],[FECHA DE PAGO]]=0,TODAY()-PROVEEDORES[[#This Row],[FECHA DE FACTURACIÓN]]-PROVEEDORES[[#This Row],[PLAZO Días]],0)</f>
        <v>0</v>
      </c>
      <c r="T7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5" spans="1:20" ht="21.9" customHeight="1" x14ac:dyDescent="0.3">
      <c r="A735" s="113" t="str">
        <f>+IF(PROVEEDORES[[#This Row],[FECHA DE PAGO]]=PROVEEDORES[[#This Row],[FECHA DE FACTURACIÓN]],"DE CONTADO","CRÉDITO")</f>
        <v>CRÉDITO</v>
      </c>
      <c r="B735" s="51" t="str">
        <f>+IF((PROVEEDORES[[#This Row],[FECHA DE PAGO]]-PROVEEDORES[[#This Row],[FECHA DE FACTURACIÓN]])&gt;PROVEEDORES[[#This Row],[PLAZO Días]],"PAGO VENCIDO")</f>
        <v>PAGO VENCIDO</v>
      </c>
      <c r="C735" s="25">
        <f>+VLOOKUP(PROVEEDORES[[#This Row],[PROVEEDOR]],TERCEROS_INFO[#All],2,FALSE)</f>
        <v>13</v>
      </c>
      <c r="D735" s="30">
        <f>+SUMIFS(PROVEEDORES[Total],PROVEEDORES[PROVEEDOR],PROVEEDORES[[#This Row],[PROVEEDOR]],PROVEEDORES[FECHA DE PAGO],"")</f>
        <v>0</v>
      </c>
      <c r="E735" s="30"/>
      <c r="F735" s="73">
        <f>+VLOOKUP(PROVEEDORES[[#This Row],[PROVEEDOR]],TERCEROS_INFO[[PROVEEDOR]:[CORREO]],5,FALSE)</f>
        <v>0</v>
      </c>
      <c r="G735" s="111">
        <v>44456</v>
      </c>
      <c r="H735" s="31" t="s">
        <v>329</v>
      </c>
      <c r="I735" s="111">
        <v>44440</v>
      </c>
      <c r="J735" s="48" t="s">
        <v>331</v>
      </c>
      <c r="K735" s="26">
        <v>313385</v>
      </c>
      <c r="L735" s="26"/>
      <c r="M735" s="27">
        <v>0</v>
      </c>
      <c r="N735" s="28"/>
      <c r="O735" s="27">
        <v>0</v>
      </c>
      <c r="P735" s="28">
        <v>0</v>
      </c>
      <c r="Q735" s="27">
        <v>0</v>
      </c>
      <c r="R735" s="26">
        <v>313385</v>
      </c>
      <c r="S735" s="115">
        <f ca="1">IF(PROVEEDORES[[#This Row],[FECHA DE PAGO]]=0,TODAY()-PROVEEDORES[[#This Row],[FECHA DE FACTURACIÓN]]-PROVEEDORES[[#This Row],[PLAZO Días]],0)</f>
        <v>0</v>
      </c>
      <c r="T7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6" spans="1:20" ht="21.9" customHeight="1" x14ac:dyDescent="0.3">
      <c r="A736" s="113" t="str">
        <f>+IF(PROVEEDORES[[#This Row],[FECHA DE PAGO]]=PROVEEDORES[[#This Row],[FECHA DE FACTURACIÓN]],"DE CONTADO","CRÉDITO")</f>
        <v>CRÉDITO</v>
      </c>
      <c r="B736" s="51" t="b">
        <f>+IF((PROVEEDORES[[#This Row],[FECHA DE PAGO]]-PROVEEDORES[[#This Row],[FECHA DE FACTURACIÓN]])&gt;PROVEEDORES[[#This Row],[PLAZO Días]],"PAGO VENCIDO")</f>
        <v>0</v>
      </c>
      <c r="C736" s="25">
        <f>+VLOOKUP(PROVEEDORES[[#This Row],[PROVEEDOR]],TERCEROS_INFO[#All],2,FALSE)</f>
        <v>20</v>
      </c>
      <c r="D736" s="30">
        <f>+SUMIFS(PROVEEDORES[Total],PROVEEDORES[PROVEEDOR],PROVEEDORES[[#This Row],[PROVEEDOR]],PROVEEDORES[FECHA DE PAGO],"")</f>
        <v>0</v>
      </c>
      <c r="E736" s="30"/>
      <c r="F736" s="73" t="str">
        <f>+VLOOKUP(PROVEEDORES[[#This Row],[PROVEEDOR]],TERCEROS_INFO[[PROVEEDOR]:[CORREO]],5,FALSE)</f>
        <v>pse</v>
      </c>
      <c r="G736" s="111">
        <v>44456</v>
      </c>
      <c r="H736" s="31" t="s">
        <v>373</v>
      </c>
      <c r="I736" s="111">
        <v>44440</v>
      </c>
      <c r="J736" s="48"/>
      <c r="K736" s="26">
        <v>326232</v>
      </c>
      <c r="L736" s="26"/>
      <c r="M736" s="27">
        <v>0</v>
      </c>
      <c r="N736" s="28"/>
      <c r="O736" s="27">
        <v>0</v>
      </c>
      <c r="P736" s="28">
        <v>0</v>
      </c>
      <c r="Q736" s="27">
        <v>0</v>
      </c>
      <c r="R736" s="26">
        <v>326232</v>
      </c>
      <c r="S736" s="115">
        <f ca="1">IF(PROVEEDORES[[#This Row],[FECHA DE PAGO]]=0,TODAY()-PROVEEDORES[[#This Row],[FECHA DE FACTURACIÓN]]-PROVEEDORES[[#This Row],[PLAZO Días]],0)</f>
        <v>0</v>
      </c>
      <c r="T7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7" spans="1:20" ht="21.9" customHeight="1" x14ac:dyDescent="0.3">
      <c r="A737" s="113" t="str">
        <f>+IF(PROVEEDORES[[#This Row],[FECHA DE PAGO]]=PROVEEDORES[[#This Row],[FECHA DE FACTURACIÓN]],"DE CONTADO","CRÉDITO")</f>
        <v>CRÉDITO</v>
      </c>
      <c r="B737" s="51" t="str">
        <f>+IF((PROVEEDORES[[#This Row],[FECHA DE PAGO]]-PROVEEDORES[[#This Row],[FECHA DE FACTURACIÓN]])&gt;PROVEEDORES[[#This Row],[PLAZO Días]],"PAGO VENCIDO")</f>
        <v>PAGO VENCIDO</v>
      </c>
      <c r="C737" s="25">
        <f>+VLOOKUP(PROVEEDORES[[#This Row],[PROVEEDOR]],TERCEROS_INFO[#All],2,FALSE)</f>
        <v>30</v>
      </c>
      <c r="D737" s="30">
        <f>+SUMIFS(PROVEEDORES[Total],PROVEEDORES[PROVEEDOR],PROVEEDORES[[#This Row],[PROVEEDOR]],PROVEEDORES[FECHA DE PAGO],"")</f>
        <v>0</v>
      </c>
      <c r="E737" s="30"/>
      <c r="F737" s="73" t="str">
        <f>+VLOOKUP(PROVEEDORES[[#This Row],[PROVEEDOR]],TERCEROS_INFO[[PROVEEDOR]:[CORREO]],5,FALSE)</f>
        <v>gerencia@som-tec.com</v>
      </c>
      <c r="G737" s="111">
        <v>44483</v>
      </c>
      <c r="H737" s="31" t="s">
        <v>1032</v>
      </c>
      <c r="I737" s="111">
        <v>44440</v>
      </c>
      <c r="J737" s="48" t="s">
        <v>809</v>
      </c>
      <c r="K737" s="26">
        <v>550000</v>
      </c>
      <c r="L737" s="26"/>
      <c r="M737" s="27">
        <v>0</v>
      </c>
      <c r="N737" s="28"/>
      <c r="O737" s="27">
        <v>0</v>
      </c>
      <c r="P737" s="28">
        <v>0</v>
      </c>
      <c r="Q737" s="27">
        <v>0</v>
      </c>
      <c r="R737" s="26">
        <v>550000</v>
      </c>
      <c r="S737" s="115">
        <f ca="1">IF(PROVEEDORES[[#This Row],[FECHA DE PAGO]]=0,TODAY()-PROVEEDORES[[#This Row],[FECHA DE FACTURACIÓN]]-PROVEEDORES[[#This Row],[PLAZO Días]],0)</f>
        <v>0</v>
      </c>
      <c r="T7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8" spans="1:20" ht="21.9" customHeight="1" x14ac:dyDescent="0.3">
      <c r="A738" s="113" t="str">
        <f>+IF(PROVEEDORES[[#This Row],[FECHA DE PAGO]]=PROVEEDORES[[#This Row],[FECHA DE FACTURACIÓN]],"DE CONTADO","CRÉDITO")</f>
        <v>CRÉDITO</v>
      </c>
      <c r="B738" s="51" t="b">
        <f>+IF((PROVEEDORES[[#This Row],[FECHA DE PAGO]]-PROVEEDORES[[#This Row],[FECHA DE FACTURACIÓN]])&gt;PROVEEDORES[[#This Row],[PLAZO Días]],"PAGO VENCIDO")</f>
        <v>0</v>
      </c>
      <c r="C738" s="25">
        <f>+VLOOKUP(PROVEEDORES[[#This Row],[PROVEEDOR]],TERCEROS_INFO[#All],2,FALSE)</f>
        <v>30</v>
      </c>
      <c r="D738" s="30">
        <f>+SUMIFS(PROVEEDORES[Total],PROVEEDORES[PROVEEDOR],PROVEEDORES[[#This Row],[PROVEEDOR]],PROVEEDORES[FECHA DE PAGO],"")</f>
        <v>4862586.33</v>
      </c>
      <c r="E738" s="30"/>
      <c r="F738" s="73" t="str">
        <f>+VLOOKUP(PROVEEDORES[[#This Row],[PROVEEDOR]],TERCEROS_INFO[[PROVEEDOR]:[CORREO]],5,FALSE)</f>
        <v>cartera@conbienes.com;girlesa.ruiz@servipilas.com;joriescobar64@gmail.com</v>
      </c>
      <c r="G738" s="111">
        <v>44461</v>
      </c>
      <c r="H738" s="31" t="s">
        <v>348</v>
      </c>
      <c r="I738" s="111">
        <v>44440</v>
      </c>
      <c r="J738" s="48" t="s">
        <v>586</v>
      </c>
      <c r="K738" s="26">
        <v>716544</v>
      </c>
      <c r="L738" s="26"/>
      <c r="M738" s="27">
        <v>136143.36000000002</v>
      </c>
      <c r="N738" s="28"/>
      <c r="O738" s="27">
        <v>0</v>
      </c>
      <c r="P738" s="28">
        <v>0</v>
      </c>
      <c r="Q738" s="27">
        <v>0</v>
      </c>
      <c r="R738" s="26">
        <v>852687.35999999999</v>
      </c>
      <c r="S738" s="115">
        <f ca="1">IF(PROVEEDORES[[#This Row],[FECHA DE PAGO]]=0,TODAY()-PROVEEDORES[[#This Row],[FECHA DE FACTURACIÓN]]-PROVEEDORES[[#This Row],[PLAZO Días]],0)</f>
        <v>0</v>
      </c>
      <c r="T73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39" spans="1:20" ht="21.9" customHeight="1" x14ac:dyDescent="0.3">
      <c r="A739" s="113" t="str">
        <f>+IF(PROVEEDORES[[#This Row],[FECHA DE PAGO]]=PROVEEDORES[[#This Row],[FECHA DE FACTURACIÓN]],"DE CONTADO","CRÉDITO")</f>
        <v>CRÉDITO</v>
      </c>
      <c r="B739" s="51" t="b">
        <f>+IF((PROVEEDORES[[#This Row],[FECHA DE PAGO]]-PROVEEDORES[[#This Row],[FECHA DE FACTURACIÓN]])&gt;PROVEEDORES[[#This Row],[PLAZO Días]],"PAGO VENCIDO")</f>
        <v>0</v>
      </c>
      <c r="C739" s="25">
        <f>+VLOOKUP(PROVEEDORES[[#This Row],[PROVEEDOR]],TERCEROS_INFO[#All],2,FALSE)</f>
        <v>30</v>
      </c>
      <c r="D739" s="30">
        <f>+SUMIFS(PROVEEDORES[Total],PROVEEDORES[PROVEEDOR],PROVEEDORES[[#This Row],[PROVEEDOR]],PROVEEDORES[FECHA DE PAGO],"")</f>
        <v>0</v>
      </c>
      <c r="E739" s="30"/>
      <c r="F739" s="73" t="str">
        <f>+VLOOKUP(PROVEEDORES[[#This Row],[PROVEEDOR]],TERCEROS_INFO[[PROVEEDOR]:[CORREO]],5,FALSE)</f>
        <v>PSE</v>
      </c>
      <c r="G739" s="111">
        <v>44456</v>
      </c>
      <c r="H739" s="31" t="s">
        <v>353</v>
      </c>
      <c r="I739" s="111">
        <v>44440</v>
      </c>
      <c r="J739" s="48" t="s">
        <v>354</v>
      </c>
      <c r="K739" s="26">
        <v>727051</v>
      </c>
      <c r="L739" s="26"/>
      <c r="M739" s="27">
        <v>0</v>
      </c>
      <c r="N739" s="28"/>
      <c r="O739" s="27">
        <v>0</v>
      </c>
      <c r="P739" s="28">
        <v>0</v>
      </c>
      <c r="Q739" s="27">
        <v>0</v>
      </c>
      <c r="R739" s="26">
        <v>727051</v>
      </c>
      <c r="S739" s="115">
        <f ca="1">IF(PROVEEDORES[[#This Row],[FECHA DE PAGO]]=0,TODAY()-PROVEEDORES[[#This Row],[FECHA DE FACTURACIÓN]]-PROVEEDORES[[#This Row],[PLAZO Días]],0)</f>
        <v>0</v>
      </c>
      <c r="T7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0" spans="1:20" ht="21.9" customHeight="1" x14ac:dyDescent="0.3">
      <c r="A740" s="113" t="str">
        <f>+IF(PROVEEDORES[[#This Row],[FECHA DE PAGO]]=PROVEEDORES[[#This Row],[FECHA DE FACTURACIÓN]],"DE CONTADO","CRÉDITO")</f>
        <v>CRÉDITO</v>
      </c>
      <c r="B740" s="51" t="b">
        <f>+IF((PROVEEDORES[[#This Row],[FECHA DE PAGO]]-PROVEEDORES[[#This Row],[FECHA DE FACTURACIÓN]])&gt;PROVEEDORES[[#This Row],[PLAZO Días]],"PAGO VENCIDO")</f>
        <v>0</v>
      </c>
      <c r="C740" s="25">
        <f>+VLOOKUP(PROVEEDORES[[#This Row],[PROVEEDOR]],TERCEROS_INFO[#All],2,FALSE)</f>
        <v>30</v>
      </c>
      <c r="D740" s="30">
        <f>+SUMIFS(PROVEEDORES[Total],PROVEEDORES[PROVEEDOR],PROVEEDORES[[#This Row],[PROVEEDOR]],PROVEEDORES[FECHA DE PAGO],"")</f>
        <v>0</v>
      </c>
      <c r="E740" s="30"/>
      <c r="F740" s="73" t="str">
        <f>+VLOOKUP(PROVEEDORES[[#This Row],[PROVEEDOR]],TERCEROS_INFO[[PROVEEDOR]:[CORREO]],5,FALSE)</f>
        <v>PSE</v>
      </c>
      <c r="G740" s="111">
        <v>44456</v>
      </c>
      <c r="H740" s="31" t="s">
        <v>353</v>
      </c>
      <c r="I740" s="111">
        <v>44440</v>
      </c>
      <c r="J740" s="48" t="s">
        <v>355</v>
      </c>
      <c r="K740" s="26">
        <v>743959</v>
      </c>
      <c r="L740" s="26"/>
      <c r="M740" s="27">
        <v>0</v>
      </c>
      <c r="N740" s="28"/>
      <c r="O740" s="27">
        <v>0</v>
      </c>
      <c r="P740" s="28">
        <v>0</v>
      </c>
      <c r="Q740" s="27">
        <v>0</v>
      </c>
      <c r="R740" s="26">
        <v>743959</v>
      </c>
      <c r="S740" s="115">
        <f ca="1">IF(PROVEEDORES[[#This Row],[FECHA DE PAGO]]=0,TODAY()-PROVEEDORES[[#This Row],[FECHA DE FACTURACIÓN]]-PROVEEDORES[[#This Row],[PLAZO Días]],0)</f>
        <v>0</v>
      </c>
      <c r="T7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1" spans="1:20" ht="21.9" customHeight="1" x14ac:dyDescent="0.3">
      <c r="A741" s="113" t="str">
        <f>+IF(PROVEEDORES[[#This Row],[FECHA DE PAGO]]=PROVEEDORES[[#This Row],[FECHA DE FACTURACIÓN]],"DE CONTADO","CRÉDITO")</f>
        <v>CRÉDITO</v>
      </c>
      <c r="B741" s="51" t="b">
        <f>+IF((PROVEEDORES[[#This Row],[FECHA DE PAGO]]-PROVEEDORES[[#This Row],[FECHA DE FACTURACIÓN]])&gt;PROVEEDORES[[#This Row],[PLAZO Días]],"PAGO VENCIDO")</f>
        <v>0</v>
      </c>
      <c r="C741" s="25">
        <f>+VLOOKUP(PROVEEDORES[[#This Row],[PROVEEDOR]],TERCEROS_INFO[#All],2,FALSE)</f>
        <v>20</v>
      </c>
      <c r="D741" s="30">
        <f>+SUMIFS(PROVEEDORES[Total],PROVEEDORES[PROVEEDOR],PROVEEDORES[[#This Row],[PROVEEDOR]],PROVEEDORES[FECHA DE PAGO],"")</f>
        <v>0</v>
      </c>
      <c r="E741" s="30"/>
      <c r="F741" s="73" t="str">
        <f>+VLOOKUP(PROVEEDORES[[#This Row],[PROVEEDOR]],TERCEROS_INFO[[PROVEEDOR]:[CORREO]],5,FALSE)</f>
        <v>pse</v>
      </c>
      <c r="G741" s="111">
        <v>44456</v>
      </c>
      <c r="H741" s="31" t="s">
        <v>374</v>
      </c>
      <c r="I741" s="111">
        <v>44440</v>
      </c>
      <c r="J741" s="48"/>
      <c r="K741" s="26">
        <v>871994</v>
      </c>
      <c r="L741" s="26"/>
      <c r="M741" s="27">
        <v>0</v>
      </c>
      <c r="N741" s="28"/>
      <c r="O741" s="27">
        <v>0</v>
      </c>
      <c r="P741" s="28">
        <v>0</v>
      </c>
      <c r="Q741" s="27">
        <v>0</v>
      </c>
      <c r="R741" s="26">
        <v>871994</v>
      </c>
      <c r="S741" s="115">
        <f ca="1">IF(PROVEEDORES[[#This Row],[FECHA DE PAGO]]=0,TODAY()-PROVEEDORES[[#This Row],[FECHA DE FACTURACIÓN]]-PROVEEDORES[[#This Row],[PLAZO Días]],0)</f>
        <v>0</v>
      </c>
      <c r="T7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2" spans="1:20" ht="21.9" customHeight="1" x14ac:dyDescent="0.3">
      <c r="A742" s="113" t="str">
        <f>+IF(PROVEEDORES[[#This Row],[FECHA DE PAGO]]=PROVEEDORES[[#This Row],[FECHA DE FACTURACIÓN]],"DE CONTADO","CRÉDITO")</f>
        <v>CRÉDITO</v>
      </c>
      <c r="B742" s="51" t="b">
        <f>+IF((PROVEEDORES[[#This Row],[FECHA DE PAGO]]-PROVEEDORES[[#This Row],[FECHA DE FACTURACIÓN]])&gt;PROVEEDORES[[#This Row],[PLAZO Días]],"PAGO VENCIDO")</f>
        <v>0</v>
      </c>
      <c r="C742" s="25">
        <f>+VLOOKUP(PROVEEDORES[[#This Row],[PROVEEDOR]],TERCEROS_INFO[#All],2,FALSE)</f>
        <v>30</v>
      </c>
      <c r="D742" s="30">
        <f>+SUMIFS(PROVEEDORES[Total],PROVEEDORES[PROVEEDOR],PROVEEDORES[[#This Row],[PROVEEDOR]],PROVEEDORES[FECHA DE PAGO],"")</f>
        <v>1296896</v>
      </c>
      <c r="E742" s="30"/>
      <c r="F742" s="73" t="str">
        <f>+VLOOKUP(PROVEEDORES[[#This Row],[PROVEEDOR]],TERCEROS_INFO[[PROVEEDOR]:[CORREO]],5,FALSE)</f>
        <v>tesoreria@lacentral.com.co;girlesa.ruiz@servipilas.com;joriescobar64@gmail.com</v>
      </c>
      <c r="G742" s="111">
        <v>44461</v>
      </c>
      <c r="H742" s="31" t="s">
        <v>335</v>
      </c>
      <c r="I742" s="111">
        <v>44440</v>
      </c>
      <c r="J742" s="48">
        <v>8919</v>
      </c>
      <c r="K742" s="26">
        <v>1547710</v>
      </c>
      <c r="L742" s="26"/>
      <c r="M742" s="27">
        <v>0</v>
      </c>
      <c r="N742" s="28"/>
      <c r="O742" s="27">
        <v>75639</v>
      </c>
      <c r="P742" s="28">
        <v>0</v>
      </c>
      <c r="Q742" s="27">
        <v>0</v>
      </c>
      <c r="R742" s="26">
        <v>1472071</v>
      </c>
      <c r="S742" s="115">
        <f ca="1">IF(PROVEEDORES[[#This Row],[FECHA DE PAGO]]=0,TODAY()-PROVEEDORES[[#This Row],[FECHA DE FACTURACIÓN]]-PROVEEDORES[[#This Row],[PLAZO Días]],0)</f>
        <v>0</v>
      </c>
      <c r="T7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3" spans="1:20" ht="21.9" customHeight="1" x14ac:dyDescent="0.3">
      <c r="A743" s="113" t="str">
        <f>+IF(PROVEEDORES[[#This Row],[FECHA DE PAGO]]=PROVEEDORES[[#This Row],[FECHA DE FACTURACIÓN]],"DE CONTADO","CRÉDITO")</f>
        <v>CRÉDITO</v>
      </c>
      <c r="B743" s="51" t="b">
        <f>+IF((PROVEEDORES[[#This Row],[FECHA DE PAGO]]-PROVEEDORES[[#This Row],[FECHA DE FACTURACIÓN]])&gt;PROVEEDORES[[#This Row],[PLAZO Días]],"PAGO VENCIDO")</f>
        <v>0</v>
      </c>
      <c r="C743" s="25">
        <f>+VLOOKUP(PROVEEDORES[[#This Row],[PROVEEDOR]],TERCEROS_INFO[#All],2,FALSE)</f>
        <v>20</v>
      </c>
      <c r="D743" s="30">
        <f>+SUMIFS(PROVEEDORES[Total],PROVEEDORES[PROVEEDOR],PROVEEDORES[[#This Row],[PROVEEDOR]],PROVEEDORES[FECHA DE PAGO],"")</f>
        <v>0</v>
      </c>
      <c r="E743" s="30"/>
      <c r="F743" s="73" t="str">
        <f>+VLOOKUP(PROVEEDORES[[#This Row],[PROVEEDOR]],TERCEROS_INFO[[PROVEEDOR]:[CORREO]],5,FALSE)</f>
        <v>bog.fa1@pressex.co;bog.fm1@pressex.co;kbaumgartner@pressex.co;girlesa.ruiz@servipilas.com;joriescobar64@gmail.com</v>
      </c>
      <c r="G743" s="111">
        <v>44452</v>
      </c>
      <c r="H743" s="31" t="s">
        <v>450</v>
      </c>
      <c r="I743" s="111">
        <v>44440</v>
      </c>
      <c r="J743" s="48" t="s">
        <v>503</v>
      </c>
      <c r="K743" s="26">
        <v>1958000</v>
      </c>
      <c r="L743" s="26"/>
      <c r="M743" s="27">
        <v>0</v>
      </c>
      <c r="N743" s="28"/>
      <c r="O743" s="27">
        <v>0</v>
      </c>
      <c r="P743" s="28">
        <v>0.01</v>
      </c>
      <c r="Q743" s="27">
        <v>0</v>
      </c>
      <c r="R743" s="26">
        <v>1958000</v>
      </c>
      <c r="S743" s="115">
        <f ca="1">IF(PROVEEDORES[[#This Row],[FECHA DE PAGO]]=0,TODAY()-PROVEEDORES[[#This Row],[FECHA DE FACTURACIÓN]]-PROVEEDORES[[#This Row],[PLAZO Días]],0)</f>
        <v>0</v>
      </c>
      <c r="T7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4" spans="1:20" ht="21.9" customHeight="1" x14ac:dyDescent="0.3">
      <c r="A744" s="113" t="str">
        <f>+IF(PROVEEDORES[[#This Row],[FECHA DE PAGO]]=PROVEEDORES[[#This Row],[FECHA DE FACTURACIÓN]],"DE CONTADO","CRÉDITO")</f>
        <v>CRÉDITO</v>
      </c>
      <c r="B744" s="51" t="str">
        <f>+IF((PROVEEDORES[[#This Row],[FECHA DE PAGO]]-PROVEEDORES[[#This Row],[FECHA DE FACTURACIÓN]])&gt;PROVEEDORES[[#This Row],[PLAZO Días]],"PAGO VENCIDO")</f>
        <v>PAGO VENCIDO</v>
      </c>
      <c r="C744" s="25">
        <f>+VLOOKUP(PROVEEDORES[[#This Row],[PROVEEDOR]],TERCEROS_INFO[#All],2,FALSE)</f>
        <v>30</v>
      </c>
      <c r="D744" s="30">
        <f>+SUMIFS(PROVEEDORES[Total],PROVEEDORES[PROVEEDOR],PROVEEDORES[[#This Row],[PROVEEDOR]],PROVEEDORES[FECHA DE PAGO],"")</f>
        <v>0</v>
      </c>
      <c r="E744" s="30"/>
      <c r="F744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744" s="111">
        <v>44502</v>
      </c>
      <c r="H744" s="31" t="s">
        <v>514</v>
      </c>
      <c r="I744" s="111">
        <v>44440</v>
      </c>
      <c r="J744" s="48" t="s">
        <v>520</v>
      </c>
      <c r="K744" s="26">
        <v>2267904</v>
      </c>
      <c r="L744" s="26"/>
      <c r="M744" s="27">
        <v>430901.76000000001</v>
      </c>
      <c r="N744" s="28"/>
      <c r="O744" s="27">
        <v>0</v>
      </c>
      <c r="P744" s="28">
        <v>0</v>
      </c>
      <c r="Q744" s="27">
        <v>0</v>
      </c>
      <c r="R744" s="26">
        <v>2698805.76</v>
      </c>
      <c r="S744" s="115">
        <f ca="1">IF(PROVEEDORES[[#This Row],[FECHA DE PAGO]]=0,TODAY()-PROVEEDORES[[#This Row],[FECHA DE FACTURACIÓN]]-PROVEEDORES[[#This Row],[PLAZO Días]],0)</f>
        <v>0</v>
      </c>
      <c r="T74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5" spans="1:20" ht="21.9" customHeight="1" x14ac:dyDescent="0.3">
      <c r="A745" s="113" t="str">
        <f>+IF(PROVEEDORES[[#This Row],[FECHA DE PAGO]]=PROVEEDORES[[#This Row],[FECHA DE FACTURACIÓN]],"DE CONTADO","CRÉDITO")</f>
        <v>CRÉDITO</v>
      </c>
      <c r="B745" s="51" t="b">
        <f>+IF((PROVEEDORES[[#This Row],[FECHA DE PAGO]]-PROVEEDORES[[#This Row],[FECHA DE FACTURACIÓN]])&gt;PROVEEDORES[[#This Row],[PLAZO Días]],"PAGO VENCIDO")</f>
        <v>0</v>
      </c>
      <c r="C745" s="25">
        <f>+VLOOKUP(PROVEEDORES[[#This Row],[PROVEEDOR]],TERCEROS_INFO[#All],2,FALSE)</f>
        <v>30</v>
      </c>
      <c r="D745" s="30">
        <f>+SUMIFS(PROVEEDORES[Total],PROVEEDORES[PROVEEDOR],PROVEEDORES[[#This Row],[PROVEEDOR]],PROVEEDORES[FECHA DE PAGO],"")</f>
        <v>0</v>
      </c>
      <c r="E745" s="30"/>
      <c r="F745" s="73" t="str">
        <f>+VLOOKUP(PROVEEDORES[[#This Row],[PROVEEDOR]],TERCEROS_INFO[[PROVEEDOR]:[CORREO]],5,FALSE)</f>
        <v>propertymarketingsas@hotmail.com;girlesa.ruiz@servipilas.com;joriescobar64@gmail.com</v>
      </c>
      <c r="G745" s="111">
        <v>44461</v>
      </c>
      <c r="H745" s="31" t="s">
        <v>486</v>
      </c>
      <c r="I745" s="111">
        <v>44440</v>
      </c>
      <c r="J745" s="48" t="s">
        <v>811</v>
      </c>
      <c r="K745" s="26">
        <v>2789636</v>
      </c>
      <c r="L745" s="26"/>
      <c r="M745" s="27">
        <v>0</v>
      </c>
      <c r="N745" s="28"/>
      <c r="O745" s="27">
        <v>0</v>
      </c>
      <c r="P745" s="28">
        <v>3.5000000000000003E-2</v>
      </c>
      <c r="Q745" s="27">
        <v>97637.260000000009</v>
      </c>
      <c r="R745" s="26">
        <v>2691998.74</v>
      </c>
      <c r="S745" s="115">
        <f ca="1">IF(PROVEEDORES[[#This Row],[FECHA DE PAGO]]=0,TODAY()-PROVEEDORES[[#This Row],[FECHA DE FACTURACIÓN]]-PROVEEDORES[[#This Row],[PLAZO Días]],0)</f>
        <v>0</v>
      </c>
      <c r="T7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6" spans="1:20" ht="21.9" customHeight="1" x14ac:dyDescent="0.3">
      <c r="A746" s="113" t="str">
        <f>+IF(PROVEEDORES[[#This Row],[FECHA DE PAGO]]=PROVEEDORES[[#This Row],[FECHA DE FACTURACIÓN]],"DE CONTADO","CRÉDITO")</f>
        <v>CRÉDITO</v>
      </c>
      <c r="B746" s="51" t="b">
        <f>+IF((PROVEEDORES[[#This Row],[FECHA DE PAGO]]-PROVEEDORES[[#This Row],[FECHA DE FACTURACIÓN]])&gt;PROVEEDORES[[#This Row],[PLAZO Días]],"PAGO VENCIDO")</f>
        <v>0</v>
      </c>
      <c r="C746" s="25">
        <f>+VLOOKUP(PROVEEDORES[[#This Row],[PROVEEDOR]],TERCEROS_INFO[#All],2,FALSE)</f>
        <v>30</v>
      </c>
      <c r="D746" s="30">
        <f>+SUMIFS(PROVEEDORES[Total],PROVEEDORES[PROVEEDOR],PROVEEDORES[[#This Row],[PROVEEDOR]],PROVEEDORES[FECHA DE PAGO],"")</f>
        <v>0</v>
      </c>
      <c r="E746" s="30"/>
      <c r="F746" s="73" t="str">
        <f>+VLOOKUP(PROVEEDORES[[#This Row],[PROVEEDOR]],TERCEROS_INFO[[PROVEEDOR]:[CORREO]],5,FALSE)</f>
        <v>girlesa.ruiz@servipilas.com;joriescobar64@gmail.com</v>
      </c>
      <c r="G746" s="111">
        <v>44461</v>
      </c>
      <c r="H746" s="31" t="s">
        <v>339</v>
      </c>
      <c r="I746" s="111">
        <v>44440</v>
      </c>
      <c r="J746" s="48" t="s">
        <v>932</v>
      </c>
      <c r="K746" s="26">
        <v>3023387</v>
      </c>
      <c r="L746" s="26"/>
      <c r="M746" s="27">
        <v>0</v>
      </c>
      <c r="N746" s="28"/>
      <c r="O746" s="27">
        <v>0</v>
      </c>
      <c r="P746" s="28">
        <v>3.5000000000000003E-2</v>
      </c>
      <c r="Q746" s="27">
        <v>105818.54500000001</v>
      </c>
      <c r="R746" s="26">
        <v>2917568.4550000001</v>
      </c>
      <c r="S746" s="115">
        <f ca="1">IF(PROVEEDORES[[#This Row],[FECHA DE PAGO]]=0,TODAY()-PROVEEDORES[[#This Row],[FECHA DE FACTURACIÓN]]-PROVEEDORES[[#This Row],[PLAZO Días]],0)</f>
        <v>0</v>
      </c>
      <c r="T74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7" spans="1:20" ht="21.9" customHeight="1" x14ac:dyDescent="0.3">
      <c r="A747" s="113" t="str">
        <f>+IF(PROVEEDORES[[#This Row],[FECHA DE PAGO]]=PROVEEDORES[[#This Row],[FECHA DE FACTURACIÓN]],"DE CONTADO","CRÉDITO")</f>
        <v>CRÉDITO</v>
      </c>
      <c r="B747" s="51" t="b">
        <f>+IF((PROVEEDORES[[#This Row],[FECHA DE PAGO]]-PROVEEDORES[[#This Row],[FECHA DE FACTURACIÓN]])&gt;PROVEEDORES[[#This Row],[PLAZO Días]],"PAGO VENCIDO")</f>
        <v>0</v>
      </c>
      <c r="C747" s="25">
        <f>+VLOOKUP(PROVEEDORES[[#This Row],[PROVEEDOR]],TERCEROS_INFO[#All],2,FALSE)</f>
        <v>30</v>
      </c>
      <c r="D747" s="30">
        <f>+SUMIFS(PROVEEDORES[Total],PROVEEDORES[PROVEEDOR],PROVEEDORES[[#This Row],[PROVEEDOR]],PROVEEDORES[FECHA DE PAGO],"")</f>
        <v>4862586.33</v>
      </c>
      <c r="E747" s="30"/>
      <c r="F747" s="73" t="str">
        <f>+VLOOKUP(PROVEEDORES[[#This Row],[PROVEEDOR]],TERCEROS_INFO[[PROVEEDOR]:[CORREO]],5,FALSE)</f>
        <v>cartera@conbienes.com;girlesa.ruiz@servipilas.com;joriescobar64@gmail.com</v>
      </c>
      <c r="G747" s="111">
        <v>44461</v>
      </c>
      <c r="H747" s="31" t="s">
        <v>348</v>
      </c>
      <c r="I747" s="111">
        <v>44440</v>
      </c>
      <c r="J747" s="48" t="s">
        <v>587</v>
      </c>
      <c r="K747" s="26">
        <v>3061166</v>
      </c>
      <c r="L747" s="26"/>
      <c r="M747" s="27">
        <v>581621.54</v>
      </c>
      <c r="N747" s="28"/>
      <c r="O747" s="27">
        <v>0</v>
      </c>
      <c r="P747" s="28">
        <v>0</v>
      </c>
      <c r="Q747" s="27">
        <v>0</v>
      </c>
      <c r="R747" s="26">
        <v>3642787.54</v>
      </c>
      <c r="S747" s="115">
        <f ca="1">IF(PROVEEDORES[[#This Row],[FECHA DE PAGO]]=0,TODAY()-PROVEEDORES[[#This Row],[FECHA DE FACTURACIÓN]]-PROVEEDORES[[#This Row],[PLAZO Días]],0)</f>
        <v>0</v>
      </c>
      <c r="T74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8" spans="1:20" ht="21.9" customHeight="1" x14ac:dyDescent="0.3">
      <c r="A748" s="113" t="str">
        <f>+IF(PROVEEDORES[[#This Row],[FECHA DE PAGO]]=PROVEEDORES[[#This Row],[FECHA DE FACTURACIÓN]],"DE CONTADO","CRÉDITO")</f>
        <v>CRÉDITO</v>
      </c>
      <c r="B748" s="51" t="b">
        <f>+IF((PROVEEDORES[[#This Row],[FECHA DE PAGO]]-PROVEEDORES[[#This Row],[FECHA DE FACTURACIÓN]])&gt;PROVEEDORES[[#This Row],[PLAZO Días]],"PAGO VENCIDO")</f>
        <v>0</v>
      </c>
      <c r="C748" s="25">
        <f>+VLOOKUP(PROVEEDORES[[#This Row],[PROVEEDOR]],TERCEROS_INFO[#All],2,FALSE)</f>
        <v>30</v>
      </c>
      <c r="D748" s="30">
        <f>+SUMIFS(PROVEEDORES[Total],PROVEEDORES[PROVEEDOR],PROVEEDORES[[#This Row],[PROVEEDOR]],PROVEEDORES[FECHA DE PAGO],"")</f>
        <v>5060410.5999999996</v>
      </c>
      <c r="E748" s="30"/>
      <c r="F748" s="73" t="str">
        <f>+VLOOKUP(PROVEEDORES[[#This Row],[PROVEEDOR]],TERCEROS_INFO[[PROVEEDOR]:[CORREO]],5,FALSE)</f>
        <v>CBastidas@vyp.com.co;girlesa.ruiz@servipilas.com;joriescobar64@gmail.com</v>
      </c>
      <c r="G748" s="111">
        <v>44461</v>
      </c>
      <c r="H748" s="31" t="s">
        <v>347</v>
      </c>
      <c r="I748" s="111">
        <v>44440</v>
      </c>
      <c r="J748" s="48">
        <v>40299</v>
      </c>
      <c r="K748" s="26">
        <v>4430000</v>
      </c>
      <c r="L748" s="26"/>
      <c r="M748" s="27">
        <v>841700</v>
      </c>
      <c r="N748" s="28"/>
      <c r="O748" s="27">
        <v>0</v>
      </c>
      <c r="P748" s="28">
        <v>3.5000000000000003E-2</v>
      </c>
      <c r="Q748" s="27">
        <v>155050.00000000003</v>
      </c>
      <c r="R748" s="26">
        <v>5116650</v>
      </c>
      <c r="S748" s="115">
        <f ca="1">IF(PROVEEDORES[[#This Row],[FECHA DE PAGO]]=0,TODAY()-PROVEEDORES[[#This Row],[FECHA DE FACTURACIÓN]]-PROVEEDORES[[#This Row],[PLAZO Días]],0)</f>
        <v>0</v>
      </c>
      <c r="T7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49" spans="1:20" ht="21.9" customHeight="1" x14ac:dyDescent="0.3">
      <c r="A749" s="113" t="str">
        <f>+IF(PROVEEDORES[[#This Row],[FECHA DE PAGO]]=PROVEEDORES[[#This Row],[FECHA DE FACTURACIÓN]],"DE CONTADO","CRÉDITO")</f>
        <v>CRÉDITO</v>
      </c>
      <c r="B749" s="51" t="str">
        <f>+IF((PROVEEDORES[[#This Row],[FECHA DE PAGO]]-PROVEEDORES[[#This Row],[FECHA DE FACTURACIÓN]])&gt;PROVEEDORES[[#This Row],[PLAZO Días]],"PAGO VENCIDO")</f>
        <v>PAGO VENCIDO</v>
      </c>
      <c r="C749" s="25">
        <f>+VLOOKUP(PROVEEDORES[[#This Row],[PROVEEDOR]],TERCEROS_INFO[#All],2,FALSE)</f>
        <v>30</v>
      </c>
      <c r="D749" s="30">
        <f>+SUMIFS(PROVEEDORES[Total],PROVEEDORES[PROVEEDOR],PROVEEDORES[[#This Row],[PROVEEDOR]],PROVEEDORES[FECHA DE PAGO],"")</f>
        <v>6482443.1751999995</v>
      </c>
      <c r="E749" s="30"/>
      <c r="F749" s="73" t="str">
        <f>+VLOOKUP(PROVEEDORES[[#This Row],[PROVEEDOR]],TERCEROS_INFO[[PROVEEDOR]:[CORREO]],5,FALSE)</f>
        <v>angela.navas@hyrdistribuciones.com;girlesa.ruiz@servipilas.com;joriescobar64@gmail.com</v>
      </c>
      <c r="G749" s="111">
        <v>44488</v>
      </c>
      <c r="H749" s="31" t="s">
        <v>18</v>
      </c>
      <c r="I749" s="111">
        <v>44441</v>
      </c>
      <c r="J749" s="48">
        <v>1042560</v>
      </c>
      <c r="K749" s="26">
        <v>658286.4</v>
      </c>
      <c r="L749" s="26"/>
      <c r="M749" s="27">
        <v>125074.41600000001</v>
      </c>
      <c r="N749" s="28"/>
      <c r="O749" s="27">
        <v>0</v>
      </c>
      <c r="P749" s="28">
        <v>0</v>
      </c>
      <c r="Q749" s="27">
        <v>0</v>
      </c>
      <c r="R749" s="26">
        <v>783360.81599999999</v>
      </c>
      <c r="S749" s="115">
        <f ca="1">IF(PROVEEDORES[[#This Row],[FECHA DE PAGO]]=0,TODAY()-PROVEEDORES[[#This Row],[FECHA DE FACTURACIÓN]]-PROVEEDORES[[#This Row],[PLAZO Días]],0)</f>
        <v>0</v>
      </c>
      <c r="T74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0" spans="1:20" ht="21.9" customHeight="1" x14ac:dyDescent="0.3">
      <c r="A750" s="113" t="str">
        <f>+IF(PROVEEDORES[[#This Row],[FECHA DE PAGO]]=PROVEEDORES[[#This Row],[FECHA DE FACTURACIÓN]],"DE CONTADO","CRÉDITO")</f>
        <v>CRÉDITO</v>
      </c>
      <c r="B750" s="51" t="str">
        <f>+IF((PROVEEDORES[[#This Row],[FECHA DE PAGO]]-PROVEEDORES[[#This Row],[FECHA DE FACTURACIÓN]])&gt;PROVEEDORES[[#This Row],[PLAZO Días]],"PAGO VENCIDO")</f>
        <v>PAGO VENCIDO</v>
      </c>
      <c r="C750" s="25">
        <f>+VLOOKUP(PROVEEDORES[[#This Row],[PROVEEDOR]],TERCEROS_INFO[#All],2,FALSE)</f>
        <v>45</v>
      </c>
      <c r="D750" s="30">
        <f>+SUMIFS(PROVEEDORES[Total],PROVEEDORES[PROVEEDOR],PROVEEDORES[[#This Row],[PROVEEDOR]],PROVEEDORES[FECHA DE PAGO],"")</f>
        <v>17760678.600000001</v>
      </c>
      <c r="E750" s="30"/>
      <c r="F750" s="73" t="str">
        <f>+VLOOKUP(PROVEEDORES[[#This Row],[PROVEEDOR]],TERCEROS_INFO[[PROVEEDOR]:[CORREO]],5,FALSE)</f>
        <v>zully.florez@powest.com;girlesa.ruiz@servipilas.com;joriescobar64@gmail.com</v>
      </c>
      <c r="G750" s="111">
        <v>44498</v>
      </c>
      <c r="H750" s="31" t="s">
        <v>19</v>
      </c>
      <c r="I750" s="111">
        <v>44441</v>
      </c>
      <c r="J750" s="48" t="s">
        <v>518</v>
      </c>
      <c r="K750" s="26">
        <v>708480</v>
      </c>
      <c r="L750" s="26"/>
      <c r="M750" s="27">
        <v>134611.20000000001</v>
      </c>
      <c r="N750" s="28"/>
      <c r="O750" s="27">
        <v>0</v>
      </c>
      <c r="P750" s="28">
        <v>0</v>
      </c>
      <c r="Q750" s="27">
        <v>0</v>
      </c>
      <c r="R750" s="26">
        <v>843091.2</v>
      </c>
      <c r="S750" s="115">
        <f ca="1">IF(PROVEEDORES[[#This Row],[FECHA DE PAGO]]=0,TODAY()-PROVEEDORES[[#This Row],[FECHA DE FACTURACIÓN]]-PROVEEDORES[[#This Row],[PLAZO Días]],0)</f>
        <v>0</v>
      </c>
      <c r="T75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1" spans="1:20" ht="21.9" customHeight="1" x14ac:dyDescent="0.3">
      <c r="A751" s="113" t="str">
        <f>+IF(PROVEEDORES[[#This Row],[FECHA DE PAGO]]=PROVEEDORES[[#This Row],[FECHA DE FACTURACIÓN]],"DE CONTADO","CRÉDITO")</f>
        <v>CRÉDITO</v>
      </c>
      <c r="B751" s="51" t="str">
        <f>+IF((PROVEEDORES[[#This Row],[FECHA DE PAGO]]-PROVEEDORES[[#This Row],[FECHA DE FACTURACIÓN]])&gt;PROVEEDORES[[#This Row],[PLAZO Días]],"PAGO VENCIDO")</f>
        <v>PAGO VENCIDO</v>
      </c>
      <c r="C751" s="25">
        <f>+VLOOKUP(PROVEEDORES[[#This Row],[PROVEEDOR]],TERCEROS_INFO[#All],2,FALSE)</f>
        <v>45</v>
      </c>
      <c r="D751" s="30">
        <f>+SUMIFS(PROVEEDORES[Total],PROVEEDORES[PROVEEDOR],PROVEEDORES[[#This Row],[PROVEEDOR]],PROVEEDORES[FECHA DE PAGO],"")</f>
        <v>17760678.600000001</v>
      </c>
      <c r="E751" s="30"/>
      <c r="F751" s="73" t="str">
        <f>+VLOOKUP(PROVEEDORES[[#This Row],[PROVEEDOR]],TERCEROS_INFO[[PROVEEDOR]:[CORREO]],5,FALSE)</f>
        <v>zully.florez@powest.com;girlesa.ruiz@servipilas.com;joriescobar64@gmail.com</v>
      </c>
      <c r="G751" s="111">
        <v>44491</v>
      </c>
      <c r="H751" s="31" t="s">
        <v>19</v>
      </c>
      <c r="I751" s="111">
        <v>44441</v>
      </c>
      <c r="J751" s="48" t="s">
        <v>517</v>
      </c>
      <c r="K751" s="26">
        <v>10347345</v>
      </c>
      <c r="L751" s="26"/>
      <c r="M751" s="27">
        <v>1965995.55</v>
      </c>
      <c r="N751" s="28"/>
      <c r="O751" s="27">
        <v>0</v>
      </c>
      <c r="P751" s="28">
        <v>0</v>
      </c>
      <c r="Q751" s="27">
        <v>0</v>
      </c>
      <c r="R751" s="26">
        <v>12313340.550000001</v>
      </c>
      <c r="S751" s="115">
        <f ca="1">IF(PROVEEDORES[[#This Row],[FECHA DE PAGO]]=0,TODAY()-PROVEEDORES[[#This Row],[FECHA DE FACTURACIÓN]]-PROVEEDORES[[#This Row],[PLAZO Días]],0)</f>
        <v>0</v>
      </c>
      <c r="T75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2" spans="1:20" ht="21.9" customHeight="1" x14ac:dyDescent="0.3">
      <c r="A752" s="113" t="str">
        <f>+IF(PROVEEDORES[[#This Row],[FECHA DE PAGO]]=PROVEEDORES[[#This Row],[FECHA DE FACTURACIÓN]],"DE CONTADO","CRÉDITO")</f>
        <v>CRÉDITO</v>
      </c>
      <c r="B752" s="51" t="b">
        <f>+IF((PROVEEDORES[[#This Row],[FECHA DE PAGO]]-PROVEEDORES[[#This Row],[FECHA DE FACTURACIÓN]])&gt;PROVEEDORES[[#This Row],[PLAZO Días]],"PAGO VENCIDO")</f>
        <v>0</v>
      </c>
      <c r="C752" s="25">
        <f>+VLOOKUP(PROVEEDORES[[#This Row],[PROVEEDOR]],TERCEROS_INFO[#All],2,FALSE)</f>
        <v>30</v>
      </c>
      <c r="D752" s="30">
        <f>+SUMIFS(PROVEEDORES[Total],PROVEEDORES[PROVEEDOR],PROVEEDORES[[#This Row],[PROVEEDOR]],PROVEEDORES[FECHA DE PAGO],"")</f>
        <v>0</v>
      </c>
      <c r="E752" s="30"/>
      <c r="F752" s="73" t="str">
        <f>+VLOOKUP(PROVEEDORES[[#This Row],[PROVEEDOR]],TERCEROS_INFO[[PROVEEDOR]:[CORREO]],5,FALSE)</f>
        <v>senalizacionyavisos@gmail.com;girlesa.ruiz@servipilas.com;joriescobar64@gmail.com</v>
      </c>
      <c r="G752" s="111">
        <v>44449</v>
      </c>
      <c r="H752" s="31" t="s">
        <v>341</v>
      </c>
      <c r="I752" s="111">
        <v>44442</v>
      </c>
      <c r="J752" s="48">
        <v>642</v>
      </c>
      <c r="K752" s="26">
        <v>190000</v>
      </c>
      <c r="L752" s="26"/>
      <c r="M752" s="27">
        <v>36100</v>
      </c>
      <c r="N752" s="28"/>
      <c r="O752" s="27">
        <v>0</v>
      </c>
      <c r="P752" s="28">
        <v>0</v>
      </c>
      <c r="Q752" s="27">
        <v>0</v>
      </c>
      <c r="R752" s="26">
        <v>226100</v>
      </c>
      <c r="S752" s="115">
        <f ca="1">IF(PROVEEDORES[[#This Row],[FECHA DE PAGO]]=0,TODAY()-PROVEEDORES[[#This Row],[FECHA DE FACTURACIÓN]]-PROVEEDORES[[#This Row],[PLAZO Días]],0)</f>
        <v>0</v>
      </c>
      <c r="T7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3" spans="1:20" ht="21.9" customHeight="1" x14ac:dyDescent="0.3">
      <c r="A753" s="113" t="str">
        <f>+IF(PROVEEDORES[[#This Row],[FECHA DE PAGO]]=PROVEEDORES[[#This Row],[FECHA DE FACTURACIÓN]],"DE CONTADO","CRÉDITO")</f>
        <v>CRÉDITO</v>
      </c>
      <c r="B753" s="51" t="str">
        <f>+IF((PROVEEDORES[[#This Row],[FECHA DE PAGO]]-PROVEEDORES[[#This Row],[FECHA DE FACTURACIÓN]])&gt;PROVEEDORES[[#This Row],[PLAZO Días]],"PAGO VENCIDO")</f>
        <v>PAGO VENCIDO</v>
      </c>
      <c r="C753" s="25">
        <f>+VLOOKUP(PROVEEDORES[[#This Row],[PROVEEDOR]],TERCEROS_INFO[#All],2,FALSE)</f>
        <v>30</v>
      </c>
      <c r="D753" s="30">
        <f>+SUMIFS(PROVEEDORES[Total],PROVEEDORES[PROVEEDOR],PROVEEDORES[[#This Row],[PROVEEDOR]],PROVEEDORES[FECHA DE PAGO],"")</f>
        <v>452687.9</v>
      </c>
      <c r="E753" s="30"/>
      <c r="F753" s="73" t="str">
        <f>+VLOOKUP(PROVEEDORES[[#This Row],[PROVEEDOR]],TERCEROS_INFO[[PROVEEDOR]:[CORREO]],5,FALSE)</f>
        <v>soluenergiacentro@une.net.co;girlesa.ruiz@servipilas.com;joriescobar64@gmail.com</v>
      </c>
      <c r="G753" s="111">
        <v>44476</v>
      </c>
      <c r="H753" s="31" t="s">
        <v>39</v>
      </c>
      <c r="I753" s="111">
        <v>44442</v>
      </c>
      <c r="J753" s="48">
        <v>785</v>
      </c>
      <c r="K753" s="26">
        <v>519820</v>
      </c>
      <c r="L753" s="26"/>
      <c r="M753" s="27">
        <v>98765.8</v>
      </c>
      <c r="N753" s="28"/>
      <c r="O753" s="27">
        <v>0</v>
      </c>
      <c r="P753" s="28">
        <v>0</v>
      </c>
      <c r="Q753" s="27">
        <v>0</v>
      </c>
      <c r="R753" s="26">
        <v>618585.80000000005</v>
      </c>
      <c r="S753" s="115">
        <f ca="1">IF(PROVEEDORES[[#This Row],[FECHA DE PAGO]]=0,TODAY()-PROVEEDORES[[#This Row],[FECHA DE FACTURACIÓN]]-PROVEEDORES[[#This Row],[PLAZO Días]],0)</f>
        <v>0</v>
      </c>
      <c r="T75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4" spans="1:20" ht="21.9" customHeight="1" x14ac:dyDescent="0.3">
      <c r="A754" s="113" t="str">
        <f>+IF(PROVEEDORES[[#This Row],[FECHA DE PAGO]]=PROVEEDORES[[#This Row],[FECHA DE FACTURACIÓN]],"DE CONTADO","CRÉDITO")</f>
        <v>DE CONTADO</v>
      </c>
      <c r="B754" s="51" t="b">
        <f>+IF((PROVEEDORES[[#This Row],[FECHA DE PAGO]]-PROVEEDORES[[#This Row],[FECHA DE FACTURACIÓN]])&gt;PROVEEDORES[[#This Row],[PLAZO Días]],"PAGO VENCIDO")</f>
        <v>0</v>
      </c>
      <c r="C754" s="25">
        <f>+VLOOKUP(PROVEEDORES[[#This Row],[PROVEEDOR]],TERCEROS_INFO[#All],2,FALSE)</f>
        <v>30</v>
      </c>
      <c r="D754" s="30">
        <f>+SUMIFS(PROVEEDORES[Total],PROVEEDORES[PROVEEDOR],PROVEEDORES[[#This Row],[PROVEEDOR]],PROVEEDORES[FECHA DE PAGO],"")</f>
        <v>0</v>
      </c>
      <c r="E754" s="30"/>
      <c r="F754" s="73" t="str">
        <f>+VLOOKUP(PROVEEDORES[[#This Row],[PROVEEDOR]],TERCEROS_INFO[[PROVEEDOR]:[CORREO]],5,FALSE)</f>
        <v/>
      </c>
      <c r="G754" s="111">
        <v>44442</v>
      </c>
      <c r="H754" s="31" t="s">
        <v>1052</v>
      </c>
      <c r="I754" s="111">
        <v>44442</v>
      </c>
      <c r="J754" s="48"/>
      <c r="K754" s="26">
        <v>1000000</v>
      </c>
      <c r="L754" s="26"/>
      <c r="M754" s="27">
        <v>0</v>
      </c>
      <c r="N754" s="28"/>
      <c r="O754" s="27">
        <v>0</v>
      </c>
      <c r="P754" s="28">
        <v>0</v>
      </c>
      <c r="Q754" s="27">
        <v>0</v>
      </c>
      <c r="R754" s="26">
        <v>1000000</v>
      </c>
      <c r="S754" s="115">
        <f ca="1">IF(PROVEEDORES[[#This Row],[FECHA DE PAGO]]=0,TODAY()-PROVEEDORES[[#This Row],[FECHA DE FACTURACIÓN]]-PROVEEDORES[[#This Row],[PLAZO Días]],0)</f>
        <v>0</v>
      </c>
      <c r="T7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5" spans="1:20" ht="21.9" customHeight="1" x14ac:dyDescent="0.3">
      <c r="A755" s="113" t="str">
        <f>+IF(PROVEEDORES[[#This Row],[FECHA DE PAGO]]=PROVEEDORES[[#This Row],[FECHA DE FACTURACIÓN]],"DE CONTADO","CRÉDITO")</f>
        <v>CRÉDITO</v>
      </c>
      <c r="B755" s="51" t="b">
        <f>+IF((PROVEEDORES[[#This Row],[FECHA DE PAGO]]-PROVEEDORES[[#This Row],[FECHA DE FACTURACIÓN]])&gt;PROVEEDORES[[#This Row],[PLAZO Días]],"PAGO VENCIDO")</f>
        <v>0</v>
      </c>
      <c r="C755" s="25">
        <f>+VLOOKUP(PROVEEDORES[[#This Row],[PROVEEDOR]],TERCEROS_INFO[#All],2,FALSE)</f>
        <v>90</v>
      </c>
      <c r="D755" s="30">
        <f>+SUMIFS(PROVEEDORES[Total],PROVEEDORES[PROVEEDOR],PROVEEDORES[[#This Row],[PROVEEDOR]],PROVEEDORES[FECHA DE PAGO],"")</f>
        <v>26364243.66155</v>
      </c>
      <c r="E755" s="30"/>
      <c r="F755" s="73" t="str">
        <f>+VLOOKUP(PROVEEDORES[[#This Row],[PROVEEDOR]],TERCEROS_INFO[[PROVEEDOR]:[CORREO]],5,FALSE)</f>
        <v>javiergomez_72@hotmail.com ;girlesa.ruiz@servipilas.com;joriescobar64@gmail.com</v>
      </c>
      <c r="G755" s="111">
        <v>44488</v>
      </c>
      <c r="H755" s="31" t="s">
        <v>12</v>
      </c>
      <c r="I755" s="111">
        <v>44445</v>
      </c>
      <c r="J755" s="48" t="s">
        <v>553</v>
      </c>
      <c r="K755" s="26">
        <v>0</v>
      </c>
      <c r="L755" s="26"/>
      <c r="M755" s="27">
        <v>0</v>
      </c>
      <c r="N755" s="28"/>
      <c r="O755" s="27">
        <v>0</v>
      </c>
      <c r="P755" s="28">
        <v>0</v>
      </c>
      <c r="Q755" s="27">
        <v>0</v>
      </c>
      <c r="R755" s="26">
        <v>0</v>
      </c>
      <c r="S755" s="115">
        <f ca="1">IF(PROVEEDORES[[#This Row],[FECHA DE PAGO]]=0,TODAY()-PROVEEDORES[[#This Row],[FECHA DE FACTURACIÓN]]-PROVEEDORES[[#This Row],[PLAZO Días]],0)</f>
        <v>0</v>
      </c>
      <c r="T7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6" spans="1:20" ht="21.9" customHeight="1" x14ac:dyDescent="0.3">
      <c r="A756" s="113" t="str">
        <f>+IF(PROVEEDORES[[#This Row],[FECHA DE PAGO]]=PROVEEDORES[[#This Row],[FECHA DE FACTURACIÓN]],"DE CONTADO","CRÉDITO")</f>
        <v>CRÉDITO</v>
      </c>
      <c r="B756" s="51" t="b">
        <f>+IF((PROVEEDORES[[#This Row],[FECHA DE PAGO]]-PROVEEDORES[[#This Row],[FECHA DE FACTURACIÓN]])&gt;PROVEEDORES[[#This Row],[PLAZO Días]],"PAGO VENCIDO")</f>
        <v>0</v>
      </c>
      <c r="C756" s="25">
        <f>+VLOOKUP(PROVEEDORES[[#This Row],[PROVEEDOR]],TERCEROS_INFO[#All],2,FALSE)</f>
        <v>90</v>
      </c>
      <c r="D756" s="30">
        <f>+SUMIFS(PROVEEDORES[Total],PROVEEDORES[PROVEEDOR],PROVEEDORES[[#This Row],[PROVEEDOR]],PROVEEDORES[FECHA DE PAGO],"")</f>
        <v>26364243.66155</v>
      </c>
      <c r="E756" s="30"/>
      <c r="F756" s="73" t="str">
        <f>+VLOOKUP(PROVEEDORES[[#This Row],[PROVEEDOR]],TERCEROS_INFO[[PROVEEDOR]:[CORREO]],5,FALSE)</f>
        <v>javiergomez_72@hotmail.com ;girlesa.ruiz@servipilas.com;joriescobar64@gmail.com</v>
      </c>
      <c r="G756" s="111">
        <v>44491</v>
      </c>
      <c r="H756" s="31" t="s">
        <v>12</v>
      </c>
      <c r="I756" s="111">
        <v>44445</v>
      </c>
      <c r="J756" s="48" t="s">
        <v>554</v>
      </c>
      <c r="K756" s="26">
        <v>0</v>
      </c>
      <c r="L756" s="26"/>
      <c r="M756" s="27">
        <v>0</v>
      </c>
      <c r="N756" s="28"/>
      <c r="O756" s="27">
        <v>0</v>
      </c>
      <c r="P756" s="28">
        <v>0</v>
      </c>
      <c r="Q756" s="27">
        <v>0</v>
      </c>
      <c r="R756" s="26">
        <v>0</v>
      </c>
      <c r="S756" s="115">
        <f ca="1">IF(PROVEEDORES[[#This Row],[FECHA DE PAGO]]=0,TODAY()-PROVEEDORES[[#This Row],[FECHA DE FACTURACIÓN]]-PROVEEDORES[[#This Row],[PLAZO Días]],0)</f>
        <v>0</v>
      </c>
      <c r="T75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7" spans="1:20" ht="21.9" customHeight="1" x14ac:dyDescent="0.3">
      <c r="A757" s="113" t="str">
        <f>+IF(PROVEEDORES[[#This Row],[FECHA DE PAGO]]=PROVEEDORES[[#This Row],[FECHA DE FACTURACIÓN]],"DE CONTADO","CRÉDITO")</f>
        <v>CRÉDITO</v>
      </c>
      <c r="B757" s="51" t="b">
        <f>+IF((PROVEEDORES[[#This Row],[FECHA DE PAGO]]-PROVEEDORES[[#This Row],[FECHA DE FACTURACIÓN]])&gt;PROVEEDORES[[#This Row],[PLAZO Días]],"PAGO VENCIDO")</f>
        <v>0</v>
      </c>
      <c r="C757" s="25">
        <f>+VLOOKUP(PROVEEDORES[[#This Row],[PROVEEDOR]],TERCEROS_INFO[#All],2,FALSE)</f>
        <v>90</v>
      </c>
      <c r="D757" s="30">
        <f>+SUMIFS(PROVEEDORES[Total],PROVEEDORES[PROVEEDOR],PROVEEDORES[[#This Row],[PROVEEDOR]],PROVEEDORES[FECHA DE PAGO],"")</f>
        <v>26364243.66155</v>
      </c>
      <c r="E757" s="30"/>
      <c r="F757" s="73" t="str">
        <f>+VLOOKUP(PROVEEDORES[[#This Row],[PROVEEDOR]],TERCEROS_INFO[[PROVEEDOR]:[CORREO]],5,FALSE)</f>
        <v>javiergomez_72@hotmail.com ;girlesa.ruiz@servipilas.com;joriescobar64@gmail.com</v>
      </c>
      <c r="G757" s="111">
        <v>44517</v>
      </c>
      <c r="H757" s="31" t="s">
        <v>12</v>
      </c>
      <c r="I757" s="111">
        <v>44445</v>
      </c>
      <c r="J757" s="48" t="s">
        <v>555</v>
      </c>
      <c r="K757" s="26">
        <v>0</v>
      </c>
      <c r="L757" s="26"/>
      <c r="M757" s="27">
        <v>0</v>
      </c>
      <c r="N757" s="28"/>
      <c r="O757" s="27">
        <v>0</v>
      </c>
      <c r="P757" s="28">
        <v>0</v>
      </c>
      <c r="Q757" s="27">
        <v>0</v>
      </c>
      <c r="R757" s="26">
        <v>0</v>
      </c>
      <c r="S757" s="115">
        <f ca="1">IF(PROVEEDORES[[#This Row],[FECHA DE PAGO]]=0,TODAY()-PROVEEDORES[[#This Row],[FECHA DE FACTURACIÓN]]-PROVEEDORES[[#This Row],[PLAZO Días]],0)</f>
        <v>0</v>
      </c>
      <c r="T75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8" spans="1:20" ht="21.9" customHeight="1" x14ac:dyDescent="0.3">
      <c r="A758" s="113" t="str">
        <f>+IF(PROVEEDORES[[#This Row],[FECHA DE PAGO]]=PROVEEDORES[[#This Row],[FECHA DE FACTURACIÓN]],"DE CONTADO","CRÉDITO")</f>
        <v>CRÉDITO</v>
      </c>
      <c r="B758" s="51" t="str">
        <f>+IF((PROVEEDORES[[#This Row],[FECHA DE PAGO]]-PROVEEDORES[[#This Row],[FECHA DE FACTURACIÓN]])&gt;PROVEEDORES[[#This Row],[PLAZO Días]],"PAGO VENCIDO")</f>
        <v>PAGO VENCIDO</v>
      </c>
      <c r="C758" s="25">
        <f>+VLOOKUP(PROVEEDORES[[#This Row],[PROVEEDOR]],TERCEROS_INFO[#All],2,FALSE)</f>
        <v>30</v>
      </c>
      <c r="D758" s="30">
        <f>+SUMIFS(PROVEEDORES[Total],PROVEEDORES[PROVEEDOR],PROVEEDORES[[#This Row],[PROVEEDOR]],PROVEEDORES[FECHA DE PAGO],"")</f>
        <v>3750700</v>
      </c>
      <c r="E758" s="30"/>
      <c r="F758" s="73" t="str">
        <f>+VLOOKUP(PROVEEDORES[[#This Row],[PROVEEDOR]],TERCEROS_INFO[[PROVEEDOR]:[CORREO]],5,FALSE)</f>
        <v/>
      </c>
      <c r="G758" s="111">
        <v>44494</v>
      </c>
      <c r="H758" s="31" t="s">
        <v>996</v>
      </c>
      <c r="I758" s="111">
        <v>44445</v>
      </c>
      <c r="J758" s="48" t="s">
        <v>812</v>
      </c>
      <c r="K758" s="26">
        <v>75000</v>
      </c>
      <c r="L758" s="26"/>
      <c r="M758" s="27">
        <v>0</v>
      </c>
      <c r="N758" s="28"/>
      <c r="O758" s="27">
        <v>0</v>
      </c>
      <c r="P758" s="28">
        <v>0</v>
      </c>
      <c r="Q758" s="27">
        <v>0</v>
      </c>
      <c r="R758" s="26">
        <v>75000</v>
      </c>
      <c r="S758" s="115">
        <f ca="1">IF(PROVEEDORES[[#This Row],[FECHA DE PAGO]]=0,TODAY()-PROVEEDORES[[#This Row],[FECHA DE FACTURACIÓN]]-PROVEEDORES[[#This Row],[PLAZO Días]],0)</f>
        <v>0</v>
      </c>
      <c r="T75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59" spans="1:20" ht="21.9" customHeight="1" x14ac:dyDescent="0.3">
      <c r="A759" s="113" t="str">
        <f>+IF(PROVEEDORES[[#This Row],[FECHA DE PAGO]]=PROVEEDORES[[#This Row],[FECHA DE FACTURACIÓN]],"DE CONTADO","CRÉDITO")</f>
        <v>DE CONTADO</v>
      </c>
      <c r="B759" s="51" t="b">
        <f>+IF((PROVEEDORES[[#This Row],[FECHA DE PAGO]]-PROVEEDORES[[#This Row],[FECHA DE FACTURACIÓN]])&gt;PROVEEDORES[[#This Row],[PLAZO Días]],"PAGO VENCIDO")</f>
        <v>0</v>
      </c>
      <c r="C759" s="25">
        <f>+VLOOKUP(PROVEEDORES[[#This Row],[PROVEEDOR]],TERCEROS_INFO[#All],2,FALSE)</f>
        <v>30</v>
      </c>
      <c r="D759" s="30">
        <f>+SUMIFS(PROVEEDORES[Total],PROVEEDORES[PROVEEDOR],PROVEEDORES[[#This Row],[PROVEEDOR]],PROVEEDORES[FECHA DE PAGO],"")</f>
        <v>0</v>
      </c>
      <c r="E759" s="30"/>
      <c r="F759" s="73">
        <f>+VLOOKUP(PROVEEDORES[[#This Row],[PROVEEDOR]],TERCEROS_INFO[[PROVEEDOR]:[CORREO]],5,FALSE)</f>
        <v>0</v>
      </c>
      <c r="G759" s="111">
        <v>44445</v>
      </c>
      <c r="H759" s="31" t="s">
        <v>521</v>
      </c>
      <c r="I759" s="111">
        <v>44445</v>
      </c>
      <c r="J759" s="48">
        <v>209815</v>
      </c>
      <c r="K759" s="26">
        <v>293277</v>
      </c>
      <c r="L759" s="26"/>
      <c r="M759" s="27">
        <v>55774</v>
      </c>
      <c r="N759" s="28"/>
      <c r="O759" s="27">
        <v>0</v>
      </c>
      <c r="P759" s="28">
        <v>0</v>
      </c>
      <c r="Q759" s="27">
        <v>0</v>
      </c>
      <c r="R759" s="26">
        <v>349051</v>
      </c>
      <c r="S759" s="115">
        <f ca="1">IF(PROVEEDORES[[#This Row],[FECHA DE PAGO]]=0,TODAY()-PROVEEDORES[[#This Row],[FECHA DE FACTURACIÓN]]-PROVEEDORES[[#This Row],[PLAZO Días]],0)</f>
        <v>0</v>
      </c>
      <c r="T7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0" spans="1:20" ht="21.9" customHeight="1" x14ac:dyDescent="0.3">
      <c r="A760" s="113" t="str">
        <f>+IF(PROVEEDORES[[#This Row],[FECHA DE PAGO]]=PROVEEDORES[[#This Row],[FECHA DE FACTURACIÓN]],"DE CONTADO","CRÉDITO")</f>
        <v>CRÉDITO</v>
      </c>
      <c r="B760" s="51" t="str">
        <f>+IF((PROVEEDORES[[#This Row],[FECHA DE PAGO]]-PROVEEDORES[[#This Row],[FECHA DE FACTURACIÓN]])&gt;PROVEEDORES[[#This Row],[PLAZO Días]],"PAGO VENCIDO")</f>
        <v>PAGO VENCIDO</v>
      </c>
      <c r="C760" s="25">
        <f>+VLOOKUP(PROVEEDORES[[#This Row],[PROVEEDOR]],TERCEROS_INFO[#All],2,FALSE)</f>
        <v>30</v>
      </c>
      <c r="D760" s="30">
        <f>+SUMIFS(PROVEEDORES[Total],PROVEEDORES[PROVEEDOR],PROVEEDORES[[#This Row],[PROVEEDOR]],PROVEEDORES[FECHA DE PAGO],"")</f>
        <v>0</v>
      </c>
      <c r="E760" s="30"/>
      <c r="F760" s="73" t="str">
        <f>+VLOOKUP(PROVEEDORES[[#This Row],[PROVEEDOR]],TERCEROS_INFO[[PROVEEDOR]:[CORREO]],5,FALSE)</f>
        <v>yermingg@hotmail.com;girlesa.ruiz@servipilas.com;joriescobar64@gmail.com</v>
      </c>
      <c r="G760" s="111">
        <v>44509</v>
      </c>
      <c r="H760" s="31" t="s">
        <v>1085</v>
      </c>
      <c r="I760" s="111">
        <v>44445</v>
      </c>
      <c r="J760" s="48" t="s">
        <v>814</v>
      </c>
      <c r="K760" s="26">
        <v>748000</v>
      </c>
      <c r="L760" s="26"/>
      <c r="M760" s="27">
        <v>0</v>
      </c>
      <c r="N760" s="28"/>
      <c r="O760" s="27">
        <v>0</v>
      </c>
      <c r="P760" s="28">
        <v>0</v>
      </c>
      <c r="Q760" s="27">
        <v>0</v>
      </c>
      <c r="R760" s="26">
        <v>748000</v>
      </c>
      <c r="S760" s="115">
        <f ca="1">IF(PROVEEDORES[[#This Row],[FECHA DE PAGO]]=0,TODAY()-PROVEEDORES[[#This Row],[FECHA DE FACTURACIÓN]]-PROVEEDORES[[#This Row],[PLAZO Días]],0)</f>
        <v>0</v>
      </c>
      <c r="T76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1" spans="1:20" ht="21.9" customHeight="1" x14ac:dyDescent="0.3">
      <c r="A761" s="113" t="str">
        <f>+IF(PROVEEDORES[[#This Row],[FECHA DE PAGO]]=PROVEEDORES[[#This Row],[FECHA DE FACTURACIÓN]],"DE CONTADO","CRÉDITO")</f>
        <v>CRÉDITO</v>
      </c>
      <c r="B761" s="51" t="str">
        <f>+IF((PROVEEDORES[[#This Row],[FECHA DE PAGO]]-PROVEEDORES[[#This Row],[FECHA DE FACTURACIÓN]])&gt;PROVEEDORES[[#This Row],[PLAZO Días]],"PAGO VENCIDO")</f>
        <v>PAGO VENCIDO</v>
      </c>
      <c r="C761" s="25">
        <f>+VLOOKUP(PROVEEDORES[[#This Row],[PROVEEDOR]],TERCEROS_INFO[#All],2,FALSE)</f>
        <v>30</v>
      </c>
      <c r="D761" s="30">
        <f>+SUMIFS(PROVEEDORES[Total],PROVEEDORES[PROVEEDOR],PROVEEDORES[[#This Row],[PROVEEDOR]],PROVEEDORES[FECHA DE PAGO],"")</f>
        <v>3400186.8245000001</v>
      </c>
      <c r="E761" s="30"/>
      <c r="F761" s="73" t="str">
        <f>+VLOOKUP(PROVEEDORES[[#This Row],[PROVEEDOR]],TERCEROS_INFO[[PROVEEDOR]:[CORREO]],5,FALSE)</f>
        <v>contabilidad@amgimportadora.com;mcastellanos@amgimportadora.com;girlesa.ruiz@servipilas.com;joriescobar64@gmail.com</v>
      </c>
      <c r="G761" s="111">
        <v>44476</v>
      </c>
      <c r="H761" s="31" t="s">
        <v>20</v>
      </c>
      <c r="I761" s="111">
        <v>44445</v>
      </c>
      <c r="J761" s="48">
        <v>5005</v>
      </c>
      <c r="K761" s="26">
        <v>926808</v>
      </c>
      <c r="L761" s="26"/>
      <c r="M761" s="27">
        <v>176093.52</v>
      </c>
      <c r="N761" s="28"/>
      <c r="O761" s="27">
        <v>0</v>
      </c>
      <c r="P761" s="28">
        <v>0</v>
      </c>
      <c r="Q761" s="27">
        <v>0</v>
      </c>
      <c r="R761" s="26">
        <v>1102901.52</v>
      </c>
      <c r="S761" s="115">
        <f ca="1">IF(PROVEEDORES[[#This Row],[FECHA DE PAGO]]=0,TODAY()-PROVEEDORES[[#This Row],[FECHA DE FACTURACIÓN]]-PROVEEDORES[[#This Row],[PLAZO Días]],0)</f>
        <v>0</v>
      </c>
      <c r="T76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2" spans="1:20" ht="21.9" customHeight="1" x14ac:dyDescent="0.3">
      <c r="A762" s="113" t="str">
        <f>+IF(PROVEEDORES[[#This Row],[FECHA DE PAGO]]=PROVEEDORES[[#This Row],[FECHA DE FACTURACIÓN]],"DE CONTADO","CRÉDITO")</f>
        <v>CRÉDITO</v>
      </c>
      <c r="B762" s="51" t="str">
        <f>+IF((PROVEEDORES[[#This Row],[FECHA DE PAGO]]-PROVEEDORES[[#This Row],[FECHA DE FACTURACIÓN]])&gt;PROVEEDORES[[#This Row],[PLAZO Días]],"PAGO VENCIDO")</f>
        <v>PAGO VENCIDO</v>
      </c>
      <c r="C762" s="25">
        <f>+VLOOKUP(PROVEEDORES[[#This Row],[PROVEEDOR]],TERCEROS_INFO[#All],2,FALSE)</f>
        <v>30</v>
      </c>
      <c r="D762" s="30">
        <f>+SUMIFS(PROVEEDORES[Total],PROVEEDORES[PROVEEDOR],PROVEEDORES[[#This Row],[PROVEEDOR]],PROVEEDORES[FECHA DE PAGO],"")</f>
        <v>0</v>
      </c>
      <c r="E762" s="30"/>
      <c r="F762" s="73" t="str">
        <f>+VLOOKUP(PROVEEDORES[[#This Row],[PROVEEDOR]],TERCEROS_INFO[[PROVEEDOR]:[CORREO]],5,FALSE)</f>
        <v>yermingg@hotmail.com;girlesa.ruiz@servipilas.com;joriescobar64@gmail.com</v>
      </c>
      <c r="G762" s="111">
        <v>44509</v>
      </c>
      <c r="H762" s="31" t="s">
        <v>1085</v>
      </c>
      <c r="I762" s="111">
        <v>44445</v>
      </c>
      <c r="J762" s="48" t="s">
        <v>813</v>
      </c>
      <c r="K762" s="26">
        <v>1370000</v>
      </c>
      <c r="L762" s="26"/>
      <c r="M762" s="27">
        <v>0</v>
      </c>
      <c r="N762" s="28"/>
      <c r="O762" s="27">
        <v>0</v>
      </c>
      <c r="P762" s="28">
        <v>0</v>
      </c>
      <c r="Q762" s="27">
        <v>0</v>
      </c>
      <c r="R762" s="26">
        <v>1370000</v>
      </c>
      <c r="S762" s="115">
        <f ca="1">IF(PROVEEDORES[[#This Row],[FECHA DE PAGO]]=0,TODAY()-PROVEEDORES[[#This Row],[FECHA DE FACTURACIÓN]]-PROVEEDORES[[#This Row],[PLAZO Días]],0)</f>
        <v>0</v>
      </c>
      <c r="T7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3" spans="1:20" ht="21.9" customHeight="1" x14ac:dyDescent="0.3">
      <c r="A763" s="113" t="str">
        <f>+IF(PROVEEDORES[[#This Row],[FECHA DE PAGO]]=PROVEEDORES[[#This Row],[FECHA DE FACTURACIÓN]],"DE CONTADO","CRÉDITO")</f>
        <v>CRÉDITO</v>
      </c>
      <c r="B763" s="51" t="str">
        <f>+IF((PROVEEDORES[[#This Row],[FECHA DE PAGO]]-PROVEEDORES[[#This Row],[FECHA DE FACTURACIÓN]])&gt;PROVEEDORES[[#This Row],[PLAZO Días]],"PAGO VENCIDO")</f>
        <v>PAGO VENCIDO</v>
      </c>
      <c r="C763" s="25">
        <f>+VLOOKUP(PROVEEDORES[[#This Row],[PROVEEDOR]],TERCEROS_INFO[#All],2,FALSE)</f>
        <v>30</v>
      </c>
      <c r="D763" s="30">
        <f>+SUMIFS(PROVEEDORES[Total],PROVEEDORES[PROVEEDOR],PROVEEDORES[[#This Row],[PROVEEDOR]],PROVEEDORES[FECHA DE PAGO],"")</f>
        <v>3400186.8245000001</v>
      </c>
      <c r="E763" s="30"/>
      <c r="F763" s="73" t="str">
        <f>+VLOOKUP(PROVEEDORES[[#This Row],[PROVEEDOR]],TERCEROS_INFO[[PROVEEDOR]:[CORREO]],5,FALSE)</f>
        <v>contabilidad@amgimportadora.com;mcastellanos@amgimportadora.com;girlesa.ruiz@servipilas.com;joriescobar64@gmail.com</v>
      </c>
      <c r="G763" s="111">
        <v>44476</v>
      </c>
      <c r="H763" s="31" t="s">
        <v>20</v>
      </c>
      <c r="I763" s="111">
        <v>44445</v>
      </c>
      <c r="J763" s="48">
        <v>5004</v>
      </c>
      <c r="K763" s="26">
        <v>1407490</v>
      </c>
      <c r="L763" s="26"/>
      <c r="M763" s="27">
        <v>267423.09999999998</v>
      </c>
      <c r="N763" s="28"/>
      <c r="O763" s="27">
        <v>0</v>
      </c>
      <c r="P763" s="28">
        <v>2.5000000000000001E-2</v>
      </c>
      <c r="Q763" s="27">
        <v>35187.25</v>
      </c>
      <c r="R763" s="26">
        <v>1639725.85</v>
      </c>
      <c r="S763" s="115">
        <f ca="1">IF(PROVEEDORES[[#This Row],[FECHA DE PAGO]]=0,TODAY()-PROVEEDORES[[#This Row],[FECHA DE FACTURACIÓN]]-PROVEEDORES[[#This Row],[PLAZO Días]],0)</f>
        <v>0</v>
      </c>
      <c r="T7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4" spans="1:20" ht="21.9" customHeight="1" x14ac:dyDescent="0.3">
      <c r="A764" s="113" t="str">
        <f>+IF(PROVEEDORES[[#This Row],[FECHA DE PAGO]]=PROVEEDORES[[#This Row],[FECHA DE FACTURACIÓN]],"DE CONTADO","CRÉDITO")</f>
        <v>CRÉDITO</v>
      </c>
      <c r="B764" s="51" t="b">
        <f>+IF((PROVEEDORES[[#This Row],[FECHA DE PAGO]]-PROVEEDORES[[#This Row],[FECHA DE FACTURACIÓN]])&gt;PROVEEDORES[[#This Row],[PLAZO Días]],"PAGO VENCIDO")</f>
        <v>0</v>
      </c>
      <c r="C764" s="25">
        <f>+VLOOKUP(PROVEEDORES[[#This Row],[PROVEEDOR]],TERCEROS_INFO[#All],2,FALSE)</f>
        <v>30</v>
      </c>
      <c r="D764" s="30">
        <f>+SUMIFS(PROVEEDORES[Total],PROVEEDORES[PROVEEDOR],PROVEEDORES[[#This Row],[PROVEEDOR]],PROVEEDORES[FECHA DE PAGO],"")</f>
        <v>0</v>
      </c>
      <c r="E764" s="30"/>
      <c r="F764" s="73" t="str">
        <f>+VLOOKUP(PROVEEDORES[[#This Row],[PROVEEDOR]],TERCEROS_INFO[[PROVEEDOR]:[CORREO]],5,FALSE)</f>
        <v>juan.suarez@cosostenible.com;girlesa.ruiz@servipilas.com;joriescobar64@gmail.com</v>
      </c>
      <c r="G764" s="111">
        <v>44476</v>
      </c>
      <c r="H764" s="31" t="s">
        <v>50</v>
      </c>
      <c r="I764" s="111">
        <v>44446</v>
      </c>
      <c r="J764" s="48">
        <v>3993</v>
      </c>
      <c r="K764" s="26">
        <v>840336</v>
      </c>
      <c r="L764" s="26"/>
      <c r="M764" s="27">
        <v>159663.84</v>
      </c>
      <c r="N764" s="28"/>
      <c r="O764" s="27">
        <v>0</v>
      </c>
      <c r="P764" s="28">
        <v>0</v>
      </c>
      <c r="Q764" s="27">
        <v>0</v>
      </c>
      <c r="R764" s="26">
        <v>999999.84</v>
      </c>
      <c r="S764" s="115">
        <f ca="1">IF(PROVEEDORES[[#This Row],[FECHA DE PAGO]]=0,TODAY()-PROVEEDORES[[#This Row],[FECHA DE FACTURACIÓN]]-PROVEEDORES[[#This Row],[PLAZO Días]],0)</f>
        <v>0</v>
      </c>
      <c r="T7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5" spans="1:20" ht="21.9" customHeight="1" x14ac:dyDescent="0.3">
      <c r="A765" s="113" t="str">
        <f>+IF(PROVEEDORES[[#This Row],[FECHA DE PAGO]]=PROVEEDORES[[#This Row],[FECHA DE FACTURACIÓN]],"DE CONTADO","CRÉDITO")</f>
        <v>CRÉDITO</v>
      </c>
      <c r="B765" s="51" t="str">
        <f>+IF((PROVEEDORES[[#This Row],[FECHA DE PAGO]]-PROVEEDORES[[#This Row],[FECHA DE FACTURACIÓN]])&gt;PROVEEDORES[[#This Row],[PLAZO Días]],"PAGO VENCIDO")</f>
        <v>PAGO VENCIDO</v>
      </c>
      <c r="C765" s="25">
        <f>+VLOOKUP(PROVEEDORES[[#This Row],[PROVEEDOR]],TERCEROS_INFO[#All],2,FALSE)</f>
        <v>30</v>
      </c>
      <c r="D765" s="30">
        <f>+SUMIFS(PROVEEDORES[Total],PROVEEDORES[PROVEEDOR],PROVEEDORES[[#This Row],[PROVEEDOR]],PROVEEDORES[FECHA DE PAGO],"")</f>
        <v>1451823</v>
      </c>
      <c r="E765" s="30"/>
      <c r="F765" s="73" t="str">
        <f>+VLOOKUP(PROVEEDORES[[#This Row],[PROVEEDOR]],TERCEROS_INFO[[PROVEEDOR]:[CORREO]],5,FALSE)</f>
        <v>cartera@ienewline.com;andres.arroyave@ienewline.com;girlesa.ruiz@servipilas.com;joriescobar64@gmail.com</v>
      </c>
      <c r="G765" s="111">
        <v>44483</v>
      </c>
      <c r="H765" s="31" t="s">
        <v>1131</v>
      </c>
      <c r="I765" s="111">
        <v>44446</v>
      </c>
      <c r="J765" s="48">
        <v>21793</v>
      </c>
      <c r="K765" s="26">
        <v>1314400</v>
      </c>
      <c r="L765" s="26"/>
      <c r="M765" s="27">
        <v>249736</v>
      </c>
      <c r="N765" s="28"/>
      <c r="O765" s="27">
        <v>0</v>
      </c>
      <c r="P765" s="28">
        <v>2.5000000000000001E-2</v>
      </c>
      <c r="Q765" s="27">
        <v>32860</v>
      </c>
      <c r="R765" s="26">
        <v>1531276</v>
      </c>
      <c r="S765" s="115">
        <f ca="1">IF(PROVEEDORES[[#This Row],[FECHA DE PAGO]]=0,TODAY()-PROVEEDORES[[#This Row],[FECHA DE FACTURACIÓN]]-PROVEEDORES[[#This Row],[PLAZO Días]],0)</f>
        <v>0</v>
      </c>
      <c r="T7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6" spans="1:20" ht="21.9" customHeight="1" x14ac:dyDescent="0.3">
      <c r="A766" s="113" t="str">
        <f>+IF(PROVEEDORES[[#This Row],[FECHA DE PAGO]]=PROVEEDORES[[#This Row],[FECHA DE FACTURACIÓN]],"DE CONTADO","CRÉDITO")</f>
        <v>DE CONTADO</v>
      </c>
      <c r="B766" s="51" t="b">
        <f>+IF((PROVEEDORES[[#This Row],[FECHA DE PAGO]]-PROVEEDORES[[#This Row],[FECHA DE FACTURACIÓN]])&gt;PROVEEDORES[[#This Row],[PLAZO Días]],"PAGO VENCIDO")</f>
        <v>0</v>
      </c>
      <c r="C766" s="25">
        <f>+VLOOKUP(PROVEEDORES[[#This Row],[PROVEEDOR]],TERCEROS_INFO[#All],2,FALSE)</f>
        <v>30</v>
      </c>
      <c r="D766" s="30">
        <f>+SUMIFS(PROVEEDORES[Total],PROVEEDORES[PROVEEDOR],PROVEEDORES[[#This Row],[PROVEEDOR]],PROVEEDORES[FECHA DE PAGO],"")</f>
        <v>0</v>
      </c>
      <c r="E766" s="30"/>
      <c r="F766" s="73" t="str">
        <f>+VLOOKUP(PROVEEDORES[[#This Row],[PROVEEDOR]],TERCEROS_INFO[[PROVEEDOR]:[CORREO]],5,FALSE)</f>
        <v/>
      </c>
      <c r="G766" s="111">
        <v>44447</v>
      </c>
      <c r="H766" s="31" t="s">
        <v>1079</v>
      </c>
      <c r="I766" s="111">
        <v>44447</v>
      </c>
      <c r="J766" s="48" t="s">
        <v>817</v>
      </c>
      <c r="K766" s="26">
        <v>182000</v>
      </c>
      <c r="L766" s="26"/>
      <c r="M766" s="27">
        <v>0</v>
      </c>
      <c r="N766" s="28"/>
      <c r="O766" s="27">
        <v>0</v>
      </c>
      <c r="P766" s="28">
        <v>0</v>
      </c>
      <c r="Q766" s="27">
        <v>0</v>
      </c>
      <c r="R766" s="26">
        <v>182000</v>
      </c>
      <c r="S766" s="115">
        <f ca="1">IF(PROVEEDORES[[#This Row],[FECHA DE PAGO]]=0,TODAY()-PROVEEDORES[[#This Row],[FECHA DE FACTURACIÓN]]-PROVEEDORES[[#This Row],[PLAZO Días]],0)</f>
        <v>0</v>
      </c>
      <c r="T76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7" spans="1:20" ht="21.9" customHeight="1" x14ac:dyDescent="0.3">
      <c r="A767" s="113" t="str">
        <f>+IF(PROVEEDORES[[#This Row],[FECHA DE PAGO]]=PROVEEDORES[[#This Row],[FECHA DE FACTURACIÓN]],"DE CONTADO","CRÉDITO")</f>
        <v>DE CONTADO</v>
      </c>
      <c r="B767" s="51" t="b">
        <f>+IF((PROVEEDORES[[#This Row],[FECHA DE PAGO]]-PROVEEDORES[[#This Row],[FECHA DE FACTURACIÓN]])&gt;PROVEEDORES[[#This Row],[PLAZO Días]],"PAGO VENCIDO")</f>
        <v>0</v>
      </c>
      <c r="C767" s="25">
        <f>+VLOOKUP(PROVEEDORES[[#This Row],[PROVEEDOR]],TERCEROS_INFO[#All],2,FALSE)</f>
        <v>30</v>
      </c>
      <c r="D767" s="30">
        <f>+SUMIFS(PROVEEDORES[Total],PROVEEDORES[PROVEEDOR],PROVEEDORES[[#This Row],[PROVEEDOR]],PROVEEDORES[FECHA DE PAGO],"")</f>
        <v>0</v>
      </c>
      <c r="E767" s="30"/>
      <c r="F767" s="73" t="str">
        <f>+VLOOKUP(PROVEEDORES[[#This Row],[PROVEEDOR]],TERCEROS_INFO[[PROVEEDOR]:[CORREO]],5,FALSE)</f>
        <v/>
      </c>
      <c r="G767" s="111">
        <v>44447</v>
      </c>
      <c r="H767" s="31" t="s">
        <v>1003</v>
      </c>
      <c r="I767" s="111">
        <v>44447</v>
      </c>
      <c r="J767" s="48" t="s">
        <v>816</v>
      </c>
      <c r="K767" s="26">
        <v>510000</v>
      </c>
      <c r="L767" s="26"/>
      <c r="M767" s="27">
        <v>0</v>
      </c>
      <c r="N767" s="28"/>
      <c r="O767" s="27">
        <v>0</v>
      </c>
      <c r="P767" s="28">
        <v>0</v>
      </c>
      <c r="Q767" s="27">
        <v>0</v>
      </c>
      <c r="R767" s="26">
        <v>510000</v>
      </c>
      <c r="S767" s="115">
        <f ca="1">IF(PROVEEDORES[[#This Row],[FECHA DE PAGO]]=0,TODAY()-PROVEEDORES[[#This Row],[FECHA DE FACTURACIÓN]]-PROVEEDORES[[#This Row],[PLAZO Días]],0)</f>
        <v>0</v>
      </c>
      <c r="T7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8" spans="1:20" ht="21.9" customHeight="1" x14ac:dyDescent="0.3">
      <c r="A768" s="113" t="str">
        <f>+IF(PROVEEDORES[[#This Row],[FECHA DE PAGO]]=PROVEEDORES[[#This Row],[FECHA DE FACTURACIÓN]],"DE CONTADO","CRÉDITO")</f>
        <v>DE CONTADO</v>
      </c>
      <c r="B768" s="51" t="b">
        <f>+IF((PROVEEDORES[[#This Row],[FECHA DE PAGO]]-PROVEEDORES[[#This Row],[FECHA DE FACTURACIÓN]])&gt;PROVEEDORES[[#This Row],[PLAZO Días]],"PAGO VENCIDO")</f>
        <v>0</v>
      </c>
      <c r="C768" s="25">
        <f>+VLOOKUP(PROVEEDORES[[#This Row],[PROVEEDOR]],TERCEROS_INFO[#All],2,FALSE)</f>
        <v>30</v>
      </c>
      <c r="D768" s="30">
        <f>+SUMIFS(PROVEEDORES[Total],PROVEEDORES[PROVEEDOR],PROVEEDORES[[#This Row],[PROVEEDOR]],PROVEEDORES[FECHA DE PAGO],"")</f>
        <v>0</v>
      </c>
      <c r="E768" s="30"/>
      <c r="F768" s="73" t="str">
        <f>+VLOOKUP(PROVEEDORES[[#This Row],[PROVEEDOR]],TERCEROS_INFO[[PROVEEDOR]:[CORREO]],5,FALSE)</f>
        <v/>
      </c>
      <c r="G768" s="111">
        <v>44447</v>
      </c>
      <c r="H768" s="31" t="s">
        <v>989</v>
      </c>
      <c r="I768" s="111">
        <v>44447</v>
      </c>
      <c r="J768" s="48" t="s">
        <v>815</v>
      </c>
      <c r="K768" s="26">
        <v>612000</v>
      </c>
      <c r="L768" s="26"/>
      <c r="M768" s="27">
        <v>0</v>
      </c>
      <c r="N768" s="28"/>
      <c r="O768" s="27">
        <v>0</v>
      </c>
      <c r="P768" s="28">
        <v>0</v>
      </c>
      <c r="Q768" s="27">
        <v>0</v>
      </c>
      <c r="R768" s="26">
        <v>612000</v>
      </c>
      <c r="S768" s="115">
        <f ca="1">IF(PROVEEDORES[[#This Row],[FECHA DE PAGO]]=0,TODAY()-PROVEEDORES[[#This Row],[FECHA DE FACTURACIÓN]]-PROVEEDORES[[#This Row],[PLAZO Días]],0)</f>
        <v>0</v>
      </c>
      <c r="T7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69" spans="1:20" ht="21.9" customHeight="1" x14ac:dyDescent="0.3">
      <c r="A769" s="113" t="str">
        <f>+IF(PROVEEDORES[[#This Row],[FECHA DE PAGO]]=PROVEEDORES[[#This Row],[FECHA DE FACTURACIÓN]],"DE CONTADO","CRÉDITO")</f>
        <v>CRÉDITO</v>
      </c>
      <c r="B769" s="51" t="str">
        <f>+IF((PROVEEDORES[[#This Row],[FECHA DE PAGO]]-PROVEEDORES[[#This Row],[FECHA DE FACTURACIÓN]])&gt;PROVEEDORES[[#This Row],[PLAZO Días]],"PAGO VENCIDO")</f>
        <v>PAGO VENCIDO</v>
      </c>
      <c r="C769" s="25">
        <f>+VLOOKUP(PROVEEDORES[[#This Row],[PROVEEDOR]],TERCEROS_INFO[#All],2,FALSE)</f>
        <v>30</v>
      </c>
      <c r="D769" s="30">
        <f>+SUMIFS(PROVEEDORES[Total],PROVEEDORES[PROVEEDOR],PROVEEDORES[[#This Row],[PROVEEDOR]],PROVEEDORES[FECHA DE PAGO],"")</f>
        <v>6932910</v>
      </c>
      <c r="E769" s="30"/>
      <c r="F769" s="73" t="str">
        <f>+VLOOKUP(PROVEEDORES[[#This Row],[PROVEEDOR]],TERCEROS_INFO[[PROVEEDOR]:[CORREO]],5,FALSE)</f>
        <v>admin@kinocompanysas.com.co;girlesa.ruiz@servipilas.com;joriescobar64@gmail.com</v>
      </c>
      <c r="G769" s="111">
        <v>44537</v>
      </c>
      <c r="H769" s="31" t="s">
        <v>33</v>
      </c>
      <c r="I769" s="111">
        <v>44447</v>
      </c>
      <c r="J769" s="48">
        <v>1408</v>
      </c>
      <c r="K769" s="26">
        <v>2298000</v>
      </c>
      <c r="L769" s="26"/>
      <c r="M769" s="27">
        <v>436620</v>
      </c>
      <c r="N769" s="28"/>
      <c r="O769" s="27">
        <v>0</v>
      </c>
      <c r="P769" s="28">
        <v>2.5000000000000001E-2</v>
      </c>
      <c r="Q769" s="27">
        <v>57450</v>
      </c>
      <c r="R769" s="26">
        <v>2677170</v>
      </c>
      <c r="S769" s="115">
        <f ca="1">IF(PROVEEDORES[[#This Row],[FECHA DE PAGO]]=0,TODAY()-PROVEEDORES[[#This Row],[FECHA DE FACTURACIÓN]]-PROVEEDORES[[#This Row],[PLAZO Días]],0)</f>
        <v>0</v>
      </c>
      <c r="T76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0" spans="1:20" ht="21.9" customHeight="1" x14ac:dyDescent="0.3">
      <c r="A770" s="113" t="str">
        <f>+IF(PROVEEDORES[[#This Row],[FECHA DE PAGO]]=PROVEEDORES[[#This Row],[FECHA DE FACTURACIÓN]],"DE CONTADO","CRÉDITO")</f>
        <v>CRÉDITO</v>
      </c>
      <c r="B770" s="51" t="b">
        <f>+IF((PROVEEDORES[[#This Row],[FECHA DE PAGO]]-PROVEEDORES[[#This Row],[FECHA DE FACTURACIÓN]])&gt;PROVEEDORES[[#This Row],[PLAZO Días]],"PAGO VENCIDO")</f>
        <v>0</v>
      </c>
      <c r="C770" s="25">
        <f>+VLOOKUP(PROVEEDORES[[#This Row],[PROVEEDOR]],TERCEROS_INFO[#All],2,FALSE)</f>
        <v>30</v>
      </c>
      <c r="D770" s="30">
        <f>+SUMIFS(PROVEEDORES[Total],PROVEEDORES[PROVEEDOR],PROVEEDORES[[#This Row],[PROVEEDOR]],PROVEEDORES[FECHA DE PAGO],"")</f>
        <v>195500</v>
      </c>
      <c r="E770" s="30"/>
      <c r="F770" s="73" t="str">
        <f>+VLOOKUP(PROVEEDORES[[#This Row],[PROVEEDOR]],TERCEROS_INFO[[PROVEEDOR]:[CORREO]],5,FALSE)</f>
        <v/>
      </c>
      <c r="G770" s="111">
        <v>44466</v>
      </c>
      <c r="H770" s="31" t="s">
        <v>1053</v>
      </c>
      <c r="I770" s="111">
        <v>44448</v>
      </c>
      <c r="J770" s="48" t="s">
        <v>818</v>
      </c>
      <c r="K770" s="26">
        <v>227900</v>
      </c>
      <c r="L770" s="26"/>
      <c r="M770" s="27">
        <v>0</v>
      </c>
      <c r="N770" s="28"/>
      <c r="O770" s="27">
        <v>0</v>
      </c>
      <c r="P770" s="28">
        <v>0</v>
      </c>
      <c r="Q770" s="27">
        <v>0</v>
      </c>
      <c r="R770" s="26">
        <v>227900</v>
      </c>
      <c r="S770" s="115">
        <f ca="1">IF(PROVEEDORES[[#This Row],[FECHA DE PAGO]]=0,TODAY()-PROVEEDORES[[#This Row],[FECHA DE FACTURACIÓN]]-PROVEEDORES[[#This Row],[PLAZO Días]],0)</f>
        <v>0</v>
      </c>
      <c r="T77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1" spans="1:20" ht="21.9" customHeight="1" x14ac:dyDescent="0.3">
      <c r="A771" s="113" t="str">
        <f>+IF(PROVEEDORES[[#This Row],[FECHA DE PAGO]]=PROVEEDORES[[#This Row],[FECHA DE FACTURACIÓN]],"DE CONTADO","CRÉDITO")</f>
        <v>CRÉDITO</v>
      </c>
      <c r="B771" s="51" t="str">
        <f>+IF((PROVEEDORES[[#This Row],[FECHA DE PAGO]]-PROVEEDORES[[#This Row],[FECHA DE FACTURACIÓN]])&gt;PROVEEDORES[[#This Row],[PLAZO Días]],"PAGO VENCIDO")</f>
        <v>PAGO VENCIDO</v>
      </c>
      <c r="C771" s="25">
        <f>+VLOOKUP(PROVEEDORES[[#This Row],[PROVEEDOR]],TERCEROS_INFO[#All],2,FALSE)</f>
        <v>45</v>
      </c>
      <c r="D771" s="30">
        <f>+SUMIFS(PROVEEDORES[Total],PROVEEDORES[PROVEEDOR],PROVEEDORES[[#This Row],[PROVEEDOR]],PROVEEDORES[FECHA DE PAGO],"")</f>
        <v>1070024.2</v>
      </c>
      <c r="E771" s="30"/>
      <c r="F771" s="73" t="str">
        <f>+VLOOKUP(PROVEEDORES[[#This Row],[PROVEEDOR]],TERCEROS_INFO[[PROVEEDOR]:[CORREO]],5,FALSE)</f>
        <v>libardopineda@tronex.com;girlesa.ruiz@servipilas.com;joriescobar64@gmail.com</v>
      </c>
      <c r="G771" s="111">
        <v>44510</v>
      </c>
      <c r="H771" s="31" t="s">
        <v>10</v>
      </c>
      <c r="I771" s="111">
        <v>44448</v>
      </c>
      <c r="J771" s="48" t="s">
        <v>523</v>
      </c>
      <c r="K771" s="26">
        <v>725000</v>
      </c>
      <c r="L771" s="26"/>
      <c r="M771" s="27">
        <v>137750</v>
      </c>
      <c r="N771" s="28"/>
      <c r="O771" s="27">
        <v>0</v>
      </c>
      <c r="P771" s="28">
        <v>0</v>
      </c>
      <c r="Q771" s="27">
        <v>0</v>
      </c>
      <c r="R771" s="26">
        <v>862750</v>
      </c>
      <c r="S771" s="115">
        <f ca="1">IF(PROVEEDORES[[#This Row],[FECHA DE PAGO]]=0,TODAY()-PROVEEDORES[[#This Row],[FECHA DE FACTURACIÓN]]-PROVEEDORES[[#This Row],[PLAZO Días]],0)</f>
        <v>0</v>
      </c>
      <c r="T7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2" spans="1:20" ht="21.9" customHeight="1" x14ac:dyDescent="0.3">
      <c r="A772" s="113" t="str">
        <f>+IF(PROVEEDORES[[#This Row],[FECHA DE PAGO]]=PROVEEDORES[[#This Row],[FECHA DE FACTURACIÓN]],"DE CONTADO","CRÉDITO")</f>
        <v>CRÉDITO</v>
      </c>
      <c r="B772" s="51" t="str">
        <f>+IF((PROVEEDORES[[#This Row],[FECHA DE PAGO]]-PROVEEDORES[[#This Row],[FECHA DE FACTURACIÓN]])&gt;PROVEEDORES[[#This Row],[PLAZO Días]],"PAGO VENCIDO")</f>
        <v>PAGO VENCIDO</v>
      </c>
      <c r="C772" s="25">
        <f>+VLOOKUP(PROVEEDORES[[#This Row],[PROVEEDOR]],TERCEROS_INFO[#All],2,FALSE)</f>
        <v>30</v>
      </c>
      <c r="D772" s="30">
        <f>+SUMIFS(PROVEEDORES[Total],PROVEEDORES[PROVEEDOR],PROVEEDORES[[#This Row],[PROVEEDOR]],PROVEEDORES[FECHA DE PAGO],"")</f>
        <v>1645000</v>
      </c>
      <c r="E772" s="30"/>
      <c r="F772" s="73" t="str">
        <f>+VLOOKUP(PROVEEDORES[[#This Row],[PROVEEDOR]],TERCEROS_INFO[[PROVEEDOR]:[CORREO]],5,FALSE)</f>
        <v/>
      </c>
      <c r="G772" s="111">
        <v>44482</v>
      </c>
      <c r="H772" s="31" t="s">
        <v>1070</v>
      </c>
      <c r="I772" s="111">
        <v>44448</v>
      </c>
      <c r="J772" s="48" t="s">
        <v>820</v>
      </c>
      <c r="K772" s="26">
        <v>821000</v>
      </c>
      <c r="L772" s="26"/>
      <c r="M772" s="27">
        <v>0</v>
      </c>
      <c r="N772" s="28"/>
      <c r="O772" s="27">
        <v>0</v>
      </c>
      <c r="P772" s="28">
        <v>0</v>
      </c>
      <c r="Q772" s="27">
        <v>0</v>
      </c>
      <c r="R772" s="26">
        <v>821000</v>
      </c>
      <c r="S772" s="115">
        <f ca="1">IF(PROVEEDORES[[#This Row],[FECHA DE PAGO]]=0,TODAY()-PROVEEDORES[[#This Row],[FECHA DE FACTURACIÓN]]-PROVEEDORES[[#This Row],[PLAZO Días]],0)</f>
        <v>0</v>
      </c>
      <c r="T77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3" spans="1:20" ht="21.9" customHeight="1" x14ac:dyDescent="0.3">
      <c r="A773" s="113" t="str">
        <f>+IF(PROVEEDORES[[#This Row],[FECHA DE PAGO]]=PROVEEDORES[[#This Row],[FECHA DE FACTURACIÓN]],"DE CONTADO","CRÉDITO")</f>
        <v>CRÉDITO</v>
      </c>
      <c r="B773" s="51" t="str">
        <f>+IF((PROVEEDORES[[#This Row],[FECHA DE PAGO]]-PROVEEDORES[[#This Row],[FECHA DE FACTURACIÓN]])&gt;PROVEEDORES[[#This Row],[PLAZO Días]],"PAGO VENCIDO")</f>
        <v>PAGO VENCIDO</v>
      </c>
      <c r="C773" s="25">
        <f>+VLOOKUP(PROVEEDORES[[#This Row],[PROVEEDOR]],TERCEROS_INFO[#All],2,FALSE)</f>
        <v>30</v>
      </c>
      <c r="D773" s="30">
        <f>+SUMIFS(PROVEEDORES[Total],PROVEEDORES[PROVEEDOR],PROVEEDORES[[#This Row],[PROVEEDOR]],PROVEEDORES[FECHA DE PAGO],"")</f>
        <v>0</v>
      </c>
      <c r="E773" s="30"/>
      <c r="F773" s="73" t="str">
        <f>+VLOOKUP(PROVEEDORES[[#This Row],[PROVEEDOR]],TERCEROS_INFO[[PROVEEDOR]:[CORREO]],5,FALSE)</f>
        <v>globalpowerc2018@gmail.com;girlesa.ruiz@servipilas.com;joriescobar64@gmail.com</v>
      </c>
      <c r="G773" s="111">
        <v>44480</v>
      </c>
      <c r="H773" s="31" t="s">
        <v>1057</v>
      </c>
      <c r="I773" s="111">
        <v>44448</v>
      </c>
      <c r="J773" s="48" t="s">
        <v>819</v>
      </c>
      <c r="K773" s="26">
        <v>850000</v>
      </c>
      <c r="L773" s="26"/>
      <c r="M773" s="27">
        <v>0</v>
      </c>
      <c r="N773" s="28"/>
      <c r="O773" s="27">
        <v>0</v>
      </c>
      <c r="P773" s="28">
        <v>0</v>
      </c>
      <c r="Q773" s="27">
        <v>0</v>
      </c>
      <c r="R773" s="26">
        <v>850000</v>
      </c>
      <c r="S773" s="115">
        <f ca="1">IF(PROVEEDORES[[#This Row],[FECHA DE PAGO]]=0,TODAY()-PROVEEDORES[[#This Row],[FECHA DE FACTURACIÓN]]-PROVEEDORES[[#This Row],[PLAZO Días]],0)</f>
        <v>0</v>
      </c>
      <c r="T77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4" spans="1:20" ht="21.9" customHeight="1" x14ac:dyDescent="0.3">
      <c r="A774" s="113" t="str">
        <f>+IF(PROVEEDORES[[#This Row],[FECHA DE PAGO]]=PROVEEDORES[[#This Row],[FECHA DE FACTURACIÓN]],"DE CONTADO","CRÉDITO")</f>
        <v>DE CONTADO</v>
      </c>
      <c r="B774" s="51" t="b">
        <f>+IF((PROVEEDORES[[#This Row],[FECHA DE PAGO]]-PROVEEDORES[[#This Row],[FECHA DE FACTURACIÓN]])&gt;PROVEEDORES[[#This Row],[PLAZO Días]],"PAGO VENCIDO")</f>
        <v>0</v>
      </c>
      <c r="C774" s="25">
        <f>+VLOOKUP(PROVEEDORES[[#This Row],[PROVEEDOR]],TERCEROS_INFO[#All],2,FALSE)</f>
        <v>30</v>
      </c>
      <c r="D774" s="30">
        <f>+SUMIFS(PROVEEDORES[Total],PROVEEDORES[PROVEEDOR],PROVEEDORES[[#This Row],[PROVEEDOR]],PROVEEDORES[FECHA DE PAGO],"")</f>
        <v>0</v>
      </c>
      <c r="E774" s="30"/>
      <c r="F774" s="73">
        <f>+VLOOKUP(PROVEEDORES[[#This Row],[PROVEEDOR]],TERCEROS_INFO[[PROVEEDOR]:[CORREO]],5,FALSE)</f>
        <v>0</v>
      </c>
      <c r="G774" s="111">
        <v>44449</v>
      </c>
      <c r="H774" s="31" t="s">
        <v>521</v>
      </c>
      <c r="I774" s="111">
        <v>44449</v>
      </c>
      <c r="J774" s="48">
        <v>301659</v>
      </c>
      <c r="K774" s="26">
        <v>146639</v>
      </c>
      <c r="L774" s="26"/>
      <c r="M774" s="27">
        <v>27861.41</v>
      </c>
      <c r="N774" s="28"/>
      <c r="O774" s="27">
        <v>0</v>
      </c>
      <c r="P774" s="28">
        <v>0</v>
      </c>
      <c r="Q774" s="27">
        <v>0</v>
      </c>
      <c r="R774" s="26">
        <v>174500.41</v>
      </c>
      <c r="S774" s="115">
        <f ca="1">IF(PROVEEDORES[[#This Row],[FECHA DE PAGO]]=0,TODAY()-PROVEEDORES[[#This Row],[FECHA DE FACTURACIÓN]]-PROVEEDORES[[#This Row],[PLAZO Días]],0)</f>
        <v>0</v>
      </c>
      <c r="T77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5" spans="1:20" ht="21.9" customHeight="1" x14ac:dyDescent="0.3">
      <c r="A775" s="113" t="str">
        <f>+IF(PROVEEDORES[[#This Row],[FECHA DE PAGO]]=PROVEEDORES[[#This Row],[FECHA DE FACTURACIÓN]],"DE CONTADO","CRÉDITO")</f>
        <v>CRÉDITO</v>
      </c>
      <c r="B775" s="51" t="str">
        <f>+IF((PROVEEDORES[[#This Row],[FECHA DE PAGO]]-PROVEEDORES[[#This Row],[FECHA DE FACTURACIÓN]])&gt;PROVEEDORES[[#This Row],[PLAZO Días]],"PAGO VENCIDO")</f>
        <v>PAGO VENCIDO</v>
      </c>
      <c r="C775" s="25">
        <f>+VLOOKUP(PROVEEDORES[[#This Row],[PROVEEDOR]],TERCEROS_INFO[#All],2,FALSE)</f>
        <v>30</v>
      </c>
      <c r="D775" s="30">
        <f>+SUMIFS(PROVEEDORES[Total],PROVEEDORES[PROVEEDOR],PROVEEDORES[[#This Row],[PROVEEDOR]],PROVEEDORES[FECHA DE PAGO],"")</f>
        <v>7458000</v>
      </c>
      <c r="E775" s="30"/>
      <c r="F775" s="73" t="str">
        <f>+VLOOKUP(PROVEEDORES[[#This Row],[PROVEEDOR]],TERCEROS_INFO[[PROVEEDOR]:[CORREO]],5,FALSE)</f>
        <v/>
      </c>
      <c r="G775" s="111">
        <v>44510</v>
      </c>
      <c r="H775" s="31" t="s">
        <v>1049</v>
      </c>
      <c r="I775" s="111">
        <v>44449</v>
      </c>
      <c r="J775" s="48" t="s">
        <v>821</v>
      </c>
      <c r="K775" s="26">
        <v>1140000</v>
      </c>
      <c r="L775" s="26"/>
      <c r="M775" s="27">
        <v>0</v>
      </c>
      <c r="N775" s="28"/>
      <c r="O775" s="27">
        <v>0</v>
      </c>
      <c r="P775" s="28">
        <v>0</v>
      </c>
      <c r="Q775" s="27">
        <v>0</v>
      </c>
      <c r="R775" s="26">
        <v>1140000</v>
      </c>
      <c r="S775" s="115">
        <f ca="1">IF(PROVEEDORES[[#This Row],[FECHA DE PAGO]]=0,TODAY()-PROVEEDORES[[#This Row],[FECHA DE FACTURACIÓN]]-PROVEEDORES[[#This Row],[PLAZO Días]],0)</f>
        <v>0</v>
      </c>
      <c r="T77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6" spans="1:20" ht="21.9" customHeight="1" x14ac:dyDescent="0.3">
      <c r="A776" s="113" t="str">
        <f>+IF(PROVEEDORES[[#This Row],[FECHA DE PAGO]]=PROVEEDORES[[#This Row],[FECHA DE FACTURACIÓN]],"DE CONTADO","CRÉDITO")</f>
        <v>CRÉDITO</v>
      </c>
      <c r="B776" s="51" t="str">
        <f>+IF((PROVEEDORES[[#This Row],[FECHA DE PAGO]]-PROVEEDORES[[#This Row],[FECHA DE FACTURACIÓN]])&gt;PROVEEDORES[[#This Row],[PLAZO Días]],"PAGO VENCIDO")</f>
        <v>PAGO VENCIDO</v>
      </c>
      <c r="C776" s="25">
        <f>+VLOOKUP(PROVEEDORES[[#This Row],[PROVEEDOR]],TERCEROS_INFO[#All],2,FALSE)</f>
        <v>30</v>
      </c>
      <c r="D776" s="30">
        <f>+SUMIFS(PROVEEDORES[Total],PROVEEDORES[PROVEEDOR],PROVEEDORES[[#This Row],[PROVEEDOR]],PROVEEDORES[FECHA DE PAGO],"")</f>
        <v>0</v>
      </c>
      <c r="E776" s="30"/>
      <c r="F776" s="73" t="str">
        <f>+VLOOKUP(PROVEEDORES[[#This Row],[PROVEEDOR]],TERCEROS_INFO[[PROVEEDOR]:[CORREO]],5,FALSE)</f>
        <v>Pygimportadora@gmail.com;girlesa.ruiz@servipilas.com;joriescobar64@gmail.com</v>
      </c>
      <c r="G776" s="111">
        <v>44496</v>
      </c>
      <c r="H776" s="31" t="s">
        <v>26</v>
      </c>
      <c r="I776" s="111">
        <v>44449</v>
      </c>
      <c r="J776" s="48" t="s">
        <v>527</v>
      </c>
      <c r="K776" s="26">
        <v>2720000</v>
      </c>
      <c r="L776" s="26"/>
      <c r="M776" s="27">
        <v>516800</v>
      </c>
      <c r="N776" s="28"/>
      <c r="O776" s="27">
        <v>0</v>
      </c>
      <c r="P776" s="28">
        <v>2.5000000000000001E-2</v>
      </c>
      <c r="Q776" s="27">
        <v>68000</v>
      </c>
      <c r="R776" s="26">
        <v>3168800</v>
      </c>
      <c r="S776" s="115">
        <f ca="1">IF(PROVEEDORES[[#This Row],[FECHA DE PAGO]]=0,TODAY()-PROVEEDORES[[#This Row],[FECHA DE FACTURACIÓN]]-PROVEEDORES[[#This Row],[PLAZO Días]],0)</f>
        <v>0</v>
      </c>
      <c r="T7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7" spans="1:20" ht="21.9" customHeight="1" x14ac:dyDescent="0.3">
      <c r="A777" s="113" t="str">
        <f>+IF(PROVEEDORES[[#This Row],[FECHA DE PAGO]]=PROVEEDORES[[#This Row],[FECHA DE FACTURACIÓN]],"DE CONTADO","CRÉDITO")</f>
        <v>CRÉDITO</v>
      </c>
      <c r="B777" s="51" t="b">
        <f>+IF((PROVEEDORES[[#This Row],[FECHA DE PAGO]]-PROVEEDORES[[#This Row],[FECHA DE FACTURACIÓN]])&gt;PROVEEDORES[[#This Row],[PLAZO Días]],"PAGO VENCIDO")</f>
        <v>0</v>
      </c>
      <c r="C777" s="25">
        <f>+VLOOKUP(PROVEEDORES[[#This Row],[PROVEEDOR]],TERCEROS_INFO[#All],2,FALSE)</f>
        <v>30</v>
      </c>
      <c r="D777" s="30">
        <f>+SUMIFS(PROVEEDORES[Total],PROVEEDORES[PROVEEDOR],PROVEEDORES[[#This Row],[PROVEEDOR]],PROVEEDORES[FECHA DE PAGO],"")</f>
        <v>0</v>
      </c>
      <c r="E777" s="30"/>
      <c r="F777" s="73" t="str">
        <f>+VLOOKUP(PROVEEDORES[[#This Row],[PROVEEDOR]],TERCEROS_INFO[[PROVEEDOR]:[CORREO]],5,FALSE)</f>
        <v/>
      </c>
      <c r="G777" s="111">
        <v>44459</v>
      </c>
      <c r="H777" s="31" t="s">
        <v>1063</v>
      </c>
      <c r="I777" s="111">
        <v>44450</v>
      </c>
      <c r="J777" s="48"/>
      <c r="K777" s="26">
        <v>1200000</v>
      </c>
      <c r="L777" s="26"/>
      <c r="M777" s="27">
        <v>0</v>
      </c>
      <c r="N777" s="28"/>
      <c r="O777" s="27">
        <v>0</v>
      </c>
      <c r="P777" s="28">
        <v>0</v>
      </c>
      <c r="Q777" s="27">
        <v>0</v>
      </c>
      <c r="R777" s="26">
        <v>1200000</v>
      </c>
      <c r="S777" s="115">
        <f ca="1">IF(PROVEEDORES[[#This Row],[FECHA DE PAGO]]=0,TODAY()-PROVEEDORES[[#This Row],[FECHA DE FACTURACIÓN]]-PROVEEDORES[[#This Row],[PLAZO Días]],0)</f>
        <v>0</v>
      </c>
      <c r="T7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8" spans="1:20" ht="21.9" customHeight="1" x14ac:dyDescent="0.3">
      <c r="A778" s="113" t="str">
        <f>+IF(PROVEEDORES[[#This Row],[FECHA DE PAGO]]=PROVEEDORES[[#This Row],[FECHA DE FACTURACIÓN]],"DE CONTADO","CRÉDITO")</f>
        <v>CRÉDITO</v>
      </c>
      <c r="B778" s="51" t="b">
        <f>+IF((PROVEEDORES[[#This Row],[FECHA DE PAGO]]-PROVEEDORES[[#This Row],[FECHA DE FACTURACIÓN]])&gt;PROVEEDORES[[#This Row],[PLAZO Días]],"PAGO VENCIDO")</f>
        <v>0</v>
      </c>
      <c r="C778" s="25">
        <f>+VLOOKUP(PROVEEDORES[[#This Row],[PROVEEDOR]],TERCEROS_INFO[#All],2,FALSE)</f>
        <v>30</v>
      </c>
      <c r="D778" s="30">
        <f>+SUMIFS(PROVEEDORES[Total],PROVEEDORES[PROVEEDOR],PROVEEDORES[[#This Row],[PROVEEDOR]],PROVEEDORES[FECHA DE PAGO],"")</f>
        <v>195500</v>
      </c>
      <c r="E778" s="30"/>
      <c r="F778" s="73" t="str">
        <f>+VLOOKUP(PROVEEDORES[[#This Row],[PROVEEDOR]],TERCEROS_INFO[[PROVEEDOR]:[CORREO]],5,FALSE)</f>
        <v/>
      </c>
      <c r="G778" s="111">
        <v>44466</v>
      </c>
      <c r="H778" s="31" t="s">
        <v>1053</v>
      </c>
      <c r="I778" s="111">
        <v>44452</v>
      </c>
      <c r="J778" s="48" t="s">
        <v>822</v>
      </c>
      <c r="K778" s="26">
        <v>199600</v>
      </c>
      <c r="L778" s="26"/>
      <c r="M778" s="27">
        <v>0</v>
      </c>
      <c r="N778" s="28"/>
      <c r="O778" s="27">
        <v>0</v>
      </c>
      <c r="P778" s="28">
        <v>0</v>
      </c>
      <c r="Q778" s="27">
        <v>0</v>
      </c>
      <c r="R778" s="26">
        <v>199600</v>
      </c>
      <c r="S778" s="115">
        <f ca="1">IF(PROVEEDORES[[#This Row],[FECHA DE PAGO]]=0,TODAY()-PROVEEDORES[[#This Row],[FECHA DE FACTURACIÓN]]-PROVEEDORES[[#This Row],[PLAZO Días]],0)</f>
        <v>0</v>
      </c>
      <c r="T77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79" spans="1:20" ht="21.9" customHeight="1" x14ac:dyDescent="0.3">
      <c r="A779" s="113" t="str">
        <f>+IF(PROVEEDORES[[#This Row],[FECHA DE PAGO]]=PROVEEDORES[[#This Row],[FECHA DE FACTURACIÓN]],"DE CONTADO","CRÉDITO")</f>
        <v>CRÉDITO</v>
      </c>
      <c r="B779" s="51" t="b">
        <f>+IF((PROVEEDORES[[#This Row],[FECHA DE PAGO]]-PROVEEDORES[[#This Row],[FECHA DE FACTURACIÓN]])&gt;PROVEEDORES[[#This Row],[PLAZO Días]],"PAGO VENCIDO")</f>
        <v>0</v>
      </c>
      <c r="C779" s="25">
        <f>+VLOOKUP(PROVEEDORES[[#This Row],[PROVEEDOR]],TERCEROS_INFO[#All],2,FALSE)</f>
        <v>30</v>
      </c>
      <c r="D779" s="30">
        <f>+SUMIFS(PROVEEDORES[Total],PROVEEDORES[PROVEEDOR],PROVEEDORES[[#This Row],[PROVEEDOR]],PROVEEDORES[FECHA DE PAGO],"")</f>
        <v>264406</v>
      </c>
      <c r="E779" s="30"/>
      <c r="F779" s="73" t="str">
        <f>+VLOOKUP(PROVEEDORES[[#This Row],[PROVEEDOR]],TERCEROS_INFO[[PROVEEDOR]:[CORREO]],5,FALSE)</f>
        <v>oswaldo.alvarez@logimexsas.com;girlesa.ruiz@servipilas.com;joriescobar64@gmail.com</v>
      </c>
      <c r="G779" s="111">
        <v>44453</v>
      </c>
      <c r="H779" s="31" t="s">
        <v>393</v>
      </c>
      <c r="I779" s="111">
        <v>44452</v>
      </c>
      <c r="J779" s="48" t="s">
        <v>823</v>
      </c>
      <c r="K779" s="26">
        <v>1791000</v>
      </c>
      <c r="L779" s="26"/>
      <c r="M779" s="27">
        <v>0</v>
      </c>
      <c r="N779" s="28"/>
      <c r="O779" s="27">
        <v>0</v>
      </c>
      <c r="P779" s="28">
        <v>0</v>
      </c>
      <c r="Q779" s="27">
        <v>0</v>
      </c>
      <c r="R779" s="26">
        <v>1791000</v>
      </c>
      <c r="S779" s="115">
        <f ca="1">IF(PROVEEDORES[[#This Row],[FECHA DE PAGO]]=0,TODAY()-PROVEEDORES[[#This Row],[FECHA DE FACTURACIÓN]]-PROVEEDORES[[#This Row],[PLAZO Días]],0)</f>
        <v>0</v>
      </c>
      <c r="T7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0" spans="1:20" ht="21.9" customHeight="1" x14ac:dyDescent="0.3">
      <c r="A780" s="113" t="str">
        <f>+IF(PROVEEDORES[[#This Row],[FECHA DE PAGO]]=PROVEEDORES[[#This Row],[FECHA DE FACTURACIÓN]],"DE CONTADO","CRÉDITO")</f>
        <v>DE CONTADO</v>
      </c>
      <c r="B780" s="51" t="b">
        <f>+IF((PROVEEDORES[[#This Row],[FECHA DE PAGO]]-PROVEEDORES[[#This Row],[FECHA DE FACTURACIÓN]])&gt;PROVEEDORES[[#This Row],[PLAZO Días]],"PAGO VENCIDO")</f>
        <v>0</v>
      </c>
      <c r="C780" s="25">
        <f>+VLOOKUP(PROVEEDORES[[#This Row],[PROVEEDOR]],TERCEROS_INFO[#All],2,FALSE)</f>
        <v>20</v>
      </c>
      <c r="D780" s="30">
        <f>+SUMIFS(PROVEEDORES[Total],PROVEEDORES[PROVEEDOR],PROVEEDORES[[#This Row],[PROVEEDOR]],PROVEEDORES[FECHA DE PAGO],"")</f>
        <v>0</v>
      </c>
      <c r="E780" s="30"/>
      <c r="F780" s="73" t="str">
        <f>+VLOOKUP(PROVEEDORES[[#This Row],[PROVEEDOR]],TERCEROS_INFO[[PROVEEDOR]:[CORREO]],5,FALSE)</f>
        <v>bog.fa1@pressex.co;bog.fm1@pressex.co;kbaumgartner@pressex.co;girlesa.ruiz@servipilas.com;joriescobar64@gmail.com</v>
      </c>
      <c r="G780" s="111">
        <v>44452</v>
      </c>
      <c r="H780" s="31" t="s">
        <v>377</v>
      </c>
      <c r="I780" s="111">
        <v>44452</v>
      </c>
      <c r="J780" s="48" t="s">
        <v>525</v>
      </c>
      <c r="K780" s="26">
        <v>3374743.75</v>
      </c>
      <c r="L780" s="26"/>
      <c r="M780" s="27">
        <v>95264.194999999992</v>
      </c>
      <c r="N780" s="28"/>
      <c r="O780" s="27">
        <v>0</v>
      </c>
      <c r="P780" s="28">
        <v>0.04</v>
      </c>
      <c r="Q780" s="27">
        <v>20055.62</v>
      </c>
      <c r="R780" s="26">
        <v>3449952.3249999997</v>
      </c>
      <c r="S780" s="115">
        <f ca="1">IF(PROVEEDORES[[#This Row],[FECHA DE PAGO]]=0,TODAY()-PROVEEDORES[[#This Row],[FECHA DE FACTURACIÓN]]-PROVEEDORES[[#This Row],[PLAZO Días]],0)</f>
        <v>0</v>
      </c>
      <c r="T7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1" spans="1:20" ht="21.9" customHeight="1" x14ac:dyDescent="0.3">
      <c r="A781" s="113" t="str">
        <f>+IF(PROVEEDORES[[#This Row],[FECHA DE PAGO]]=PROVEEDORES[[#This Row],[FECHA DE FACTURACIÓN]],"DE CONTADO","CRÉDITO")</f>
        <v>CRÉDITO</v>
      </c>
      <c r="B781" s="51" t="b">
        <f>+IF((PROVEEDORES[[#This Row],[FECHA DE PAGO]]-PROVEEDORES[[#This Row],[FECHA DE FACTURACIÓN]])&gt;PROVEEDORES[[#This Row],[PLAZO Días]],"PAGO VENCIDO")</f>
        <v>0</v>
      </c>
      <c r="C781" s="25">
        <f>+VLOOKUP(PROVEEDORES[[#This Row],[PROVEEDOR]],TERCEROS_INFO[#All],2,FALSE)</f>
        <v>30</v>
      </c>
      <c r="D781" s="30">
        <f>+SUMIFS(PROVEEDORES[Total],PROVEEDORES[PROVEEDOR],PROVEEDORES[[#This Row],[PROVEEDOR]],PROVEEDORES[FECHA DE PAGO],"")</f>
        <v>0</v>
      </c>
      <c r="E781" s="30"/>
      <c r="F781" s="73" t="str">
        <f>+VLOOKUP(PROVEEDORES[[#This Row],[PROVEEDOR]],TERCEROS_INFO[[PROVEEDOR]:[CORREO]],5,FALSE)</f>
        <v>CARLOSARCILAMENSAJERIA@gmail.com;girlesa.ruiz@servipilas.com;joriescobar64@gmail.com</v>
      </c>
      <c r="G781" s="111">
        <v>44459</v>
      </c>
      <c r="H781" s="31" t="s">
        <v>143</v>
      </c>
      <c r="I781" s="111">
        <v>44453</v>
      </c>
      <c r="J781" s="48">
        <v>135</v>
      </c>
      <c r="K781" s="26">
        <v>592000</v>
      </c>
      <c r="L781" s="26"/>
      <c r="M781" s="27">
        <v>112480</v>
      </c>
      <c r="N781" s="28"/>
      <c r="O781" s="27">
        <v>0</v>
      </c>
      <c r="P781" s="28">
        <v>0.01</v>
      </c>
      <c r="Q781" s="27">
        <v>5920</v>
      </c>
      <c r="R781" s="26">
        <v>698560</v>
      </c>
      <c r="S781" s="115">
        <f ca="1">IF(PROVEEDORES[[#This Row],[FECHA DE PAGO]]=0,TODAY()-PROVEEDORES[[#This Row],[FECHA DE FACTURACIÓN]]-PROVEEDORES[[#This Row],[PLAZO Días]],0)</f>
        <v>0</v>
      </c>
      <c r="T7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2" spans="1:20" ht="21.9" customHeight="1" x14ac:dyDescent="0.3">
      <c r="A782" s="113" t="str">
        <f>+IF(PROVEEDORES[[#This Row],[FECHA DE PAGO]]=PROVEEDORES[[#This Row],[FECHA DE FACTURACIÓN]],"DE CONTADO","CRÉDITO")</f>
        <v>CRÉDITO</v>
      </c>
      <c r="B782" s="51" t="b">
        <f>+IF((PROVEEDORES[[#This Row],[FECHA DE PAGO]]-PROVEEDORES[[#This Row],[FECHA DE FACTURACIÓN]])&gt;PROVEEDORES[[#This Row],[PLAZO Días]],"PAGO VENCIDO")</f>
        <v>0</v>
      </c>
      <c r="C782" s="25">
        <f>+VLOOKUP(PROVEEDORES[[#This Row],[PROVEEDOR]],TERCEROS_INFO[#All],2,FALSE)</f>
        <v>30</v>
      </c>
      <c r="D782" s="30">
        <f>+SUMIFS(PROVEEDORES[Total],PROVEEDORES[PROVEEDOR],PROVEEDORES[[#This Row],[PROVEEDOR]],PROVEEDORES[FECHA DE PAGO],"")</f>
        <v>0</v>
      </c>
      <c r="E782" s="30"/>
      <c r="F782" s="73" t="str">
        <f>+VLOOKUP(PROVEEDORES[[#This Row],[PROVEEDOR]],TERCEROS_INFO[[PROVEEDOR]:[CORREO]],5,FALSE)</f>
        <v/>
      </c>
      <c r="G782" s="111">
        <v>44454</v>
      </c>
      <c r="H782" s="31" t="s">
        <v>1007</v>
      </c>
      <c r="I782" s="111">
        <v>44453</v>
      </c>
      <c r="J782" s="48" t="s">
        <v>824</v>
      </c>
      <c r="K782" s="26">
        <v>1106000</v>
      </c>
      <c r="L782" s="26"/>
      <c r="M782" s="27">
        <v>0</v>
      </c>
      <c r="N782" s="28"/>
      <c r="O782" s="27">
        <v>0</v>
      </c>
      <c r="P782" s="28">
        <v>0</v>
      </c>
      <c r="Q782" s="27">
        <v>0</v>
      </c>
      <c r="R782" s="26">
        <v>1106000</v>
      </c>
      <c r="S782" s="115">
        <f ca="1">IF(PROVEEDORES[[#This Row],[FECHA DE PAGO]]=0,TODAY()-PROVEEDORES[[#This Row],[FECHA DE FACTURACIÓN]]-PROVEEDORES[[#This Row],[PLAZO Días]],0)</f>
        <v>0</v>
      </c>
      <c r="T78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3" spans="1:20" ht="21.9" customHeight="1" x14ac:dyDescent="0.3">
      <c r="A783" s="113" t="str">
        <f>+IF(PROVEEDORES[[#This Row],[FECHA DE PAGO]]=PROVEEDORES[[#This Row],[FECHA DE FACTURACIÓN]],"DE CONTADO","CRÉDITO")</f>
        <v>CRÉDITO</v>
      </c>
      <c r="B783" s="51" t="b">
        <f>+IF((PROVEEDORES[[#This Row],[FECHA DE PAGO]]-PROVEEDORES[[#This Row],[FECHA DE FACTURACIÓN]])&gt;PROVEEDORES[[#This Row],[PLAZO Días]],"PAGO VENCIDO")</f>
        <v>0</v>
      </c>
      <c r="C783" s="25">
        <f>+VLOOKUP(PROVEEDORES[[#This Row],[PROVEEDOR]],TERCEROS_INFO[#All],2,FALSE)</f>
        <v>10</v>
      </c>
      <c r="D783" s="30">
        <f>+SUMIFS(PROVEEDORES[Total],PROVEEDORES[PROVEEDOR],PROVEEDORES[[#This Row],[PROVEEDOR]],PROVEEDORES[FECHA DE PAGO],"")</f>
        <v>0</v>
      </c>
      <c r="E783" s="30"/>
      <c r="F783" s="73" t="str">
        <f>+VLOOKUP(PROVEEDORES[[#This Row],[PROVEEDOR]],TERCEROS_INFO[[PROVEEDOR]:[CORREO]],5,FALSE)</f>
        <v/>
      </c>
      <c r="G783" s="111">
        <v>44454</v>
      </c>
      <c r="H783" s="31" t="s">
        <v>23</v>
      </c>
      <c r="I783" s="111">
        <v>44453</v>
      </c>
      <c r="J783" s="48">
        <v>284978</v>
      </c>
      <c r="K783" s="26">
        <v>9674769</v>
      </c>
      <c r="L783" s="26"/>
      <c r="M783" s="27">
        <v>0</v>
      </c>
      <c r="N783" s="28"/>
      <c r="O783" s="27">
        <v>0</v>
      </c>
      <c r="P783" s="28">
        <v>0</v>
      </c>
      <c r="Q783" s="27">
        <v>0</v>
      </c>
      <c r="R783" s="26">
        <v>9674769</v>
      </c>
      <c r="S783" s="115">
        <f ca="1">IF(PROVEEDORES[[#This Row],[FECHA DE PAGO]]=0,TODAY()-PROVEEDORES[[#This Row],[FECHA DE FACTURACIÓN]]-PROVEEDORES[[#This Row],[PLAZO Días]],0)</f>
        <v>0</v>
      </c>
      <c r="T78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4" spans="1:20" ht="21.9" customHeight="1" x14ac:dyDescent="0.3">
      <c r="A784" s="113" t="str">
        <f>+IF(PROVEEDORES[[#This Row],[FECHA DE PAGO]]=PROVEEDORES[[#This Row],[FECHA DE FACTURACIÓN]],"DE CONTADO","CRÉDITO")</f>
        <v>CRÉDITO</v>
      </c>
      <c r="B784" s="51" t="str">
        <f>+IF((PROVEEDORES[[#This Row],[FECHA DE PAGO]]-PROVEEDORES[[#This Row],[FECHA DE FACTURACIÓN]])&gt;PROVEEDORES[[#This Row],[PLAZO Días]],"PAGO VENCIDO")</f>
        <v>PAGO VENCIDO</v>
      </c>
      <c r="C784" s="25">
        <f>+VLOOKUP(PROVEEDORES[[#This Row],[PROVEEDOR]],TERCEROS_INFO[#All],2,FALSE)</f>
        <v>30</v>
      </c>
      <c r="D784" s="30">
        <f>+SUMIFS(PROVEEDORES[Total],PROVEEDORES[PROVEEDOR],PROVEEDORES[[#This Row],[PROVEEDOR]],PROVEEDORES[FECHA DE PAGO],"")</f>
        <v>10764600</v>
      </c>
      <c r="E784" s="30"/>
      <c r="F784" s="73" t="str">
        <f>+VLOOKUP(PROVEEDORES[[#This Row],[PROVEEDOR]],TERCEROS_INFO[[PROVEEDOR]:[CORREO]],5,FALSE)</f>
        <v>apresupuesto@widexcolombia.com;girlesa.ruiz@servipilas.com;joriescobar64@gmail.com</v>
      </c>
      <c r="G784" s="111">
        <v>44503</v>
      </c>
      <c r="H784" s="31" t="s">
        <v>11</v>
      </c>
      <c r="I784" s="111">
        <v>44454</v>
      </c>
      <c r="J784" s="48" t="s">
        <v>530</v>
      </c>
      <c r="K784" s="26">
        <v>1980000</v>
      </c>
      <c r="L784" s="26"/>
      <c r="M784" s="27">
        <v>376200</v>
      </c>
      <c r="N784" s="28"/>
      <c r="O784" s="27">
        <v>0</v>
      </c>
      <c r="P784" s="28">
        <v>2.5000000000000001E-2</v>
      </c>
      <c r="Q784" s="27">
        <v>49500</v>
      </c>
      <c r="R784" s="26">
        <v>2306700</v>
      </c>
      <c r="S784" s="115">
        <f ca="1">IF(PROVEEDORES[[#This Row],[FECHA DE PAGO]]=0,TODAY()-PROVEEDORES[[#This Row],[FECHA DE FACTURACIÓN]]-PROVEEDORES[[#This Row],[PLAZO Días]],0)</f>
        <v>0</v>
      </c>
      <c r="T7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5" spans="1:20" ht="21.9" customHeight="1" x14ac:dyDescent="0.3">
      <c r="A785" s="113" t="str">
        <f>+IF(PROVEEDORES[[#This Row],[FECHA DE PAGO]]=PROVEEDORES[[#This Row],[FECHA DE FACTURACIÓN]],"DE CONTADO","CRÉDITO")</f>
        <v>CRÉDITO</v>
      </c>
      <c r="B785" s="51" t="str">
        <f>+IF((PROVEEDORES[[#This Row],[FECHA DE PAGO]]-PROVEEDORES[[#This Row],[FECHA DE FACTURACIÓN]])&gt;PROVEEDORES[[#This Row],[PLAZO Días]],"PAGO VENCIDO")</f>
        <v>PAGO VENCIDO</v>
      </c>
      <c r="C785" s="25">
        <f>+VLOOKUP(PROVEEDORES[[#This Row],[PROVEEDOR]],TERCEROS_INFO[#All],2,FALSE)</f>
        <v>30</v>
      </c>
      <c r="D785" s="30">
        <f>+SUMIFS(PROVEEDORES[Total],PROVEEDORES[PROVEEDOR],PROVEEDORES[[#This Row],[PROVEEDOR]],PROVEEDORES[FECHA DE PAGO],"")</f>
        <v>7458000</v>
      </c>
      <c r="E785" s="30"/>
      <c r="F785" s="73" t="str">
        <f>+VLOOKUP(PROVEEDORES[[#This Row],[PROVEEDOR]],TERCEROS_INFO[[PROVEEDOR]:[CORREO]],5,FALSE)</f>
        <v/>
      </c>
      <c r="G785" s="111">
        <v>44524</v>
      </c>
      <c r="H785" s="31" t="s">
        <v>1049</v>
      </c>
      <c r="I785" s="111">
        <v>44454</v>
      </c>
      <c r="J785" s="48" t="s">
        <v>825</v>
      </c>
      <c r="K785" s="26">
        <v>4740000</v>
      </c>
      <c r="L785" s="26"/>
      <c r="M785" s="27">
        <v>0</v>
      </c>
      <c r="N785" s="28"/>
      <c r="O785" s="27">
        <v>0</v>
      </c>
      <c r="P785" s="28">
        <v>0</v>
      </c>
      <c r="Q785" s="27">
        <v>0</v>
      </c>
      <c r="R785" s="26">
        <v>4740000</v>
      </c>
      <c r="S785" s="115">
        <f ca="1">IF(PROVEEDORES[[#This Row],[FECHA DE PAGO]]=0,TODAY()-PROVEEDORES[[#This Row],[FECHA DE FACTURACIÓN]]-PROVEEDORES[[#This Row],[PLAZO Días]],0)</f>
        <v>0</v>
      </c>
      <c r="T78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6" spans="1:20" ht="21.9" customHeight="1" x14ac:dyDescent="0.3">
      <c r="A786" s="113" t="str">
        <f>+IF(PROVEEDORES[[#This Row],[FECHA DE PAGO]]=PROVEEDORES[[#This Row],[FECHA DE FACTURACIÓN]],"DE CONTADO","CRÉDITO")</f>
        <v>CRÉDITO</v>
      </c>
      <c r="B786" s="51" t="b">
        <f>+IF((PROVEEDORES[[#This Row],[FECHA DE PAGO]]-PROVEEDORES[[#This Row],[FECHA DE FACTURACIÓN]])&gt;PROVEEDORES[[#This Row],[PLAZO Días]],"PAGO VENCIDO")</f>
        <v>0</v>
      </c>
      <c r="C786" s="25">
        <f>+VLOOKUP(PROVEEDORES[[#This Row],[PROVEEDOR]],TERCEROS_INFO[#All],2,FALSE)</f>
        <v>10</v>
      </c>
      <c r="D786" s="30">
        <f>+SUMIFS(PROVEEDORES[Total],PROVEEDORES[PROVEEDOR],PROVEEDORES[[#This Row],[PROVEEDOR]],PROVEEDORES[FECHA DE PAGO],"")</f>
        <v>0</v>
      </c>
      <c r="E786" s="30"/>
      <c r="F786" s="73" t="str">
        <f>+VLOOKUP(PROVEEDORES[[#This Row],[PROVEEDOR]],TERCEROS_INFO[[PROVEEDOR]:[CORREO]],5,FALSE)</f>
        <v>juanzuluaga@ducon.com.co;girlesa.ruiz@servipilas.com;joriescobar64@gmail.com</v>
      </c>
      <c r="G786" s="111">
        <v>44460</v>
      </c>
      <c r="H786" s="31" t="s">
        <v>528</v>
      </c>
      <c r="I786" s="111">
        <v>44455</v>
      </c>
      <c r="J786" s="48">
        <v>18203</v>
      </c>
      <c r="K786" s="26">
        <v>405000</v>
      </c>
      <c r="L786" s="26"/>
      <c r="M786" s="27">
        <v>76950</v>
      </c>
      <c r="N786" s="28"/>
      <c r="O786" s="27">
        <v>0</v>
      </c>
      <c r="P786" s="28">
        <v>0</v>
      </c>
      <c r="Q786" s="27">
        <v>0</v>
      </c>
      <c r="R786" s="26">
        <v>481950</v>
      </c>
      <c r="S786" s="115">
        <f ca="1">IF(PROVEEDORES[[#This Row],[FECHA DE PAGO]]=0,TODAY()-PROVEEDORES[[#This Row],[FECHA DE FACTURACIÓN]]-PROVEEDORES[[#This Row],[PLAZO Días]],0)</f>
        <v>0</v>
      </c>
      <c r="T78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7" spans="1:20" ht="21.9" customHeight="1" x14ac:dyDescent="0.3">
      <c r="A787" s="113" t="str">
        <f>+IF(PROVEEDORES[[#This Row],[FECHA DE PAGO]]=PROVEEDORES[[#This Row],[FECHA DE FACTURACIÓN]],"DE CONTADO","CRÉDITO")</f>
        <v>DE CONTADO</v>
      </c>
      <c r="B787" s="51" t="b">
        <f>+IF((PROVEEDORES[[#This Row],[FECHA DE PAGO]]-PROVEEDORES[[#This Row],[FECHA DE FACTURACIÓN]])&gt;PROVEEDORES[[#This Row],[PLAZO Días]],"PAGO VENCIDO")</f>
        <v>0</v>
      </c>
      <c r="C787" s="25">
        <f>+VLOOKUP(PROVEEDORES[[#This Row],[PROVEEDOR]],TERCEROS_INFO[#All],2,FALSE)</f>
        <v>30</v>
      </c>
      <c r="D787" s="30">
        <f>+SUMIFS(PROVEEDORES[Total],PROVEEDORES[PROVEEDOR],PROVEEDORES[[#This Row],[PROVEEDOR]],PROVEEDORES[FECHA DE PAGO],"")</f>
        <v>0</v>
      </c>
      <c r="E787" s="30"/>
      <c r="F787" s="73" t="str">
        <f>+VLOOKUP(PROVEEDORES[[#This Row],[PROVEEDOR]],TERCEROS_INFO[[PROVEEDOR]:[CORREO]],5,FALSE)</f>
        <v/>
      </c>
      <c r="G787" s="111">
        <v>44455</v>
      </c>
      <c r="H787" s="31" t="s">
        <v>1052</v>
      </c>
      <c r="I787" s="111">
        <v>44455</v>
      </c>
      <c r="J787" s="48"/>
      <c r="K787" s="26">
        <v>1000000</v>
      </c>
      <c r="L787" s="26"/>
      <c r="M787" s="27">
        <v>0</v>
      </c>
      <c r="N787" s="28"/>
      <c r="O787" s="27">
        <v>0</v>
      </c>
      <c r="P787" s="28">
        <v>0</v>
      </c>
      <c r="Q787" s="27">
        <v>0</v>
      </c>
      <c r="R787" s="26">
        <v>1000000</v>
      </c>
      <c r="S787" s="115">
        <f ca="1">IF(PROVEEDORES[[#This Row],[FECHA DE PAGO]]=0,TODAY()-PROVEEDORES[[#This Row],[FECHA DE FACTURACIÓN]]-PROVEEDORES[[#This Row],[PLAZO Días]],0)</f>
        <v>0</v>
      </c>
      <c r="T7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8" spans="1:20" ht="21.9" customHeight="1" x14ac:dyDescent="0.3">
      <c r="A788" s="113" t="str">
        <f>+IF(PROVEEDORES[[#This Row],[FECHA DE PAGO]]=PROVEEDORES[[#This Row],[FECHA DE FACTURACIÓN]],"DE CONTADO","CRÉDITO")</f>
        <v>CRÉDITO</v>
      </c>
      <c r="B788" s="51" t="str">
        <f>+IF((PROVEEDORES[[#This Row],[FECHA DE PAGO]]-PROVEEDORES[[#This Row],[FECHA DE FACTURACIÓN]])&gt;PROVEEDORES[[#This Row],[PLAZO Días]],"PAGO VENCIDO")</f>
        <v>PAGO VENCIDO</v>
      </c>
      <c r="C788" s="25">
        <f>+VLOOKUP(PROVEEDORES[[#This Row],[PROVEEDOR]],TERCEROS_INFO[#All],2,FALSE)</f>
        <v>30</v>
      </c>
      <c r="D788" s="30">
        <f>+SUMIFS(PROVEEDORES[Total],PROVEEDORES[PROVEEDOR],PROVEEDORES[[#This Row],[PROVEEDOR]],PROVEEDORES[FECHA DE PAGO],"")</f>
        <v>1119790</v>
      </c>
      <c r="E788" s="30"/>
      <c r="F788" s="73" t="str">
        <f>+VLOOKUP(PROVEEDORES[[#This Row],[PROVEEDOR]],TERCEROS_INFO[[PROVEEDOR]:[CORREO]],5,FALSE)</f>
        <v>MVALENCIA@mps.com.co;girlesa.ruiz@servipilas.com;joriescobar64@gmail.com</v>
      </c>
      <c r="G788" s="111">
        <v>44488</v>
      </c>
      <c r="H788" s="31" t="s">
        <v>17</v>
      </c>
      <c r="I788" s="111">
        <v>44456</v>
      </c>
      <c r="J788" s="48">
        <v>1815050</v>
      </c>
      <c r="K788" s="26">
        <v>210000</v>
      </c>
      <c r="L788" s="26"/>
      <c r="M788" s="27">
        <v>39900</v>
      </c>
      <c r="N788" s="28"/>
      <c r="O788" s="27">
        <v>0</v>
      </c>
      <c r="P788" s="28">
        <v>0</v>
      </c>
      <c r="Q788" s="27">
        <v>0</v>
      </c>
      <c r="R788" s="26">
        <v>249900</v>
      </c>
      <c r="S788" s="115">
        <f ca="1">IF(PROVEEDORES[[#This Row],[FECHA DE PAGO]]=0,TODAY()-PROVEEDORES[[#This Row],[FECHA DE FACTURACIÓN]]-PROVEEDORES[[#This Row],[PLAZO Días]],0)</f>
        <v>0</v>
      </c>
      <c r="T7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89" spans="1:20" ht="21.9" customHeight="1" x14ac:dyDescent="0.3">
      <c r="A789" s="113" t="str">
        <f>+IF(PROVEEDORES[[#This Row],[FECHA DE PAGO]]=PROVEEDORES[[#This Row],[FECHA DE FACTURACIÓN]],"DE CONTADO","CRÉDITO")</f>
        <v>CRÉDITO</v>
      </c>
      <c r="B789" s="51" t="str">
        <f>+IF((PROVEEDORES[[#This Row],[FECHA DE PAGO]]-PROVEEDORES[[#This Row],[FECHA DE FACTURACIÓN]])&gt;PROVEEDORES[[#This Row],[PLAZO Días]],"PAGO VENCIDO")</f>
        <v>PAGO VENCIDO</v>
      </c>
      <c r="C789" s="25">
        <f>+VLOOKUP(PROVEEDORES[[#This Row],[PROVEEDOR]],TERCEROS_INFO[#All],2,FALSE)</f>
        <v>30</v>
      </c>
      <c r="D789" s="30">
        <f>+SUMIFS(PROVEEDORES[Total],PROVEEDORES[PROVEEDOR],PROVEEDORES[[#This Row],[PROVEEDOR]],PROVEEDORES[FECHA DE PAGO],"")</f>
        <v>6482443.1751999995</v>
      </c>
      <c r="E789" s="30"/>
      <c r="F789" s="73" t="str">
        <f>+VLOOKUP(PROVEEDORES[[#This Row],[PROVEEDOR]],TERCEROS_INFO[[PROVEEDOR]:[CORREO]],5,FALSE)</f>
        <v>angela.navas@hyrdistribuciones.com;girlesa.ruiz@servipilas.com;joriescobar64@gmail.com</v>
      </c>
      <c r="G789" s="111">
        <v>44488</v>
      </c>
      <c r="H789" s="31" t="s">
        <v>18</v>
      </c>
      <c r="I789" s="111">
        <v>44456</v>
      </c>
      <c r="J789" s="48">
        <v>1043275</v>
      </c>
      <c r="K789" s="26">
        <v>526630.07999999996</v>
      </c>
      <c r="L789" s="26"/>
      <c r="M789" s="27">
        <v>100059.71519999999</v>
      </c>
      <c r="N789" s="28"/>
      <c r="O789" s="27">
        <v>0</v>
      </c>
      <c r="P789" s="28">
        <v>0</v>
      </c>
      <c r="Q789" s="27">
        <v>0</v>
      </c>
      <c r="R789" s="26">
        <v>626689.79519999993</v>
      </c>
      <c r="S789" s="115">
        <f ca="1">IF(PROVEEDORES[[#This Row],[FECHA DE PAGO]]=0,TODAY()-PROVEEDORES[[#This Row],[FECHA DE FACTURACIÓN]]-PROVEEDORES[[#This Row],[PLAZO Días]],0)</f>
        <v>0</v>
      </c>
      <c r="T7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0" spans="1:20" ht="21.9" customHeight="1" x14ac:dyDescent="0.3">
      <c r="A790" s="113" t="str">
        <f>+IF(PROVEEDORES[[#This Row],[FECHA DE PAGO]]=PROVEEDORES[[#This Row],[FECHA DE FACTURACIÓN]],"DE CONTADO","CRÉDITO")</f>
        <v>CRÉDITO</v>
      </c>
      <c r="B790" s="51" t="str">
        <f>+IF((PROVEEDORES[[#This Row],[FECHA DE PAGO]]-PROVEEDORES[[#This Row],[FECHA DE FACTURACIÓN]])&gt;PROVEEDORES[[#This Row],[PLAZO Días]],"PAGO VENCIDO")</f>
        <v>PAGO VENCIDO</v>
      </c>
      <c r="C790" s="25">
        <f>+VLOOKUP(PROVEEDORES[[#This Row],[PROVEEDOR]],TERCEROS_INFO[#All],2,FALSE)</f>
        <v>30</v>
      </c>
      <c r="D790" s="30">
        <f>+SUMIFS(PROVEEDORES[Total],PROVEEDORES[PROVEEDOR],PROVEEDORES[[#This Row],[PROVEEDOR]],PROVEEDORES[FECHA DE PAGO],"")</f>
        <v>0</v>
      </c>
      <c r="E790" s="30"/>
      <c r="F790" s="73" t="str">
        <f>+VLOOKUP(PROVEEDORES[[#This Row],[PROVEEDOR]],TERCEROS_INFO[[PROVEEDOR]:[CORREO]],5,FALSE)</f>
        <v>swizzeraux2@gmail.com;girlesa.ruiz@servipilas.com;joriescobar64@gmail.com</v>
      </c>
      <c r="G790" s="111">
        <v>44488</v>
      </c>
      <c r="H790" s="31" t="s">
        <v>1077</v>
      </c>
      <c r="I790" s="111">
        <v>44456</v>
      </c>
      <c r="J790" s="48" t="s">
        <v>827</v>
      </c>
      <c r="K790" s="26">
        <v>1192550</v>
      </c>
      <c r="L790" s="26"/>
      <c r="M790" s="27">
        <v>0</v>
      </c>
      <c r="N790" s="28"/>
      <c r="O790" s="27">
        <v>0</v>
      </c>
      <c r="P790" s="28">
        <v>0</v>
      </c>
      <c r="Q790" s="27">
        <v>0</v>
      </c>
      <c r="R790" s="26">
        <v>1192550</v>
      </c>
      <c r="S790" s="115">
        <f ca="1">IF(PROVEEDORES[[#This Row],[FECHA DE PAGO]]=0,TODAY()-PROVEEDORES[[#This Row],[FECHA DE FACTURACIÓN]]-PROVEEDORES[[#This Row],[PLAZO Días]],0)</f>
        <v>0</v>
      </c>
      <c r="T7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1" spans="1:20" ht="21.9" customHeight="1" x14ac:dyDescent="0.3">
      <c r="A791" s="113" t="str">
        <f>+IF(PROVEEDORES[[#This Row],[FECHA DE PAGO]]=PROVEEDORES[[#This Row],[FECHA DE FACTURACIÓN]],"DE CONTADO","CRÉDITO")</f>
        <v>CRÉDITO</v>
      </c>
      <c r="B791" s="51" t="b">
        <f>+IF((PROVEEDORES[[#This Row],[FECHA DE PAGO]]-PROVEEDORES[[#This Row],[FECHA DE FACTURACIÓN]])&gt;PROVEEDORES[[#This Row],[PLAZO Días]],"PAGO VENCIDO")</f>
        <v>0</v>
      </c>
      <c r="C791" s="25">
        <f>+VLOOKUP(PROVEEDORES[[#This Row],[PROVEEDOR]],TERCEROS_INFO[#All],2,FALSE)</f>
        <v>20</v>
      </c>
      <c r="D791" s="30">
        <f>+SUMIFS(PROVEEDORES[Total],PROVEEDORES[PROVEEDOR],PROVEEDORES[[#This Row],[PROVEEDOR]],PROVEEDORES[FECHA DE PAGO],"")</f>
        <v>0</v>
      </c>
      <c r="E791" s="30"/>
      <c r="F791" s="73" t="str">
        <f>+VLOOKUP(PROVEEDORES[[#This Row],[PROVEEDOR]],TERCEROS_INFO[[PROVEEDOR]:[CORREO]],5,FALSE)</f>
        <v>bog.fa1@pressex.co;bog.fm1@pressex.co;kbaumgartner@pressex.co;girlesa.ruiz@servipilas.com;joriescobar64@gmail.com</v>
      </c>
      <c r="G791" s="111">
        <v>44459</v>
      </c>
      <c r="H791" s="31" t="s">
        <v>377</v>
      </c>
      <c r="I791" s="111">
        <v>44456</v>
      </c>
      <c r="J791" s="48" t="s">
        <v>531</v>
      </c>
      <c r="K791" s="26">
        <v>2015034</v>
      </c>
      <c r="L791" s="26"/>
      <c r="M791" s="27">
        <v>94802.551999999996</v>
      </c>
      <c r="N791" s="28"/>
      <c r="O791" s="27">
        <v>0</v>
      </c>
      <c r="P791" s="28">
        <v>0.04</v>
      </c>
      <c r="Q791" s="27">
        <v>19958.432000000001</v>
      </c>
      <c r="R791" s="26">
        <v>0</v>
      </c>
      <c r="S791" s="115">
        <f ca="1">IF(PROVEEDORES[[#This Row],[FECHA DE PAGO]]=0,TODAY()-PROVEEDORES[[#This Row],[FECHA DE FACTURACIÓN]]-PROVEEDORES[[#This Row],[PLAZO Días]],0)</f>
        <v>0</v>
      </c>
      <c r="T7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2" spans="1:20" ht="21.9" customHeight="1" x14ac:dyDescent="0.3">
      <c r="A792" s="113" t="str">
        <f>+IF(PROVEEDORES[[#This Row],[FECHA DE PAGO]]=PROVEEDORES[[#This Row],[FECHA DE FACTURACIÓN]],"DE CONTADO","CRÉDITO")</f>
        <v>CRÉDITO</v>
      </c>
      <c r="B792" s="51" t="b">
        <f>+IF((PROVEEDORES[[#This Row],[FECHA DE PAGO]]-PROVEEDORES[[#This Row],[FECHA DE FACTURACIÓN]])&gt;PROVEEDORES[[#This Row],[PLAZO Días]],"PAGO VENCIDO")</f>
        <v>0</v>
      </c>
      <c r="C792" s="25">
        <f>+VLOOKUP(PROVEEDORES[[#This Row],[PROVEEDOR]],TERCEROS_INFO[#All],2,FALSE)</f>
        <v>30</v>
      </c>
      <c r="D792" s="30">
        <f>+SUMIFS(PROVEEDORES[Total],PROVEEDORES[PROVEEDOR],PROVEEDORES[[#This Row],[PROVEEDOR]],PROVEEDORES[FECHA DE PAGO],"")</f>
        <v>3750700</v>
      </c>
      <c r="E792" s="30"/>
      <c r="F792" s="73" t="str">
        <f>+VLOOKUP(PROVEEDORES[[#This Row],[PROVEEDOR]],TERCEROS_INFO[[PROVEEDOR]:[CORREO]],5,FALSE)</f>
        <v/>
      </c>
      <c r="G792" s="111">
        <v>44482</v>
      </c>
      <c r="H792" s="31" t="s">
        <v>996</v>
      </c>
      <c r="I792" s="111">
        <v>44456</v>
      </c>
      <c r="J792" s="48" t="s">
        <v>826</v>
      </c>
      <c r="K792" s="26">
        <v>2180000</v>
      </c>
      <c r="L792" s="26"/>
      <c r="M792" s="27">
        <v>0</v>
      </c>
      <c r="N792" s="28"/>
      <c r="O792" s="27">
        <v>0</v>
      </c>
      <c r="P792" s="28">
        <v>0</v>
      </c>
      <c r="Q792" s="27">
        <v>0</v>
      </c>
      <c r="R792" s="26">
        <v>2180000</v>
      </c>
      <c r="S792" s="115">
        <f ca="1">IF(PROVEEDORES[[#This Row],[FECHA DE PAGO]]=0,TODAY()-PROVEEDORES[[#This Row],[FECHA DE FACTURACIÓN]]-PROVEEDORES[[#This Row],[PLAZO Días]],0)</f>
        <v>0</v>
      </c>
      <c r="T7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3" spans="1:20" ht="21.9" customHeight="1" x14ac:dyDescent="0.3">
      <c r="A793" s="113" t="str">
        <f>+IF(PROVEEDORES[[#This Row],[FECHA DE PAGO]]=PROVEEDORES[[#This Row],[FECHA DE FACTURACIÓN]],"DE CONTADO","CRÉDITO")</f>
        <v>CRÉDITO</v>
      </c>
      <c r="B793" s="51" t="str">
        <f>+IF((PROVEEDORES[[#This Row],[FECHA DE PAGO]]-PROVEEDORES[[#This Row],[FECHA DE FACTURACIÓN]])&gt;PROVEEDORES[[#This Row],[PLAZO Días]],"PAGO VENCIDO")</f>
        <v>PAGO VENCIDO</v>
      </c>
      <c r="C793" s="25">
        <f>+VLOOKUP(PROVEEDORES[[#This Row],[PROVEEDOR]],TERCEROS_INFO[#All],2,FALSE)</f>
        <v>30</v>
      </c>
      <c r="D793" s="30">
        <f>+SUMIFS(PROVEEDORES[Total],PROVEEDORES[PROVEEDOR],PROVEEDORES[[#This Row],[PROVEEDOR]],PROVEEDORES[FECHA DE PAGO],"")</f>
        <v>0</v>
      </c>
      <c r="E793" s="30"/>
      <c r="F793" s="73">
        <f>+VLOOKUP(PROVEEDORES[[#This Row],[PROVEEDOR]],TERCEROS_INFO[[PROVEEDOR]:[CORREO]],5,FALSE)</f>
        <v>0</v>
      </c>
      <c r="G793" s="111">
        <v>44522</v>
      </c>
      <c r="H793" s="31" t="s">
        <v>994</v>
      </c>
      <c r="I793" s="111">
        <v>44457</v>
      </c>
      <c r="J793" s="48" t="s">
        <v>828</v>
      </c>
      <c r="K793" s="26">
        <v>500000</v>
      </c>
      <c r="L793" s="26"/>
      <c r="M793" s="27">
        <v>0</v>
      </c>
      <c r="N793" s="28"/>
      <c r="O793" s="27">
        <v>0</v>
      </c>
      <c r="P793" s="28">
        <v>0</v>
      </c>
      <c r="Q793" s="27">
        <v>0</v>
      </c>
      <c r="R793" s="26">
        <v>500000</v>
      </c>
      <c r="S793" s="115">
        <f ca="1">IF(PROVEEDORES[[#This Row],[FECHA DE PAGO]]=0,TODAY()-PROVEEDORES[[#This Row],[FECHA DE FACTURACIÓN]]-PROVEEDORES[[#This Row],[PLAZO Días]],0)</f>
        <v>0</v>
      </c>
      <c r="T7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4" spans="1:20" ht="21.9" customHeight="1" x14ac:dyDescent="0.3">
      <c r="A794" s="113" t="str">
        <f>+IF(PROVEEDORES[[#This Row],[FECHA DE PAGO]]=PROVEEDORES[[#This Row],[FECHA DE FACTURACIÓN]],"DE CONTADO","CRÉDITO")</f>
        <v>DE CONTADO</v>
      </c>
      <c r="B794" s="51" t="b">
        <f>+IF((PROVEEDORES[[#This Row],[FECHA DE PAGO]]-PROVEEDORES[[#This Row],[FECHA DE FACTURACIÓN]])&gt;PROVEEDORES[[#This Row],[PLAZO Días]],"PAGO VENCIDO")</f>
        <v>0</v>
      </c>
      <c r="C794" s="25">
        <f>+VLOOKUP(PROVEEDORES[[#This Row],[PROVEEDOR]],TERCEROS_INFO[#All],2,FALSE)</f>
        <v>30</v>
      </c>
      <c r="D794" s="30">
        <f>+SUMIFS(PROVEEDORES[Total],PROVEEDORES[PROVEEDOR],PROVEEDORES[[#This Row],[PROVEEDOR]],PROVEEDORES[FECHA DE PAGO],"")</f>
        <v>0</v>
      </c>
      <c r="E794" s="30"/>
      <c r="F794" s="73" t="str">
        <f>+VLOOKUP(PROVEEDORES[[#This Row],[PROVEEDOR]],TERCEROS_INFO[[PROVEEDOR]:[CORREO]],5,FALSE)</f>
        <v/>
      </c>
      <c r="G794" s="111">
        <v>44459</v>
      </c>
      <c r="H794" s="31" t="s">
        <v>1052</v>
      </c>
      <c r="I794" s="111">
        <v>44459</v>
      </c>
      <c r="J794" s="48"/>
      <c r="K794" s="26">
        <v>1000000</v>
      </c>
      <c r="L794" s="26"/>
      <c r="M794" s="27">
        <v>0</v>
      </c>
      <c r="N794" s="28"/>
      <c r="O794" s="27">
        <v>0</v>
      </c>
      <c r="P794" s="28">
        <v>0</v>
      </c>
      <c r="Q794" s="27">
        <v>0</v>
      </c>
      <c r="R794" s="26">
        <v>1000000</v>
      </c>
      <c r="S794" s="115">
        <f ca="1">IF(PROVEEDORES[[#This Row],[FECHA DE PAGO]]=0,TODAY()-PROVEEDORES[[#This Row],[FECHA DE FACTURACIÓN]]-PROVEEDORES[[#This Row],[PLAZO Días]],0)</f>
        <v>0</v>
      </c>
      <c r="T7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5" spans="1:20" ht="21.9" customHeight="1" x14ac:dyDescent="0.3">
      <c r="A795" s="113" t="str">
        <f>+IF(PROVEEDORES[[#This Row],[FECHA DE PAGO]]=PROVEEDORES[[#This Row],[FECHA DE FACTURACIÓN]],"DE CONTADO","CRÉDITO")</f>
        <v>CRÉDITO</v>
      </c>
      <c r="B795" s="51" t="str">
        <f>+IF((PROVEEDORES[[#This Row],[FECHA DE PAGO]]-PROVEEDORES[[#This Row],[FECHA DE FACTURACIÓN]])&gt;PROVEEDORES[[#This Row],[PLAZO Días]],"PAGO VENCIDO")</f>
        <v>PAGO VENCIDO</v>
      </c>
      <c r="C795" s="25">
        <f>+VLOOKUP(PROVEEDORES[[#This Row],[PROVEEDOR]],TERCEROS_INFO[#All],2,FALSE)</f>
        <v>30</v>
      </c>
      <c r="D795" s="30">
        <f>+SUMIFS(PROVEEDORES[Total],PROVEEDORES[PROVEEDOR],PROVEEDORES[[#This Row],[PROVEEDOR]],PROVEEDORES[FECHA DE PAGO],"")</f>
        <v>0</v>
      </c>
      <c r="E795" s="30"/>
      <c r="F795" s="73" t="str">
        <f>+VLOOKUP(PROVEEDORES[[#This Row],[PROVEEDOR]],TERCEROS_INFO[[PROVEEDOR]:[CORREO]],5,FALSE)</f>
        <v>globalpowerc2018@gmail.com;girlesa.ruiz@servipilas.com;joriescobar64@gmail.com</v>
      </c>
      <c r="G795" s="111">
        <v>44494</v>
      </c>
      <c r="H795" s="31" t="s">
        <v>1057</v>
      </c>
      <c r="I795" s="111">
        <v>44459</v>
      </c>
      <c r="J795" s="48" t="s">
        <v>830</v>
      </c>
      <c r="K795" s="26">
        <v>1082500</v>
      </c>
      <c r="L795" s="26"/>
      <c r="M795" s="27">
        <v>0</v>
      </c>
      <c r="N795" s="28"/>
      <c r="O795" s="27">
        <v>0</v>
      </c>
      <c r="P795" s="28">
        <v>0</v>
      </c>
      <c r="Q795" s="27">
        <v>0</v>
      </c>
      <c r="R795" s="26">
        <v>1082500</v>
      </c>
      <c r="S795" s="115">
        <f ca="1">IF(PROVEEDORES[[#This Row],[FECHA DE PAGO]]=0,TODAY()-PROVEEDORES[[#This Row],[FECHA DE FACTURACIÓN]]-PROVEEDORES[[#This Row],[PLAZO Días]],0)</f>
        <v>0</v>
      </c>
      <c r="T7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6" spans="1:20" ht="21.9" customHeight="1" x14ac:dyDescent="0.3">
      <c r="A796" s="113" t="str">
        <f>+IF(PROVEEDORES[[#This Row],[FECHA DE PAGO]]=PROVEEDORES[[#This Row],[FECHA DE FACTURACIÓN]],"DE CONTADO","CRÉDITO")</f>
        <v>CRÉDITO</v>
      </c>
      <c r="B796" s="51" t="str">
        <f>+IF((PROVEEDORES[[#This Row],[FECHA DE PAGO]]-PROVEEDORES[[#This Row],[FECHA DE FACTURACIÓN]])&gt;PROVEEDORES[[#This Row],[PLAZO Días]],"PAGO VENCIDO")</f>
        <v>PAGO VENCIDO</v>
      </c>
      <c r="C796" s="25">
        <f>+VLOOKUP(PROVEEDORES[[#This Row],[PROVEEDOR]],TERCEROS_INFO[#All],2,FALSE)</f>
        <v>30</v>
      </c>
      <c r="D796" s="30">
        <f>+SUMIFS(PROVEEDORES[Total],PROVEEDORES[PROVEEDOR],PROVEEDORES[[#This Row],[PROVEEDOR]],PROVEEDORES[FECHA DE PAGO],"")</f>
        <v>0</v>
      </c>
      <c r="E796" s="30"/>
      <c r="F796" s="73" t="str">
        <f>+VLOOKUP(PROVEEDORES[[#This Row],[PROVEEDOR]],TERCEROS_INFO[[PROVEEDOR]:[CORREO]],5,FALSE)</f>
        <v>BRIGHTSIDELED2019@gmail.com;girlesa.ruiz@servipilas.com;joriescobar64@gmail.com</v>
      </c>
      <c r="G796" s="111">
        <v>44490</v>
      </c>
      <c r="H796" s="31" t="s">
        <v>1044</v>
      </c>
      <c r="I796" s="111">
        <v>44459</v>
      </c>
      <c r="J796" s="48" t="s">
        <v>829</v>
      </c>
      <c r="K796" s="26">
        <v>1500000</v>
      </c>
      <c r="L796" s="26"/>
      <c r="M796" s="27">
        <v>0</v>
      </c>
      <c r="N796" s="28"/>
      <c r="O796" s="27">
        <v>0</v>
      </c>
      <c r="P796" s="28">
        <v>0</v>
      </c>
      <c r="Q796" s="27">
        <v>0</v>
      </c>
      <c r="R796" s="26">
        <v>1500000</v>
      </c>
      <c r="S796" s="115">
        <f ca="1">IF(PROVEEDORES[[#This Row],[FECHA DE PAGO]]=0,TODAY()-PROVEEDORES[[#This Row],[FECHA DE FACTURACIÓN]]-PROVEEDORES[[#This Row],[PLAZO Días]],0)</f>
        <v>0</v>
      </c>
      <c r="T79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7" spans="1:20" ht="21.9" customHeight="1" x14ac:dyDescent="0.3">
      <c r="A797" s="113" t="str">
        <f>+IF(PROVEEDORES[[#This Row],[FECHA DE PAGO]]=PROVEEDORES[[#This Row],[FECHA DE FACTURACIÓN]],"DE CONTADO","CRÉDITO")</f>
        <v>CRÉDITO</v>
      </c>
      <c r="B797" s="51" t="b">
        <f>+IF((PROVEEDORES[[#This Row],[FECHA DE PAGO]]-PROVEEDORES[[#This Row],[FECHA DE FACTURACIÓN]])&gt;PROVEEDORES[[#This Row],[PLAZO Días]],"PAGO VENCIDO")</f>
        <v>0</v>
      </c>
      <c r="C797" s="25">
        <f>+VLOOKUP(PROVEEDORES[[#This Row],[PROVEEDOR]],TERCEROS_INFO[#All],2,FALSE)</f>
        <v>30</v>
      </c>
      <c r="D797" s="30">
        <f>+SUMIFS(PROVEEDORES[Total],PROVEEDORES[PROVEEDOR],PROVEEDORES[[#This Row],[PROVEEDOR]],PROVEEDORES[FECHA DE PAGO],"")</f>
        <v>264406</v>
      </c>
      <c r="E797" s="30"/>
      <c r="F797" s="73" t="str">
        <f>+VLOOKUP(PROVEEDORES[[#This Row],[PROVEEDOR]],TERCEROS_INFO[[PROVEEDOR]:[CORREO]],5,FALSE)</f>
        <v>oswaldo.alvarez@logimexsas.com;girlesa.ruiz@servipilas.com;joriescobar64@gmail.com</v>
      </c>
      <c r="G797" s="111">
        <v>44460</v>
      </c>
      <c r="H797" s="31" t="s">
        <v>393</v>
      </c>
      <c r="I797" s="111">
        <v>44459</v>
      </c>
      <c r="J797" s="48" t="s">
        <v>831</v>
      </c>
      <c r="K797" s="26">
        <v>1895000</v>
      </c>
      <c r="L797" s="26"/>
      <c r="M797" s="27">
        <v>0</v>
      </c>
      <c r="N797" s="28"/>
      <c r="O797" s="27">
        <v>0</v>
      </c>
      <c r="P797" s="28">
        <v>0</v>
      </c>
      <c r="Q797" s="27">
        <v>0</v>
      </c>
      <c r="R797" s="26">
        <v>1895000</v>
      </c>
      <c r="S797" s="115">
        <f ca="1">IF(PROVEEDORES[[#This Row],[FECHA DE PAGO]]=0,TODAY()-PROVEEDORES[[#This Row],[FECHA DE FACTURACIÓN]]-PROVEEDORES[[#This Row],[PLAZO Días]],0)</f>
        <v>0</v>
      </c>
      <c r="T79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8" spans="1:20" ht="21.9" customHeight="1" x14ac:dyDescent="0.3">
      <c r="A798" s="113" t="str">
        <f>+IF(PROVEEDORES[[#This Row],[FECHA DE PAGO]]=PROVEEDORES[[#This Row],[FECHA DE FACTURACIÓN]],"DE CONTADO","CRÉDITO")</f>
        <v>CRÉDITO</v>
      </c>
      <c r="B798" s="51" t="b">
        <f>+IF((PROVEEDORES[[#This Row],[FECHA DE PAGO]]-PROVEEDORES[[#This Row],[FECHA DE FACTURACIÓN]])&gt;PROVEEDORES[[#This Row],[PLAZO Días]],"PAGO VENCIDO")</f>
        <v>0</v>
      </c>
      <c r="C798" s="25">
        <f>+VLOOKUP(PROVEEDORES[[#This Row],[PROVEEDOR]],TERCEROS_INFO[#All],2,FALSE)</f>
        <v>30</v>
      </c>
      <c r="D798" s="30">
        <f>+SUMIFS(PROVEEDORES[Total],PROVEEDORES[PROVEEDOR],PROVEEDORES[[#This Row],[PROVEEDOR]],PROVEEDORES[FECHA DE PAGO],"")</f>
        <v>0</v>
      </c>
      <c r="E798" s="30"/>
      <c r="F798" s="73" t="str">
        <f>+VLOOKUP(PROVEEDORES[[#This Row],[PROVEEDOR]],TERCEROS_INFO[[PROVEEDOR]:[CORREO]],5,FALSE)</f>
        <v/>
      </c>
      <c r="G798" s="111">
        <v>44460</v>
      </c>
      <c r="H798" s="31" t="s">
        <v>54</v>
      </c>
      <c r="I798" s="111">
        <v>44459</v>
      </c>
      <c r="J798" s="48">
        <v>284978</v>
      </c>
      <c r="K798" s="26">
        <v>2619000</v>
      </c>
      <c r="L798" s="26"/>
      <c r="M798" s="27">
        <v>0</v>
      </c>
      <c r="N798" s="28"/>
      <c r="O798" s="27">
        <v>0</v>
      </c>
      <c r="P798" s="28">
        <v>0</v>
      </c>
      <c r="Q798" s="27">
        <v>0</v>
      </c>
      <c r="R798" s="26">
        <v>2619000</v>
      </c>
      <c r="S798" s="115">
        <f ca="1">IF(PROVEEDORES[[#This Row],[FECHA DE PAGO]]=0,TODAY()-PROVEEDORES[[#This Row],[FECHA DE FACTURACIÓN]]-PROVEEDORES[[#This Row],[PLAZO Días]],0)</f>
        <v>0</v>
      </c>
      <c r="T7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799" spans="1:20" ht="21.9" customHeight="1" x14ac:dyDescent="0.3">
      <c r="A799" s="113" t="str">
        <f>+IF(PROVEEDORES[[#This Row],[FECHA DE PAGO]]=PROVEEDORES[[#This Row],[FECHA DE FACTURACIÓN]],"DE CONTADO","CRÉDITO")</f>
        <v>DE CONTADO</v>
      </c>
      <c r="B799" s="51" t="b">
        <f>+IF((PROVEEDORES[[#This Row],[FECHA DE PAGO]]-PROVEEDORES[[#This Row],[FECHA DE FACTURACIÓN]])&gt;PROVEEDORES[[#This Row],[PLAZO Días]],"PAGO VENCIDO")</f>
        <v>0</v>
      </c>
      <c r="C799" s="25">
        <f>+VLOOKUP(PROVEEDORES[[#This Row],[PROVEEDOR]],TERCEROS_INFO[#All],2,FALSE)</f>
        <v>30</v>
      </c>
      <c r="D799" s="30">
        <f>+SUMIFS(PROVEEDORES[Total],PROVEEDORES[PROVEEDOR],PROVEEDORES[[#This Row],[PROVEEDOR]],PROVEEDORES[FECHA DE PAGO],"")</f>
        <v>0</v>
      </c>
      <c r="E799" s="30"/>
      <c r="F799" s="73" t="str">
        <f>+VLOOKUP(PROVEEDORES[[#This Row],[PROVEEDOR]],TERCEROS_INFO[[PROVEEDOR]:[CORREO]],5,FALSE)</f>
        <v/>
      </c>
      <c r="G799" s="111">
        <v>44460</v>
      </c>
      <c r="H799" s="31" t="s">
        <v>1016</v>
      </c>
      <c r="I799" s="111">
        <v>44460</v>
      </c>
      <c r="J799" s="48" t="s">
        <v>832</v>
      </c>
      <c r="K799" s="26">
        <v>480000</v>
      </c>
      <c r="L799" s="26"/>
      <c r="M799" s="27">
        <v>0</v>
      </c>
      <c r="N799" s="28"/>
      <c r="O799" s="27">
        <v>0</v>
      </c>
      <c r="P799" s="28">
        <v>0</v>
      </c>
      <c r="Q799" s="27">
        <v>0</v>
      </c>
      <c r="R799" s="26">
        <v>480000</v>
      </c>
      <c r="S799" s="115">
        <f ca="1">IF(PROVEEDORES[[#This Row],[FECHA DE PAGO]]=0,TODAY()-PROVEEDORES[[#This Row],[FECHA DE FACTURACIÓN]]-PROVEEDORES[[#This Row],[PLAZO Días]],0)</f>
        <v>0</v>
      </c>
      <c r="T7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0" spans="1:20" ht="21.9" customHeight="1" x14ac:dyDescent="0.3">
      <c r="A800" s="113" t="str">
        <f>+IF(PROVEEDORES[[#This Row],[FECHA DE PAGO]]=PROVEEDORES[[#This Row],[FECHA DE FACTURACIÓN]],"DE CONTADO","CRÉDITO")</f>
        <v>CRÉDITO</v>
      </c>
      <c r="B800" s="51" t="str">
        <f>+IF((PROVEEDORES[[#This Row],[FECHA DE PAGO]]-PROVEEDORES[[#This Row],[FECHA DE FACTURACIÓN]])&gt;PROVEEDORES[[#This Row],[PLAZO Días]],"PAGO VENCIDO")</f>
        <v>PAGO VENCIDO</v>
      </c>
      <c r="C800" s="25">
        <f>+VLOOKUP(PROVEEDORES[[#This Row],[PROVEEDOR]],TERCEROS_INFO[#All],2,FALSE)</f>
        <v>30</v>
      </c>
      <c r="D800" s="30">
        <f>+SUMIFS(PROVEEDORES[Total],PROVEEDORES[PROVEEDOR],PROVEEDORES[[#This Row],[PROVEEDOR]],PROVEEDORES[FECHA DE PAGO],"")</f>
        <v>1119790</v>
      </c>
      <c r="E800" s="30"/>
      <c r="F800" s="73" t="str">
        <f>+VLOOKUP(PROVEEDORES[[#This Row],[PROVEEDOR]],TERCEROS_INFO[[PROVEEDOR]:[CORREO]],5,FALSE)</f>
        <v>MVALENCIA@mps.com.co;girlesa.ruiz@servipilas.com;joriescobar64@gmail.com</v>
      </c>
      <c r="G800" s="111">
        <v>44498</v>
      </c>
      <c r="H800" s="31" t="s">
        <v>17</v>
      </c>
      <c r="I800" s="111">
        <v>44460</v>
      </c>
      <c r="J800" s="48">
        <v>1815851</v>
      </c>
      <c r="K800" s="26">
        <v>718000</v>
      </c>
      <c r="L800" s="26"/>
      <c r="M800" s="27">
        <v>136420</v>
      </c>
      <c r="N800" s="28"/>
      <c r="O800" s="27">
        <v>0</v>
      </c>
      <c r="P800" s="28">
        <v>0</v>
      </c>
      <c r="Q800" s="27">
        <v>0</v>
      </c>
      <c r="R800" s="26">
        <v>854420</v>
      </c>
      <c r="S800" s="115">
        <f ca="1">IF(PROVEEDORES[[#This Row],[FECHA DE PAGO]]=0,TODAY()-PROVEEDORES[[#This Row],[FECHA DE FACTURACIÓN]]-PROVEEDORES[[#This Row],[PLAZO Días]],0)</f>
        <v>0</v>
      </c>
      <c r="T80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1" spans="1:20" ht="21.9" customHeight="1" x14ac:dyDescent="0.3">
      <c r="A801" s="113" t="str">
        <f>+IF(PROVEEDORES[[#This Row],[FECHA DE PAGO]]=PROVEEDORES[[#This Row],[FECHA DE FACTURACIÓN]],"DE CONTADO","CRÉDITO")</f>
        <v>CRÉDITO</v>
      </c>
      <c r="B801" s="51" t="str">
        <f>+IF((PROVEEDORES[[#This Row],[FECHA DE PAGO]]-PROVEEDORES[[#This Row],[FECHA DE FACTURACIÓN]])&gt;PROVEEDORES[[#This Row],[PLAZO Días]],"PAGO VENCIDO")</f>
        <v>PAGO VENCIDO</v>
      </c>
      <c r="C801" s="25">
        <f>+VLOOKUP(PROVEEDORES[[#This Row],[PROVEEDOR]],TERCEROS_INFO[#All],2,FALSE)</f>
        <v>30</v>
      </c>
      <c r="D801" s="30">
        <f>+SUMIFS(PROVEEDORES[Total],PROVEEDORES[PROVEEDOR],PROVEEDORES[[#This Row],[PROVEEDOR]],PROVEEDORES[FECHA DE PAGO],"")</f>
        <v>1645000</v>
      </c>
      <c r="E801" s="30"/>
      <c r="F801" s="73" t="str">
        <f>+VLOOKUP(PROVEEDORES[[#This Row],[PROVEEDOR]],TERCEROS_INFO[[PROVEEDOR]:[CORREO]],5,FALSE)</f>
        <v/>
      </c>
      <c r="G801" s="111">
        <v>44494</v>
      </c>
      <c r="H801" s="31" t="s">
        <v>1070</v>
      </c>
      <c r="I801" s="111">
        <v>44460</v>
      </c>
      <c r="J801" s="48" t="s">
        <v>833</v>
      </c>
      <c r="K801" s="26">
        <v>796800</v>
      </c>
      <c r="L801" s="26"/>
      <c r="M801" s="27">
        <v>0</v>
      </c>
      <c r="N801" s="28"/>
      <c r="O801" s="27">
        <v>0</v>
      </c>
      <c r="P801" s="28">
        <v>0</v>
      </c>
      <c r="Q801" s="27">
        <v>0</v>
      </c>
      <c r="R801" s="26">
        <v>796800</v>
      </c>
      <c r="S801" s="115">
        <f ca="1">IF(PROVEEDORES[[#This Row],[FECHA DE PAGO]]=0,TODAY()-PROVEEDORES[[#This Row],[FECHA DE FACTURACIÓN]]-PROVEEDORES[[#This Row],[PLAZO Días]],0)</f>
        <v>0</v>
      </c>
      <c r="T8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2" spans="1:20" ht="21.9" customHeight="1" x14ac:dyDescent="0.3">
      <c r="A802" s="113" t="str">
        <f>+IF(PROVEEDORES[[#This Row],[FECHA DE PAGO]]=PROVEEDORES[[#This Row],[FECHA DE FACTURACIÓN]],"DE CONTADO","CRÉDITO")</f>
        <v>CRÉDITO</v>
      </c>
      <c r="B802" s="51" t="str">
        <f>+IF((PROVEEDORES[[#This Row],[FECHA DE PAGO]]-PROVEEDORES[[#This Row],[FECHA DE FACTURACIÓN]])&gt;PROVEEDORES[[#This Row],[PLAZO Días]],"PAGO VENCIDO")</f>
        <v>PAGO VENCIDO</v>
      </c>
      <c r="C802" s="25">
        <f>+VLOOKUP(PROVEEDORES[[#This Row],[PROVEEDOR]],TERCEROS_INFO[#All],2,FALSE)</f>
        <v>30</v>
      </c>
      <c r="D802" s="30">
        <f>+SUMIFS(PROVEEDORES[Total],PROVEEDORES[PROVEEDOR],PROVEEDORES[[#This Row],[PROVEEDOR]],PROVEEDORES[FECHA DE PAGO],"")</f>
        <v>-30345</v>
      </c>
      <c r="E802" s="30"/>
      <c r="F802" s="73" t="str">
        <f>+VLOOKUP(PROVEEDORES[[#This Row],[PROVEEDOR]],TERCEROS_INFO[[PROVEEDOR]:[CORREO]],5,FALSE)</f>
        <v>ventasmegamundo@yahoo.es;girlesa.ruiz@servipilas.com;joriescobar64@gmail.com</v>
      </c>
      <c r="G802" s="111">
        <v>44523</v>
      </c>
      <c r="H802" s="31" t="s">
        <v>1146</v>
      </c>
      <c r="I802" s="111">
        <v>44460</v>
      </c>
      <c r="J802" s="48">
        <v>1759</v>
      </c>
      <c r="K802" s="26">
        <v>2299075.62</v>
      </c>
      <c r="L802" s="26"/>
      <c r="M802" s="27">
        <v>436824.36780000001</v>
      </c>
      <c r="N802" s="28"/>
      <c r="O802" s="27">
        <v>0</v>
      </c>
      <c r="P802" s="28">
        <v>2.5000000000000001E-2</v>
      </c>
      <c r="Q802" s="27">
        <v>57476.890500000009</v>
      </c>
      <c r="R802" s="26">
        <v>2678423.0973</v>
      </c>
      <c r="S802" s="115">
        <f ca="1">IF(PROVEEDORES[[#This Row],[FECHA DE PAGO]]=0,TODAY()-PROVEEDORES[[#This Row],[FECHA DE FACTURACIÓN]]-PROVEEDORES[[#This Row],[PLAZO Días]],0)</f>
        <v>0</v>
      </c>
      <c r="T8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3" spans="1:20" ht="21.9" customHeight="1" x14ac:dyDescent="0.3">
      <c r="A803" s="113" t="str">
        <f>+IF(PROVEEDORES[[#This Row],[FECHA DE PAGO]]=PROVEEDORES[[#This Row],[FECHA DE FACTURACIÓN]],"DE CONTADO","CRÉDITO")</f>
        <v>CRÉDITO</v>
      </c>
      <c r="B803" s="51" t="str">
        <f>+IF((PROVEEDORES[[#This Row],[FECHA DE PAGO]]-PROVEEDORES[[#This Row],[FECHA DE FACTURACIÓN]])&gt;PROVEEDORES[[#This Row],[PLAZO Días]],"PAGO VENCIDO")</f>
        <v>PAGO VENCIDO</v>
      </c>
      <c r="C803" s="25">
        <f>+VLOOKUP(PROVEEDORES[[#This Row],[PROVEEDOR]],TERCEROS_INFO[#All],2,FALSE)</f>
        <v>45</v>
      </c>
      <c r="D803" s="30">
        <f>+SUMIFS(PROVEEDORES[Total],PROVEEDORES[PROVEEDOR],PROVEEDORES[[#This Row],[PROVEEDOR]],PROVEEDORES[FECHA DE PAGO],"")</f>
        <v>17760678.600000001</v>
      </c>
      <c r="E803" s="30"/>
      <c r="F803" s="73" t="str">
        <f>+VLOOKUP(PROVEEDORES[[#This Row],[PROVEEDOR]],TERCEROS_INFO[[PROVEEDOR]:[CORREO]],5,FALSE)</f>
        <v>zully.florez@powest.com;girlesa.ruiz@servipilas.com;joriescobar64@gmail.com</v>
      </c>
      <c r="G803" s="111">
        <v>44523</v>
      </c>
      <c r="H803" s="31" t="s">
        <v>19</v>
      </c>
      <c r="I803" s="111">
        <v>44460</v>
      </c>
      <c r="J803" s="48" t="s">
        <v>533</v>
      </c>
      <c r="K803" s="26">
        <v>3429810</v>
      </c>
      <c r="L803" s="26"/>
      <c r="M803" s="27">
        <v>651663.9</v>
      </c>
      <c r="N803" s="28"/>
      <c r="O803" s="27">
        <v>0</v>
      </c>
      <c r="P803" s="28">
        <v>0</v>
      </c>
      <c r="Q803" s="27">
        <v>0</v>
      </c>
      <c r="R803" s="26">
        <v>4081473.9</v>
      </c>
      <c r="S803" s="115">
        <f ca="1">IF(PROVEEDORES[[#This Row],[FECHA DE PAGO]]=0,TODAY()-PROVEEDORES[[#This Row],[FECHA DE FACTURACIÓN]]-PROVEEDORES[[#This Row],[PLAZO Días]],0)</f>
        <v>0</v>
      </c>
      <c r="T8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4" spans="1:20" ht="21.9" customHeight="1" x14ac:dyDescent="0.3">
      <c r="A804" s="113" t="str">
        <f>+IF(PROVEEDORES[[#This Row],[FECHA DE PAGO]]=PROVEEDORES[[#This Row],[FECHA DE FACTURACIÓN]],"DE CONTADO","CRÉDITO")</f>
        <v>CRÉDITO</v>
      </c>
      <c r="B804" s="51" t="str">
        <f>+IF((PROVEEDORES[[#This Row],[FECHA DE PAGO]]-PROVEEDORES[[#This Row],[FECHA DE FACTURACIÓN]])&gt;PROVEEDORES[[#This Row],[PLAZO Días]],"PAGO VENCIDO")</f>
        <v>PAGO VENCIDO</v>
      </c>
      <c r="C804" s="25">
        <f>+VLOOKUP(PROVEEDORES[[#This Row],[PROVEEDOR]],TERCEROS_INFO[#All],2,FALSE)</f>
        <v>30</v>
      </c>
      <c r="D804" s="30">
        <f>+SUMIFS(PROVEEDORES[Total],PROVEEDORES[PROVEEDOR],PROVEEDORES[[#This Row],[PROVEEDOR]],PROVEEDORES[FECHA DE PAGO],"")</f>
        <v>5060410.5999999996</v>
      </c>
      <c r="E804" s="30"/>
      <c r="F804" s="73" t="str">
        <f>+VLOOKUP(PROVEEDORES[[#This Row],[PROVEEDOR]],TERCEROS_INFO[[PROVEEDOR]:[CORREO]],5,FALSE)</f>
        <v>CBastidas@vyp.com.co;girlesa.ruiz@servipilas.com;joriescobar64@gmail.com</v>
      </c>
      <c r="G804" s="111">
        <v>44496</v>
      </c>
      <c r="H804" s="31" t="s">
        <v>347</v>
      </c>
      <c r="I804" s="111">
        <v>44461</v>
      </c>
      <c r="J804" s="48" t="s">
        <v>937</v>
      </c>
      <c r="K804" s="26">
        <v>-956801</v>
      </c>
      <c r="L804" s="26"/>
      <c r="M804" s="27">
        <v>0</v>
      </c>
      <c r="N804" s="28"/>
      <c r="O804" s="27">
        <v>0</v>
      </c>
      <c r="P804" s="28">
        <v>0</v>
      </c>
      <c r="Q804" s="27">
        <v>0</v>
      </c>
      <c r="R804" s="26">
        <v>-956801</v>
      </c>
      <c r="S804" s="115">
        <f ca="1">IF(PROVEEDORES[[#This Row],[FECHA DE PAGO]]=0,TODAY()-PROVEEDORES[[#This Row],[FECHA DE FACTURACIÓN]]-PROVEEDORES[[#This Row],[PLAZO Días]],0)</f>
        <v>0</v>
      </c>
      <c r="T8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5" spans="1:20" ht="21.9" customHeight="1" x14ac:dyDescent="0.3">
      <c r="A805" s="113" t="str">
        <f>+IF(PROVEEDORES[[#This Row],[FECHA DE PAGO]]=PROVEEDORES[[#This Row],[FECHA DE FACTURACIÓN]],"DE CONTADO","CRÉDITO")</f>
        <v>CRÉDITO</v>
      </c>
      <c r="B805" s="51" t="str">
        <f>+IF((PROVEEDORES[[#This Row],[FECHA DE PAGO]]-PROVEEDORES[[#This Row],[FECHA DE FACTURACIÓN]])&gt;PROVEEDORES[[#This Row],[PLAZO Días]],"PAGO VENCIDO")</f>
        <v>PAGO VENCIDO</v>
      </c>
      <c r="C805" s="25">
        <f>+VLOOKUP(PROVEEDORES[[#This Row],[PROVEEDOR]],TERCEROS_INFO[#All],2,FALSE)</f>
        <v>30</v>
      </c>
      <c r="D805" s="30">
        <f>+SUMIFS(PROVEEDORES[Total],PROVEEDORES[PROVEEDOR],PROVEEDORES[[#This Row],[PROVEEDOR]],PROVEEDORES[FECHA DE PAGO],"")</f>
        <v>6482443.1751999995</v>
      </c>
      <c r="E805" s="30"/>
      <c r="F805" s="73" t="str">
        <f>+VLOOKUP(PROVEEDORES[[#This Row],[PROVEEDOR]],TERCEROS_INFO[[PROVEEDOR]:[CORREO]],5,FALSE)</f>
        <v>angela.navas@hyrdistribuciones.com;girlesa.ruiz@servipilas.com;joriescobar64@gmail.com</v>
      </c>
      <c r="G805" s="111">
        <v>44517</v>
      </c>
      <c r="H805" s="31" t="s">
        <v>18</v>
      </c>
      <c r="I805" s="111">
        <v>44462</v>
      </c>
      <c r="J805" s="48" t="s">
        <v>612</v>
      </c>
      <c r="K805" s="26">
        <v>-60000</v>
      </c>
      <c r="L805" s="26"/>
      <c r="M805" s="27">
        <v>0</v>
      </c>
      <c r="N805" s="28"/>
      <c r="O805" s="27">
        <v>0</v>
      </c>
      <c r="P805" s="28">
        <v>0</v>
      </c>
      <c r="Q805" s="27">
        <v>0</v>
      </c>
      <c r="R805" s="26">
        <v>-60000</v>
      </c>
      <c r="S805" s="115">
        <f ca="1">IF(PROVEEDORES[[#This Row],[FECHA DE PAGO]]=0,TODAY()-PROVEEDORES[[#This Row],[FECHA DE FACTURACIÓN]]-PROVEEDORES[[#This Row],[PLAZO Días]],0)</f>
        <v>0</v>
      </c>
      <c r="T80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6" spans="1:20" ht="21.9" customHeight="1" x14ac:dyDescent="0.3">
      <c r="A806" s="113" t="str">
        <f>+IF(PROVEEDORES[[#This Row],[FECHA DE PAGO]]=PROVEEDORES[[#This Row],[FECHA DE FACTURACIÓN]],"DE CONTADO","CRÉDITO")</f>
        <v>CRÉDITO</v>
      </c>
      <c r="B806" s="51" t="str">
        <f>+IF((PROVEEDORES[[#This Row],[FECHA DE PAGO]]-PROVEEDORES[[#This Row],[FECHA DE FACTURACIÓN]])&gt;PROVEEDORES[[#This Row],[PLAZO Días]],"PAGO VENCIDO")</f>
        <v>PAGO VENCIDO</v>
      </c>
      <c r="C806" s="25">
        <f>+VLOOKUP(PROVEEDORES[[#This Row],[PROVEEDOR]],TERCEROS_INFO[#All],2,FALSE)</f>
        <v>90</v>
      </c>
      <c r="D806" s="30">
        <f>+SUMIFS(PROVEEDORES[Total],PROVEEDORES[PROVEEDOR],PROVEEDORES[[#This Row],[PROVEEDOR]],PROVEEDORES[FECHA DE PAGO],"")</f>
        <v>26364243.66155</v>
      </c>
      <c r="E806" s="30"/>
      <c r="F806" s="73" t="str">
        <f>+VLOOKUP(PROVEEDORES[[#This Row],[PROVEEDOR]],TERCEROS_INFO[[PROVEEDOR]:[CORREO]],5,FALSE)</f>
        <v>javiergomez_72@hotmail.com ;girlesa.ruiz@servipilas.com;joriescobar64@gmail.com</v>
      </c>
      <c r="G806" s="111">
        <v>44554</v>
      </c>
      <c r="H806" s="31" t="s">
        <v>12</v>
      </c>
      <c r="I806" s="111">
        <v>44462</v>
      </c>
      <c r="J806" s="48" t="s">
        <v>536</v>
      </c>
      <c r="K806" s="26">
        <v>3836134</v>
      </c>
      <c r="L806" s="26"/>
      <c r="M806" s="27">
        <v>728865.46</v>
      </c>
      <c r="N806" s="28"/>
      <c r="O806" s="27">
        <v>0</v>
      </c>
      <c r="P806" s="28">
        <v>2.5000000000000001E-2</v>
      </c>
      <c r="Q806" s="27">
        <v>95903.35</v>
      </c>
      <c r="R806" s="26">
        <v>4469096.1100000003</v>
      </c>
      <c r="S806" s="115">
        <f ca="1">IF(PROVEEDORES[[#This Row],[FECHA DE PAGO]]=0,TODAY()-PROVEEDORES[[#This Row],[FECHA DE FACTURACIÓN]]-PROVEEDORES[[#This Row],[PLAZO Días]],0)</f>
        <v>0</v>
      </c>
      <c r="T80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7" spans="1:20" ht="21.9" customHeight="1" x14ac:dyDescent="0.3">
      <c r="A807" s="113" t="str">
        <f>+IF(PROVEEDORES[[#This Row],[FECHA DE PAGO]]=PROVEEDORES[[#This Row],[FECHA DE FACTURACIÓN]],"DE CONTADO","CRÉDITO")</f>
        <v>CRÉDITO</v>
      </c>
      <c r="B807" s="51" t="b">
        <f>+IF((PROVEEDORES[[#This Row],[FECHA DE PAGO]]-PROVEEDORES[[#This Row],[FECHA DE FACTURACIÓN]])&gt;PROVEEDORES[[#This Row],[PLAZO Días]],"PAGO VENCIDO")</f>
        <v>0</v>
      </c>
      <c r="C807" s="25">
        <f>+VLOOKUP(PROVEEDORES[[#This Row],[PROVEEDOR]],TERCEROS_INFO[#All],2,FALSE)</f>
        <v>90</v>
      </c>
      <c r="D807" s="30">
        <f>+SUMIFS(PROVEEDORES[Total],PROVEEDORES[PROVEEDOR],PROVEEDORES[[#This Row],[PROVEEDOR]],PROVEEDORES[FECHA DE PAGO],"")</f>
        <v>26364243.66155</v>
      </c>
      <c r="E807" s="30"/>
      <c r="F807" s="73" t="str">
        <f>+VLOOKUP(PROVEEDORES[[#This Row],[PROVEEDOR]],TERCEROS_INFO[[PROVEEDOR]:[CORREO]],5,FALSE)</f>
        <v>javiergomez_72@hotmail.com ;girlesa.ruiz@servipilas.com;joriescobar64@gmail.com</v>
      </c>
      <c r="G807" s="111">
        <v>44543</v>
      </c>
      <c r="H807" s="31" t="s">
        <v>12</v>
      </c>
      <c r="I807" s="111">
        <v>44462</v>
      </c>
      <c r="J807" s="48" t="s">
        <v>535</v>
      </c>
      <c r="K807" s="26">
        <v>5963030</v>
      </c>
      <c r="L807" s="26"/>
      <c r="M807" s="27">
        <v>1132975.7</v>
      </c>
      <c r="N807" s="28"/>
      <c r="O807" s="27">
        <v>0</v>
      </c>
      <c r="P807" s="28">
        <v>2.5000000000000001E-2</v>
      </c>
      <c r="Q807" s="27">
        <v>149075.75</v>
      </c>
      <c r="R807" s="26">
        <v>0</v>
      </c>
      <c r="S807" s="115">
        <f ca="1">IF(PROVEEDORES[[#This Row],[FECHA DE PAGO]]=0,TODAY()-PROVEEDORES[[#This Row],[FECHA DE FACTURACIÓN]]-PROVEEDORES[[#This Row],[PLAZO Días]],0)</f>
        <v>0</v>
      </c>
      <c r="T80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8" spans="1:20" ht="21.9" customHeight="1" x14ac:dyDescent="0.3">
      <c r="A808" s="113" t="str">
        <f>+IF(PROVEEDORES[[#This Row],[FECHA DE PAGO]]=PROVEEDORES[[#This Row],[FECHA DE FACTURACIÓN]],"DE CONTADO","CRÉDITO")</f>
        <v>CRÉDITO</v>
      </c>
      <c r="B808" s="51" t="str">
        <f>+IF((PROVEEDORES[[#This Row],[FECHA DE PAGO]]-PROVEEDORES[[#This Row],[FECHA DE FACTURACIÓN]])&gt;PROVEEDORES[[#This Row],[PLAZO Días]],"PAGO VENCIDO")</f>
        <v>PAGO VENCIDO</v>
      </c>
      <c r="C808" s="25">
        <f>+VLOOKUP(PROVEEDORES[[#This Row],[PROVEEDOR]],TERCEROS_INFO[#All],2,FALSE)</f>
        <v>30</v>
      </c>
      <c r="D808" s="30">
        <f>+SUMIFS(PROVEEDORES[Total],PROVEEDORES[PROVEEDOR],PROVEEDORES[[#This Row],[PROVEEDOR]],PROVEEDORES[FECHA DE PAGO],"")</f>
        <v>2719966.6375000002</v>
      </c>
      <c r="E808" s="30"/>
      <c r="F808" s="73" t="str">
        <f>+VLOOKUP(PROVEEDORES[[#This Row],[PROVEEDOR]],TERCEROS_INFO[[PROVEEDOR]:[CORREO]],5,FALSE)</f>
        <v>aleja-1305agudelo@hotmail.com;provecol@une.net.co;girlesa.ruiz@servipilas.com;joriescobar64@gmail.com</v>
      </c>
      <c r="G808" s="111">
        <v>44498</v>
      </c>
      <c r="H808" s="31" t="s">
        <v>460</v>
      </c>
      <c r="I808" s="111">
        <v>44464</v>
      </c>
      <c r="J808" s="48">
        <v>141124</v>
      </c>
      <c r="K808" s="26">
        <v>1048754</v>
      </c>
      <c r="L808" s="26"/>
      <c r="M808" s="27">
        <v>199263.26</v>
      </c>
      <c r="N808" s="28"/>
      <c r="O808" s="27">
        <v>0</v>
      </c>
      <c r="P808" s="28">
        <v>0</v>
      </c>
      <c r="Q808" s="27">
        <v>0</v>
      </c>
      <c r="R808" s="26">
        <v>1248017.26</v>
      </c>
      <c r="S808" s="115">
        <f ca="1">IF(PROVEEDORES[[#This Row],[FECHA DE PAGO]]=0,TODAY()-PROVEEDORES[[#This Row],[FECHA DE FACTURACIÓN]]-PROVEEDORES[[#This Row],[PLAZO Días]],0)</f>
        <v>0</v>
      </c>
      <c r="T8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09" spans="1:20" ht="21.9" customHeight="1" x14ac:dyDescent="0.3">
      <c r="A809" s="113" t="str">
        <f>+IF(PROVEEDORES[[#This Row],[FECHA DE PAGO]]=PROVEEDORES[[#This Row],[FECHA DE FACTURACIÓN]],"DE CONTADO","CRÉDITO")</f>
        <v>CRÉDITO</v>
      </c>
      <c r="B809" s="51" t="b">
        <f>+IF((PROVEEDORES[[#This Row],[FECHA DE PAGO]]-PROVEEDORES[[#This Row],[FECHA DE FACTURACIÓN]])&gt;PROVEEDORES[[#This Row],[PLAZO Días]],"PAGO VENCIDO")</f>
        <v>0</v>
      </c>
      <c r="C809" s="25">
        <f>+VLOOKUP(PROVEEDORES[[#This Row],[PROVEEDOR]],TERCEROS_INFO[#All],2,FALSE)</f>
        <v>30</v>
      </c>
      <c r="D809" s="30">
        <f>+SUMIFS(PROVEEDORES[Total],PROVEEDORES[PROVEEDOR],PROVEEDORES[[#This Row],[PROVEEDOR]],PROVEEDORES[FECHA DE PAGO],"")</f>
        <v>195500</v>
      </c>
      <c r="E809" s="30"/>
      <c r="F809" s="73" t="str">
        <f>+VLOOKUP(PROVEEDORES[[#This Row],[PROVEEDOR]],TERCEROS_INFO[[PROVEEDOR]:[CORREO]],5,FALSE)</f>
        <v/>
      </c>
      <c r="G809" s="111">
        <v>44484</v>
      </c>
      <c r="H809" s="31" t="s">
        <v>1053</v>
      </c>
      <c r="I809" s="111">
        <v>44466</v>
      </c>
      <c r="J809" s="48" t="s">
        <v>834</v>
      </c>
      <c r="K809" s="26">
        <v>1217933</v>
      </c>
      <c r="L809" s="26"/>
      <c r="M809" s="27">
        <v>0</v>
      </c>
      <c r="N809" s="28"/>
      <c r="O809" s="27">
        <v>0</v>
      </c>
      <c r="P809" s="28">
        <v>0</v>
      </c>
      <c r="Q809" s="27">
        <v>0</v>
      </c>
      <c r="R809" s="26">
        <v>1217933</v>
      </c>
      <c r="S809" s="115">
        <f ca="1">IF(PROVEEDORES[[#This Row],[FECHA DE PAGO]]=0,TODAY()-PROVEEDORES[[#This Row],[FECHA DE FACTURACIÓN]]-PROVEEDORES[[#This Row],[PLAZO Días]],0)</f>
        <v>0</v>
      </c>
      <c r="T80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0" spans="1:20" ht="21.9" customHeight="1" x14ac:dyDescent="0.3">
      <c r="A810" s="113" t="str">
        <f>+IF(PROVEEDORES[[#This Row],[FECHA DE PAGO]]=PROVEEDORES[[#This Row],[FECHA DE FACTURACIÓN]],"DE CONTADO","CRÉDITO")</f>
        <v>CRÉDITO</v>
      </c>
      <c r="B810" s="51" t="str">
        <f>+IF((PROVEEDORES[[#This Row],[FECHA DE PAGO]]-PROVEEDORES[[#This Row],[FECHA DE FACTURACIÓN]])&gt;PROVEEDORES[[#This Row],[PLAZO Días]],"PAGO VENCIDO")</f>
        <v>PAGO VENCIDO</v>
      </c>
      <c r="C810" s="25">
        <f>+VLOOKUP(PROVEEDORES[[#This Row],[PROVEEDOR]],TERCEROS_INFO[#All],2,FALSE)</f>
        <v>30</v>
      </c>
      <c r="D810" s="30">
        <f>+SUMIFS(PROVEEDORES[Total],PROVEEDORES[PROVEEDOR],PROVEEDORES[[#This Row],[PROVEEDOR]],PROVEEDORES[FECHA DE PAGO],"")</f>
        <v>3400186.8245000001</v>
      </c>
      <c r="E810" s="30"/>
      <c r="F810" s="73" t="str">
        <f>+VLOOKUP(PROVEEDORES[[#This Row],[PROVEEDOR]],TERCEROS_INFO[[PROVEEDOR]:[CORREO]],5,FALSE)</f>
        <v>contabilidad@amgimportadora.com;mcastellanos@amgimportadora.com;girlesa.ruiz@servipilas.com;joriescobar64@gmail.com</v>
      </c>
      <c r="G810" s="111">
        <v>44517</v>
      </c>
      <c r="H810" s="31" t="s">
        <v>20</v>
      </c>
      <c r="I810" s="111">
        <v>44467</v>
      </c>
      <c r="J810" s="48">
        <v>5196</v>
      </c>
      <c r="K810" s="26">
        <v>1014100</v>
      </c>
      <c r="L810" s="26"/>
      <c r="M810" s="27">
        <v>192679</v>
      </c>
      <c r="N810" s="28"/>
      <c r="O810" s="27">
        <v>0</v>
      </c>
      <c r="P810" s="28">
        <v>2.5000000000000001E-2</v>
      </c>
      <c r="Q810" s="27">
        <v>25352.5</v>
      </c>
      <c r="R810" s="26">
        <v>1181426.5</v>
      </c>
      <c r="S810" s="115">
        <f ca="1">IF(PROVEEDORES[[#This Row],[FECHA DE PAGO]]=0,TODAY()-PROVEEDORES[[#This Row],[FECHA DE FACTURACIÓN]]-PROVEEDORES[[#This Row],[PLAZO Días]],0)</f>
        <v>0</v>
      </c>
      <c r="T8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1" spans="1:20" ht="21.9" customHeight="1" x14ac:dyDescent="0.3">
      <c r="A811" s="113" t="str">
        <f>+IF(PROVEEDORES[[#This Row],[FECHA DE PAGO]]=PROVEEDORES[[#This Row],[FECHA DE FACTURACIÓN]],"DE CONTADO","CRÉDITO")</f>
        <v>CRÉDITO</v>
      </c>
      <c r="B811" s="51" t="str">
        <f>+IF((PROVEEDORES[[#This Row],[FECHA DE PAGO]]-PROVEEDORES[[#This Row],[FECHA DE FACTURACIÓN]])&gt;PROVEEDORES[[#This Row],[PLAZO Días]],"PAGO VENCIDO")</f>
        <v>PAGO VENCIDO</v>
      </c>
      <c r="C811" s="25">
        <f>+VLOOKUP(PROVEEDORES[[#This Row],[PROVEEDOR]],TERCEROS_INFO[#All],2,FALSE)</f>
        <v>30</v>
      </c>
      <c r="D811" s="30">
        <f>+SUMIFS(PROVEEDORES[Total],PROVEEDORES[PROVEEDOR],PROVEEDORES[[#This Row],[PROVEEDOR]],PROVEEDORES[FECHA DE PAGO],"")</f>
        <v>6482443.1751999995</v>
      </c>
      <c r="E811" s="30"/>
      <c r="F811" s="73" t="str">
        <f>+VLOOKUP(PROVEEDORES[[#This Row],[PROVEEDOR]],TERCEROS_INFO[[PROVEEDOR]:[CORREO]],5,FALSE)</f>
        <v>angela.navas@hyrdistribuciones.com;girlesa.ruiz@servipilas.com;joriescobar64@gmail.com</v>
      </c>
      <c r="G811" s="111">
        <v>44517</v>
      </c>
      <c r="H811" s="31" t="s">
        <v>18</v>
      </c>
      <c r="I811" s="111">
        <v>44467</v>
      </c>
      <c r="J811" s="48">
        <v>1043661</v>
      </c>
      <c r="K811" s="26">
        <v>1593286.4</v>
      </c>
      <c r="L811" s="26"/>
      <c r="M811" s="27">
        <v>302724.41599999997</v>
      </c>
      <c r="N811" s="28"/>
      <c r="O811" s="27">
        <v>0</v>
      </c>
      <c r="P811" s="28">
        <v>2.5000000000000001E-2</v>
      </c>
      <c r="Q811" s="27">
        <v>39832.160000000003</v>
      </c>
      <c r="R811" s="26">
        <v>1856178.656</v>
      </c>
      <c r="S811" s="115">
        <f ca="1">IF(PROVEEDORES[[#This Row],[FECHA DE PAGO]]=0,TODAY()-PROVEEDORES[[#This Row],[FECHA DE FACTURACIÓN]]-PROVEEDORES[[#This Row],[PLAZO Días]],0)</f>
        <v>0</v>
      </c>
      <c r="T8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2" spans="1:20" ht="21.9" customHeight="1" x14ac:dyDescent="0.3">
      <c r="A812" s="113" t="str">
        <f>+IF(PROVEEDORES[[#This Row],[FECHA DE PAGO]]=PROVEEDORES[[#This Row],[FECHA DE FACTURACIÓN]],"DE CONTADO","CRÉDITO")</f>
        <v>CRÉDITO</v>
      </c>
      <c r="B812" s="51" t="b">
        <f>+IF((PROVEEDORES[[#This Row],[FECHA DE PAGO]]-PROVEEDORES[[#This Row],[FECHA DE FACTURACIÓN]])&gt;PROVEEDORES[[#This Row],[PLAZO Días]],"PAGO VENCIDO")</f>
        <v>0</v>
      </c>
      <c r="C812" s="25">
        <f>+VLOOKUP(PROVEEDORES[[#This Row],[PROVEEDOR]],TERCEROS_INFO[#All],2,FALSE)</f>
        <v>30</v>
      </c>
      <c r="D812" s="30">
        <f>+SUMIFS(PROVEEDORES[Total],PROVEEDORES[PROVEEDOR],PROVEEDORES[[#This Row],[PROVEEDOR]],PROVEEDORES[FECHA DE PAGO],"")</f>
        <v>0</v>
      </c>
      <c r="E812" s="30"/>
      <c r="F812" s="73" t="str">
        <f>+VLOOKUP(PROVEEDORES[[#This Row],[PROVEEDOR]],TERCEROS_INFO[[PROVEEDOR]:[CORREO]],5,FALSE)</f>
        <v/>
      </c>
      <c r="G812" s="111">
        <v>44468</v>
      </c>
      <c r="H812" s="31" t="s">
        <v>1007</v>
      </c>
      <c r="I812" s="111">
        <v>44467</v>
      </c>
      <c r="J812" s="48" t="s">
        <v>836</v>
      </c>
      <c r="K812" s="26">
        <v>2029404</v>
      </c>
      <c r="L812" s="26"/>
      <c r="M812" s="27">
        <v>0</v>
      </c>
      <c r="N812" s="28"/>
      <c r="O812" s="27">
        <v>0</v>
      </c>
      <c r="P812" s="28">
        <v>0</v>
      </c>
      <c r="Q812" s="27">
        <v>0</v>
      </c>
      <c r="R812" s="26">
        <v>2029404</v>
      </c>
      <c r="S812" s="115">
        <f ca="1">IF(PROVEEDORES[[#This Row],[FECHA DE PAGO]]=0,TODAY()-PROVEEDORES[[#This Row],[FECHA DE FACTURACIÓN]]-PROVEEDORES[[#This Row],[PLAZO Días]],0)</f>
        <v>0</v>
      </c>
      <c r="T8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3" spans="1:20" ht="21.9" customHeight="1" x14ac:dyDescent="0.3">
      <c r="A813" s="113" t="str">
        <f>+IF(PROVEEDORES[[#This Row],[FECHA DE PAGO]]=PROVEEDORES[[#This Row],[FECHA DE FACTURACIÓN]],"DE CONTADO","CRÉDITO")</f>
        <v>CRÉDITO</v>
      </c>
      <c r="B813" s="51" t="str">
        <f>+IF((PROVEEDORES[[#This Row],[FECHA DE PAGO]]-PROVEEDORES[[#This Row],[FECHA DE FACTURACIÓN]])&gt;PROVEEDORES[[#This Row],[PLAZO Días]],"PAGO VENCIDO")</f>
        <v>PAGO VENCIDO</v>
      </c>
      <c r="C813" s="25">
        <f>+VLOOKUP(PROVEEDORES[[#This Row],[PROVEEDOR]],TERCEROS_INFO[#All],2,FALSE)</f>
        <v>30</v>
      </c>
      <c r="D813" s="30">
        <f>+SUMIFS(PROVEEDORES[Total],PROVEEDORES[PROVEEDOR],PROVEEDORES[[#This Row],[PROVEEDOR]],PROVEEDORES[FECHA DE PAGO],"")</f>
        <v>3750700</v>
      </c>
      <c r="E813" s="30"/>
      <c r="F813" s="73" t="str">
        <f>+VLOOKUP(PROVEEDORES[[#This Row],[PROVEEDOR]],TERCEROS_INFO[[PROVEEDOR]:[CORREO]],5,FALSE)</f>
        <v/>
      </c>
      <c r="G813" s="111">
        <v>44509</v>
      </c>
      <c r="H813" s="31" t="s">
        <v>996</v>
      </c>
      <c r="I813" s="111">
        <v>44467</v>
      </c>
      <c r="J813" s="48" t="s">
        <v>835</v>
      </c>
      <c r="K813" s="26">
        <v>2408000</v>
      </c>
      <c r="L813" s="26"/>
      <c r="M813" s="27">
        <v>0</v>
      </c>
      <c r="N813" s="28"/>
      <c r="O813" s="27">
        <v>0</v>
      </c>
      <c r="P813" s="28">
        <v>0</v>
      </c>
      <c r="Q813" s="27">
        <v>0</v>
      </c>
      <c r="R813" s="26">
        <v>2408000</v>
      </c>
      <c r="S813" s="115">
        <f ca="1">IF(PROVEEDORES[[#This Row],[FECHA DE PAGO]]=0,TODAY()-PROVEEDORES[[#This Row],[FECHA DE FACTURACIÓN]]-PROVEEDORES[[#This Row],[PLAZO Días]],0)</f>
        <v>0</v>
      </c>
      <c r="T8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4" spans="1:20" ht="21.9" customHeight="1" x14ac:dyDescent="0.3">
      <c r="A814" s="113" t="str">
        <f>+IF(PROVEEDORES[[#This Row],[FECHA DE PAGO]]=PROVEEDORES[[#This Row],[FECHA DE FACTURACIÓN]],"DE CONTADO","CRÉDITO")</f>
        <v>CRÉDITO</v>
      </c>
      <c r="B814" s="51" t="b">
        <f>+IF((PROVEEDORES[[#This Row],[FECHA DE PAGO]]-PROVEEDORES[[#This Row],[FECHA DE FACTURACIÓN]])&gt;PROVEEDORES[[#This Row],[PLAZO Días]],"PAGO VENCIDO")</f>
        <v>0</v>
      </c>
      <c r="C814" s="25">
        <f>+VLOOKUP(PROVEEDORES[[#This Row],[PROVEEDOR]],TERCEROS_INFO[#All],2,FALSE)</f>
        <v>30</v>
      </c>
      <c r="D814" s="30">
        <f>+SUMIFS(PROVEEDORES[Total],PROVEEDORES[PROVEEDOR],PROVEEDORES[[#This Row],[PROVEEDOR]],PROVEEDORES[FECHA DE PAGO],"")</f>
        <v>264406</v>
      </c>
      <c r="E814" s="30"/>
      <c r="F814" s="73" t="str">
        <f>+VLOOKUP(PROVEEDORES[[#This Row],[PROVEEDOR]],TERCEROS_INFO[[PROVEEDOR]:[CORREO]],5,FALSE)</f>
        <v>oswaldo.alvarez@logimexsas.com;girlesa.ruiz@servipilas.com;joriescobar64@gmail.com</v>
      </c>
      <c r="G814" s="111">
        <v>44476</v>
      </c>
      <c r="H814" s="31" t="s">
        <v>393</v>
      </c>
      <c r="I814" s="111">
        <v>44468</v>
      </c>
      <c r="J814" s="48" t="s">
        <v>538</v>
      </c>
      <c r="K814" s="26">
        <v>1628.52</v>
      </c>
      <c r="L814" s="26"/>
      <c r="M814" s="27">
        <v>0</v>
      </c>
      <c r="N814" s="28"/>
      <c r="O814" s="27">
        <v>0</v>
      </c>
      <c r="P814" s="28">
        <v>0</v>
      </c>
      <c r="Q814" s="27">
        <v>0</v>
      </c>
      <c r="R814" s="26">
        <v>1628.52</v>
      </c>
      <c r="S814" s="115">
        <f ca="1">IF(PROVEEDORES[[#This Row],[FECHA DE PAGO]]=0,TODAY()-PROVEEDORES[[#This Row],[FECHA DE FACTURACIÓN]]-PROVEEDORES[[#This Row],[PLAZO Días]],0)</f>
        <v>0</v>
      </c>
      <c r="T8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5" spans="1:20" ht="21.9" customHeight="1" x14ac:dyDescent="0.3">
      <c r="A815" s="113" t="str">
        <f>+IF(PROVEEDORES[[#This Row],[FECHA DE PAGO]]=PROVEEDORES[[#This Row],[FECHA DE FACTURACIÓN]],"DE CONTADO","CRÉDITO")</f>
        <v>CRÉDITO</v>
      </c>
      <c r="B815" s="51" t="b">
        <f>+IF((PROVEEDORES[[#This Row],[FECHA DE PAGO]]-PROVEEDORES[[#This Row],[FECHA DE FACTURACIÓN]])&gt;PROVEEDORES[[#This Row],[PLAZO Días]],"PAGO VENCIDO")</f>
        <v>0</v>
      </c>
      <c r="C815" s="25">
        <f>+VLOOKUP(PROVEEDORES[[#This Row],[PROVEEDOR]],TERCEROS_INFO[#All],2,FALSE)</f>
        <v>30</v>
      </c>
      <c r="D815" s="30">
        <f>+SUMIFS(PROVEEDORES[Total],PROVEEDORES[PROVEEDOR],PROVEEDORES[[#This Row],[PROVEEDOR]],PROVEEDORES[FECHA DE PAGO],"")</f>
        <v>264406</v>
      </c>
      <c r="E815" s="30"/>
      <c r="F815" s="73" t="str">
        <f>+VLOOKUP(PROVEEDORES[[#This Row],[PROVEEDOR]],TERCEROS_INFO[[PROVEEDOR]:[CORREO]],5,FALSE)</f>
        <v>oswaldo.alvarez@logimexsas.com;girlesa.ruiz@servipilas.com;joriescobar64@gmail.com</v>
      </c>
      <c r="G815" s="111">
        <v>44476</v>
      </c>
      <c r="H815" s="31" t="s">
        <v>393</v>
      </c>
      <c r="I815" s="111">
        <v>44468</v>
      </c>
      <c r="J815" s="48" t="s">
        <v>537</v>
      </c>
      <c r="K815" s="26">
        <v>4297</v>
      </c>
      <c r="L815" s="26"/>
      <c r="M815" s="27">
        <v>0</v>
      </c>
      <c r="N815" s="28"/>
      <c r="O815" s="27">
        <v>0</v>
      </c>
      <c r="P815" s="28">
        <v>0</v>
      </c>
      <c r="Q815" s="27">
        <v>0</v>
      </c>
      <c r="R815" s="26">
        <v>4297</v>
      </c>
      <c r="S815" s="115">
        <f ca="1">IF(PROVEEDORES[[#This Row],[FECHA DE PAGO]]=0,TODAY()-PROVEEDORES[[#This Row],[FECHA DE FACTURACIÓN]]-PROVEEDORES[[#This Row],[PLAZO Días]],0)</f>
        <v>0</v>
      </c>
      <c r="T8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6" spans="1:20" ht="21.9" customHeight="1" x14ac:dyDescent="0.3">
      <c r="A816" s="113" t="str">
        <f>+IF(PROVEEDORES[[#This Row],[FECHA DE PAGO]]=PROVEEDORES[[#This Row],[FECHA DE FACTURACIÓN]],"DE CONTADO","CRÉDITO")</f>
        <v>DE CONTADO</v>
      </c>
      <c r="B816" s="51" t="b">
        <f>+IF((PROVEEDORES[[#This Row],[FECHA DE PAGO]]-PROVEEDORES[[#This Row],[FECHA DE FACTURACIÓN]])&gt;PROVEEDORES[[#This Row],[PLAZO Días]],"PAGO VENCIDO")</f>
        <v>0</v>
      </c>
      <c r="C816" s="25">
        <f>+VLOOKUP(PROVEEDORES[[#This Row],[PROVEEDOR]],TERCEROS_INFO[#All],2,FALSE)</f>
        <v>30</v>
      </c>
      <c r="D816" s="30">
        <f>+SUMIFS(PROVEEDORES[Total],PROVEEDORES[PROVEEDOR],PROVEEDORES[[#This Row],[PROVEEDOR]],PROVEEDORES[FECHA DE PAGO],"")</f>
        <v>0</v>
      </c>
      <c r="E816" s="30"/>
      <c r="F816" s="73" t="str">
        <f>+VLOOKUP(PROVEEDORES[[#This Row],[PROVEEDOR]],TERCEROS_INFO[[PROVEEDOR]:[CORREO]],5,FALSE)</f>
        <v/>
      </c>
      <c r="G816" s="111">
        <v>44469</v>
      </c>
      <c r="H816" s="31" t="s">
        <v>1016</v>
      </c>
      <c r="I816" s="111">
        <v>44469</v>
      </c>
      <c r="J816" s="48" t="s">
        <v>837</v>
      </c>
      <c r="K816" s="26">
        <v>93000</v>
      </c>
      <c r="L816" s="26"/>
      <c r="M816" s="27">
        <v>0</v>
      </c>
      <c r="N816" s="28"/>
      <c r="O816" s="27">
        <v>0</v>
      </c>
      <c r="P816" s="28">
        <v>0</v>
      </c>
      <c r="Q816" s="27">
        <v>0</v>
      </c>
      <c r="R816" s="26">
        <v>93000</v>
      </c>
      <c r="S816" s="115">
        <f ca="1">IF(PROVEEDORES[[#This Row],[FECHA DE PAGO]]=0,TODAY()-PROVEEDORES[[#This Row],[FECHA DE FACTURACIÓN]]-PROVEEDORES[[#This Row],[PLAZO Días]],0)</f>
        <v>0</v>
      </c>
      <c r="T8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7" spans="1:20" ht="21.9" customHeight="1" x14ac:dyDescent="0.3">
      <c r="A817" s="113" t="str">
        <f>+IF(PROVEEDORES[[#This Row],[FECHA DE PAGO]]=PROVEEDORES[[#This Row],[FECHA DE FACTURACIÓN]],"DE CONTADO","CRÉDITO")</f>
        <v>DE CONTADO</v>
      </c>
      <c r="B817" s="51" t="b">
        <f>+IF((PROVEEDORES[[#This Row],[FECHA DE PAGO]]-PROVEEDORES[[#This Row],[FECHA DE FACTURACIÓN]])&gt;PROVEEDORES[[#This Row],[PLAZO Días]],"PAGO VENCIDO")</f>
        <v>0</v>
      </c>
      <c r="C817" s="25">
        <f>+VLOOKUP(PROVEEDORES[[#This Row],[PROVEEDOR]],TERCEROS_INFO[#All],2,FALSE)</f>
        <v>30</v>
      </c>
      <c r="D817" s="30">
        <f>+SUMIFS(PROVEEDORES[Total],PROVEEDORES[PROVEEDOR],PROVEEDORES[[#This Row],[PROVEEDOR]],PROVEEDORES[FECHA DE PAGO],"")</f>
        <v>0</v>
      </c>
      <c r="E817" s="30"/>
      <c r="F817" s="73" t="str">
        <f>+VLOOKUP(PROVEEDORES[[#This Row],[PROVEEDOR]],TERCEROS_INFO[[PROVEEDOR]:[CORREO]],5,FALSE)</f>
        <v/>
      </c>
      <c r="G817" s="111">
        <v>44469</v>
      </c>
      <c r="H817" s="31" t="s">
        <v>1016</v>
      </c>
      <c r="I817" s="111">
        <v>44469</v>
      </c>
      <c r="J817" s="48" t="s">
        <v>806</v>
      </c>
      <c r="K817" s="26">
        <v>140000</v>
      </c>
      <c r="L817" s="26"/>
      <c r="M817" s="27">
        <v>0</v>
      </c>
      <c r="N817" s="28"/>
      <c r="O817" s="27">
        <v>0</v>
      </c>
      <c r="P817" s="28">
        <v>0</v>
      </c>
      <c r="Q817" s="27">
        <v>0</v>
      </c>
      <c r="R817" s="26">
        <v>140000</v>
      </c>
      <c r="S817" s="115">
        <f ca="1">IF(PROVEEDORES[[#This Row],[FECHA DE PAGO]]=0,TODAY()-PROVEEDORES[[#This Row],[FECHA DE FACTURACIÓN]]-PROVEEDORES[[#This Row],[PLAZO Días]],0)</f>
        <v>0</v>
      </c>
      <c r="T8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8" spans="1:20" ht="21.9" customHeight="1" x14ac:dyDescent="0.3">
      <c r="A818" s="113" t="str">
        <f>+IF(PROVEEDORES[[#This Row],[FECHA DE PAGO]]=PROVEEDORES[[#This Row],[FECHA DE FACTURACIÓN]],"DE CONTADO","CRÉDITO")</f>
        <v>DE CONTADO</v>
      </c>
      <c r="B818" s="51" t="b">
        <f>+IF((PROVEEDORES[[#This Row],[FECHA DE PAGO]]-PROVEEDORES[[#This Row],[FECHA DE FACTURACIÓN]])&gt;PROVEEDORES[[#This Row],[PLAZO Días]],"PAGO VENCIDO")</f>
        <v>0</v>
      </c>
      <c r="C818" s="25">
        <f>+VLOOKUP(PROVEEDORES[[#This Row],[PROVEEDOR]],TERCEROS_INFO[#All],2,FALSE)</f>
        <v>30</v>
      </c>
      <c r="D818" s="30">
        <f>+SUMIFS(PROVEEDORES[Total],PROVEEDORES[PROVEEDOR],PROVEEDORES[[#This Row],[PROVEEDOR]],PROVEEDORES[FECHA DE PAGO],"")</f>
        <v>0</v>
      </c>
      <c r="E818" s="30"/>
      <c r="F818" s="73" t="str">
        <f>+VLOOKUP(PROVEEDORES[[#This Row],[PROVEEDOR]],TERCEROS_INFO[[PROVEEDOR]:[CORREO]],5,FALSE)</f>
        <v/>
      </c>
      <c r="G818" s="111">
        <v>44469</v>
      </c>
      <c r="H818" s="31" t="s">
        <v>1016</v>
      </c>
      <c r="I818" s="111">
        <v>44469</v>
      </c>
      <c r="J818" s="48" t="s">
        <v>76</v>
      </c>
      <c r="K818" s="26">
        <v>222000</v>
      </c>
      <c r="L818" s="26"/>
      <c r="M818" s="27">
        <v>0</v>
      </c>
      <c r="N818" s="28"/>
      <c r="O818" s="27">
        <v>0</v>
      </c>
      <c r="P818" s="28">
        <v>0</v>
      </c>
      <c r="Q818" s="27">
        <v>0</v>
      </c>
      <c r="R818" s="26">
        <v>222000</v>
      </c>
      <c r="S818" s="115">
        <f ca="1">IF(PROVEEDORES[[#This Row],[FECHA DE PAGO]]=0,TODAY()-PROVEEDORES[[#This Row],[FECHA DE FACTURACIÓN]]-PROVEEDORES[[#This Row],[PLAZO Días]],0)</f>
        <v>0</v>
      </c>
      <c r="T8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19" spans="1:20" ht="21.9" customHeight="1" x14ac:dyDescent="0.3">
      <c r="A819" s="113" t="str">
        <f>+IF(PROVEEDORES[[#This Row],[FECHA DE PAGO]]=PROVEEDORES[[#This Row],[FECHA DE FACTURACIÓN]],"DE CONTADO","CRÉDITO")</f>
        <v>DE CONTADO</v>
      </c>
      <c r="B819" s="51" t="b">
        <f>+IF((PROVEEDORES[[#This Row],[FECHA DE PAGO]]-PROVEEDORES[[#This Row],[FECHA DE FACTURACIÓN]])&gt;PROVEEDORES[[#This Row],[PLAZO Días]],"PAGO VENCIDO")</f>
        <v>0</v>
      </c>
      <c r="C819" s="25">
        <f>+VLOOKUP(PROVEEDORES[[#This Row],[PROVEEDOR]],TERCEROS_INFO[#All],2,FALSE)</f>
        <v>30</v>
      </c>
      <c r="D819" s="30">
        <f>+SUMIFS(PROVEEDORES[Total],PROVEEDORES[PROVEEDOR],PROVEEDORES[[#This Row],[PROVEEDOR]],PROVEEDORES[FECHA DE PAGO],"")</f>
        <v>0</v>
      </c>
      <c r="E819" s="30"/>
      <c r="F819" s="73" t="str">
        <f>+VLOOKUP(PROVEEDORES[[#This Row],[PROVEEDOR]],TERCEROS_INFO[[PROVEEDOR]:[CORREO]],5,FALSE)</f>
        <v/>
      </c>
      <c r="G819" s="111">
        <v>44469</v>
      </c>
      <c r="H819" s="31" t="s">
        <v>1016</v>
      </c>
      <c r="I819" s="111">
        <v>44469</v>
      </c>
      <c r="J819" s="48" t="s">
        <v>666</v>
      </c>
      <c r="K819" s="26">
        <v>251000</v>
      </c>
      <c r="L819" s="26"/>
      <c r="M819" s="27">
        <v>0</v>
      </c>
      <c r="N819" s="28"/>
      <c r="O819" s="27">
        <v>0</v>
      </c>
      <c r="P819" s="28">
        <v>0</v>
      </c>
      <c r="Q819" s="27">
        <v>0</v>
      </c>
      <c r="R819" s="26">
        <v>251000</v>
      </c>
      <c r="S819" s="115">
        <f ca="1">IF(PROVEEDORES[[#This Row],[FECHA DE PAGO]]=0,TODAY()-PROVEEDORES[[#This Row],[FECHA DE FACTURACIÓN]]-PROVEEDORES[[#This Row],[PLAZO Días]],0)</f>
        <v>0</v>
      </c>
      <c r="T8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0" spans="1:20" ht="21.9" customHeight="1" x14ac:dyDescent="0.3">
      <c r="A820" s="113" t="str">
        <f>+IF(PROVEEDORES[[#This Row],[FECHA DE PAGO]]=PROVEEDORES[[#This Row],[FECHA DE FACTURACIÓN]],"DE CONTADO","CRÉDITO")</f>
        <v>DE CONTADO</v>
      </c>
      <c r="B820" s="51" t="b">
        <f>+IF((PROVEEDORES[[#This Row],[FECHA DE PAGO]]-PROVEEDORES[[#This Row],[FECHA DE FACTURACIÓN]])&gt;PROVEEDORES[[#This Row],[PLAZO Días]],"PAGO VENCIDO")</f>
        <v>0</v>
      </c>
      <c r="C820" s="25">
        <f>+VLOOKUP(PROVEEDORES[[#This Row],[PROVEEDOR]],TERCEROS_INFO[#All],2,FALSE)</f>
        <v>30</v>
      </c>
      <c r="D820" s="30">
        <f>+SUMIFS(PROVEEDORES[Total],PROVEEDORES[PROVEEDOR],PROVEEDORES[[#This Row],[PROVEEDOR]],PROVEEDORES[FECHA DE PAGO],"")</f>
        <v>0</v>
      </c>
      <c r="E820" s="30"/>
      <c r="F820" s="73" t="str">
        <f>+VLOOKUP(PROVEEDORES[[#This Row],[PROVEEDOR]],TERCEROS_INFO[[PROVEEDOR]:[CORREO]],5,FALSE)</f>
        <v/>
      </c>
      <c r="G820" s="111">
        <v>44469</v>
      </c>
      <c r="H820" s="31" t="s">
        <v>1016</v>
      </c>
      <c r="I820" s="111">
        <v>44469</v>
      </c>
      <c r="J820" s="48" t="s">
        <v>667</v>
      </c>
      <c r="K820" s="26">
        <v>724000</v>
      </c>
      <c r="L820" s="26"/>
      <c r="M820" s="27">
        <v>0</v>
      </c>
      <c r="N820" s="28"/>
      <c r="O820" s="27">
        <v>0</v>
      </c>
      <c r="P820" s="28">
        <v>0</v>
      </c>
      <c r="Q820" s="27">
        <v>0</v>
      </c>
      <c r="R820" s="26">
        <v>724000</v>
      </c>
      <c r="S820" s="115">
        <f ca="1">IF(PROVEEDORES[[#This Row],[FECHA DE PAGO]]=0,TODAY()-PROVEEDORES[[#This Row],[FECHA DE FACTURACIÓN]]-PROVEEDORES[[#This Row],[PLAZO Días]],0)</f>
        <v>0</v>
      </c>
      <c r="T8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1" spans="1:20" ht="21.9" customHeight="1" x14ac:dyDescent="0.3">
      <c r="A821" s="113" t="str">
        <f>+IF(PROVEEDORES[[#This Row],[FECHA DE PAGO]]=PROVEEDORES[[#This Row],[FECHA DE FACTURACIÓN]],"DE CONTADO","CRÉDITO")</f>
        <v>DE CONTADO</v>
      </c>
      <c r="B821" s="51" t="b">
        <f>+IF((PROVEEDORES[[#This Row],[FECHA DE PAGO]]-PROVEEDORES[[#This Row],[FECHA DE FACTURACIÓN]])&gt;PROVEEDORES[[#This Row],[PLAZO Días]],"PAGO VENCIDO")</f>
        <v>0</v>
      </c>
      <c r="C821" s="25">
        <f>+VLOOKUP(PROVEEDORES[[#This Row],[PROVEEDOR]],TERCEROS_INFO[#All],2,FALSE)</f>
        <v>30</v>
      </c>
      <c r="D821" s="30">
        <f>+SUMIFS(PROVEEDORES[Total],PROVEEDORES[PROVEEDOR],PROVEEDORES[[#This Row],[PROVEEDOR]],PROVEEDORES[FECHA DE PAGO],"")</f>
        <v>0</v>
      </c>
      <c r="E821" s="30"/>
      <c r="F821" s="73" t="str">
        <f>+VLOOKUP(PROVEEDORES[[#This Row],[PROVEEDOR]],TERCEROS_INFO[[PROVEEDOR]:[CORREO]],5,FALSE)</f>
        <v/>
      </c>
      <c r="G821" s="111">
        <v>44469</v>
      </c>
      <c r="H821" s="31" t="s">
        <v>1052</v>
      </c>
      <c r="I821" s="111">
        <v>44469</v>
      </c>
      <c r="J821" s="48"/>
      <c r="K821" s="26">
        <v>1000000</v>
      </c>
      <c r="L821" s="26"/>
      <c r="M821" s="27">
        <v>0</v>
      </c>
      <c r="N821" s="28"/>
      <c r="O821" s="27">
        <v>0</v>
      </c>
      <c r="P821" s="28">
        <v>0</v>
      </c>
      <c r="Q821" s="27">
        <v>0</v>
      </c>
      <c r="R821" s="26">
        <v>1000000</v>
      </c>
      <c r="S821" s="115">
        <f ca="1">IF(PROVEEDORES[[#This Row],[FECHA DE PAGO]]=0,TODAY()-PROVEEDORES[[#This Row],[FECHA DE FACTURACIÓN]]-PROVEEDORES[[#This Row],[PLAZO Días]],0)</f>
        <v>0</v>
      </c>
      <c r="T8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2" spans="1:20" ht="21.9" customHeight="1" x14ac:dyDescent="0.3">
      <c r="A822" s="113" t="str">
        <f>+IF(PROVEEDORES[[#This Row],[FECHA DE PAGO]]=PROVEEDORES[[#This Row],[FECHA DE FACTURACIÓN]],"DE CONTADO","CRÉDITO")</f>
        <v>DE CONTADO</v>
      </c>
      <c r="B822" s="51" t="b">
        <f>+IF((PROVEEDORES[[#This Row],[FECHA DE PAGO]]-PROVEEDORES[[#This Row],[FECHA DE FACTURACIÓN]])&gt;PROVEEDORES[[#This Row],[PLAZO Días]],"PAGO VENCIDO")</f>
        <v>0</v>
      </c>
      <c r="C822" s="25">
        <f>+VLOOKUP(PROVEEDORES[[#This Row],[PROVEEDOR]],TERCEROS_INFO[#All],2,FALSE)</f>
        <v>30</v>
      </c>
      <c r="D822" s="30">
        <f>+SUMIFS(PROVEEDORES[Total],PROVEEDORES[PROVEEDOR],PROVEEDORES[[#This Row],[PROVEEDOR]],PROVEEDORES[FECHA DE PAGO],"")</f>
        <v>0</v>
      </c>
      <c r="E822" s="30"/>
      <c r="F822" s="73" t="str">
        <f>+VLOOKUP(PROVEEDORES[[#This Row],[PROVEEDOR]],TERCEROS_INFO[[PROVEEDOR]:[CORREO]],5,FALSE)</f>
        <v/>
      </c>
      <c r="G822" s="111">
        <v>44469</v>
      </c>
      <c r="H822" s="31" t="s">
        <v>1016</v>
      </c>
      <c r="I822" s="111">
        <v>44469</v>
      </c>
      <c r="J822" s="48" t="s">
        <v>668</v>
      </c>
      <c r="K822" s="26">
        <v>3116500</v>
      </c>
      <c r="L822" s="26"/>
      <c r="M822" s="27">
        <v>0</v>
      </c>
      <c r="N822" s="28"/>
      <c r="O822" s="27">
        <v>0</v>
      </c>
      <c r="P822" s="28">
        <v>0</v>
      </c>
      <c r="Q822" s="27">
        <v>0</v>
      </c>
      <c r="R822" s="26">
        <v>3116500</v>
      </c>
      <c r="S822" s="115">
        <f ca="1">IF(PROVEEDORES[[#This Row],[FECHA DE PAGO]]=0,TODAY()-PROVEEDORES[[#This Row],[FECHA DE FACTURACIÓN]]-PROVEEDORES[[#This Row],[PLAZO Días]],0)</f>
        <v>0</v>
      </c>
      <c r="T8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3" spans="1:20" ht="21.9" customHeight="1" x14ac:dyDescent="0.3">
      <c r="A823" s="113" t="str">
        <f>+IF(PROVEEDORES[[#This Row],[FECHA DE PAGO]]=PROVEEDORES[[#This Row],[FECHA DE FACTURACIÓN]],"DE CONTADO","CRÉDITO")</f>
        <v>CRÉDITO</v>
      </c>
      <c r="B823" s="51" t="str">
        <f>+IF((PROVEEDORES[[#This Row],[FECHA DE PAGO]]-PROVEEDORES[[#This Row],[FECHA DE FACTURACIÓN]])&gt;PROVEEDORES[[#This Row],[PLAZO Días]],"PAGO VENCIDO")</f>
        <v>PAGO VENCIDO</v>
      </c>
      <c r="C823" s="25">
        <f>+VLOOKUP(PROVEEDORES[[#This Row],[PROVEEDOR]],TERCEROS_INFO[#All],2,FALSE)</f>
        <v>45</v>
      </c>
      <c r="D823" s="30">
        <f>+SUMIFS(PROVEEDORES[Total],PROVEEDORES[PROVEEDOR],PROVEEDORES[[#This Row],[PROVEEDOR]],PROVEEDORES[FECHA DE PAGO],"")</f>
        <v>17760678.600000001</v>
      </c>
      <c r="E823" s="30"/>
      <c r="F823" s="73" t="str">
        <f>+VLOOKUP(PROVEEDORES[[#This Row],[PROVEEDOR]],TERCEROS_INFO[[PROVEEDOR]:[CORREO]],5,FALSE)</f>
        <v>zully.florez@powest.com;girlesa.ruiz@servipilas.com;joriescobar64@gmail.com</v>
      </c>
      <c r="G823" s="111">
        <v>44523</v>
      </c>
      <c r="H823" s="31" t="s">
        <v>19</v>
      </c>
      <c r="I823" s="111">
        <v>44469</v>
      </c>
      <c r="J823" s="48" t="s">
        <v>539</v>
      </c>
      <c r="K823" s="26">
        <v>10316800</v>
      </c>
      <c r="L823" s="26"/>
      <c r="M823" s="27">
        <v>1960192</v>
      </c>
      <c r="N823" s="28"/>
      <c r="O823" s="27">
        <v>0</v>
      </c>
      <c r="P823" s="28">
        <v>0</v>
      </c>
      <c r="Q823" s="27">
        <v>0</v>
      </c>
      <c r="R823" s="26">
        <v>12276992</v>
      </c>
      <c r="S823" s="115">
        <f ca="1">IF(PROVEEDORES[[#This Row],[FECHA DE PAGO]]=0,TODAY()-PROVEEDORES[[#This Row],[FECHA DE FACTURACIÓN]]-PROVEEDORES[[#This Row],[PLAZO Días]],0)</f>
        <v>0</v>
      </c>
      <c r="T8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4" spans="1:20" ht="21.9" customHeight="1" x14ac:dyDescent="0.3">
      <c r="A824" s="113" t="str">
        <f>+IF(PROVEEDORES[[#This Row],[FECHA DE PAGO]]=PROVEEDORES[[#This Row],[FECHA DE FACTURACIÓN]],"DE CONTADO","CRÉDITO")</f>
        <v>CRÉDITO</v>
      </c>
      <c r="B824" s="51" t="b">
        <f>+IF((PROVEEDORES[[#This Row],[FECHA DE PAGO]]-PROVEEDORES[[#This Row],[FECHA DE FACTURACIÓN]])&gt;PROVEEDORES[[#This Row],[PLAZO Días]],"PAGO VENCIDO")</f>
        <v>0</v>
      </c>
      <c r="C824" s="25">
        <f>+VLOOKUP(PROVEEDORES[[#This Row],[PROVEEDOR]],TERCEROS_INFO[#All],2,FALSE)</f>
        <v>30</v>
      </c>
      <c r="D824" s="30">
        <f>+SUMIFS(PROVEEDORES[Total],PROVEEDORES[PROVEEDOR],PROVEEDORES[[#This Row],[PROVEEDOR]],PROVEEDORES[FECHA DE PAGO],"")</f>
        <v>0</v>
      </c>
      <c r="E824" s="30"/>
      <c r="F824" s="73" t="str">
        <f>+VLOOKUP(PROVEEDORES[[#This Row],[PROVEEDOR]],TERCEROS_INFO[[PROVEEDOR]:[CORREO]],5,FALSE)</f>
        <v>facturacion@losmolinos.com.co</v>
      </c>
      <c r="G824" s="111">
        <v>44483</v>
      </c>
      <c r="H824" s="31" t="s">
        <v>345</v>
      </c>
      <c r="I824" s="111">
        <v>44470</v>
      </c>
      <c r="J824" s="48" t="s">
        <v>841</v>
      </c>
      <c r="K824" s="26">
        <v>122980</v>
      </c>
      <c r="L824" s="26"/>
      <c r="M824" s="27">
        <v>23366.2</v>
      </c>
      <c r="N824" s="28"/>
      <c r="O824" s="27">
        <v>0</v>
      </c>
      <c r="P824" s="28">
        <v>0</v>
      </c>
      <c r="Q824" s="27">
        <v>0</v>
      </c>
      <c r="R824" s="26">
        <v>146346.20000000001</v>
      </c>
      <c r="S824" s="115">
        <f ca="1">IF(PROVEEDORES[[#This Row],[FECHA DE PAGO]]=0,TODAY()-PROVEEDORES[[#This Row],[FECHA DE FACTURACIÓN]]-PROVEEDORES[[#This Row],[PLAZO Días]],0)</f>
        <v>0</v>
      </c>
      <c r="T8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5" spans="1:20" ht="21.9" customHeight="1" x14ac:dyDescent="0.3">
      <c r="A825" s="113" t="str">
        <f>+IF(PROVEEDORES[[#This Row],[FECHA DE PAGO]]=PROVEEDORES[[#This Row],[FECHA DE FACTURACIÓN]],"DE CONTADO","CRÉDITO")</f>
        <v>CRÉDITO</v>
      </c>
      <c r="B825" s="51" t="b">
        <f>+IF((PROVEEDORES[[#This Row],[FECHA DE PAGO]]-PROVEEDORES[[#This Row],[FECHA DE FACTURACIÓN]])&gt;PROVEEDORES[[#This Row],[PLAZO Días]],"PAGO VENCIDO")</f>
        <v>0</v>
      </c>
      <c r="C825" s="25">
        <f>+VLOOKUP(PROVEEDORES[[#This Row],[PROVEEDOR]],TERCEROS_INFO[#All],2,FALSE)</f>
        <v>60</v>
      </c>
      <c r="D825" s="30">
        <f>+SUMIFS(PROVEEDORES[Total],PROVEEDORES[PROVEEDOR],PROVEEDORES[[#This Row],[PROVEEDOR]],PROVEEDORES[FECHA DE PAGO],"")</f>
        <v>602800</v>
      </c>
      <c r="E825" s="30"/>
      <c r="F825" s="73" t="str">
        <f>+VLOOKUP(PROVEEDORES[[#This Row],[PROVEEDOR]],TERCEROS_INFO[[PROVEEDOR]:[CORREO]],5,FALSE)</f>
        <v>jessica.barios.com@carpainternacional;girlesa.ruiz@servipilas.com;joriescobar64@gmail.com</v>
      </c>
      <c r="G825" s="111">
        <v>44503</v>
      </c>
      <c r="H825" s="31" t="s">
        <v>607</v>
      </c>
      <c r="I825" s="111">
        <v>44470</v>
      </c>
      <c r="J825" s="48" t="s">
        <v>578</v>
      </c>
      <c r="K825" s="26">
        <v>184752</v>
      </c>
      <c r="L825" s="26"/>
      <c r="M825" s="27">
        <v>0</v>
      </c>
      <c r="N825" s="28"/>
      <c r="O825" s="27">
        <v>0</v>
      </c>
      <c r="P825" s="28">
        <v>0</v>
      </c>
      <c r="Q825" s="27">
        <v>0</v>
      </c>
      <c r="R825" s="26">
        <v>184752</v>
      </c>
      <c r="S825" s="115">
        <f ca="1">IF(PROVEEDORES[[#This Row],[FECHA DE PAGO]]=0,TODAY()-PROVEEDORES[[#This Row],[FECHA DE FACTURACIÓN]]-PROVEEDORES[[#This Row],[PLAZO Días]],0)</f>
        <v>0</v>
      </c>
      <c r="T82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6" spans="1:20" ht="21.9" customHeight="1" x14ac:dyDescent="0.3">
      <c r="A826" s="113" t="str">
        <f>+IF(PROVEEDORES[[#This Row],[FECHA DE PAGO]]=PROVEEDORES[[#This Row],[FECHA DE FACTURACIÓN]],"DE CONTADO","CRÉDITO")</f>
        <v>CRÉDITO</v>
      </c>
      <c r="B826" s="51" t="b">
        <f>+IF((PROVEEDORES[[#This Row],[FECHA DE PAGO]]-PROVEEDORES[[#This Row],[FECHA DE FACTURACIÓN]])&gt;PROVEEDORES[[#This Row],[PLAZO Días]],"PAGO VENCIDO")</f>
        <v>0</v>
      </c>
      <c r="C826" s="25">
        <f>+VLOOKUP(PROVEEDORES[[#This Row],[PROVEEDOR]],TERCEROS_INFO[#All],2,FALSE)</f>
        <v>18</v>
      </c>
      <c r="D826" s="30">
        <f>+SUMIFS(PROVEEDORES[Total],PROVEEDORES[PROVEEDOR],PROVEEDORES[[#This Row],[PROVEEDOR]],PROVEEDORES[FECHA DE PAGO],"")</f>
        <v>0</v>
      </c>
      <c r="E826" s="30"/>
      <c r="F826" s="73">
        <f>+VLOOKUP(PROVEEDORES[[#This Row],[PROVEEDOR]],TERCEROS_INFO[[PROVEEDOR]:[CORREO]],5,FALSE)</f>
        <v>0</v>
      </c>
      <c r="G826" s="111">
        <v>44484</v>
      </c>
      <c r="H826" s="31" t="s">
        <v>549</v>
      </c>
      <c r="I826" s="111">
        <v>44470</v>
      </c>
      <c r="J826" s="48" t="s">
        <v>842</v>
      </c>
      <c r="K826" s="26">
        <v>199164</v>
      </c>
      <c r="L826" s="26"/>
      <c r="M826" s="27">
        <v>0</v>
      </c>
      <c r="N826" s="28"/>
      <c r="O826" s="27">
        <v>0</v>
      </c>
      <c r="P826" s="28">
        <v>0</v>
      </c>
      <c r="Q826" s="27">
        <v>0</v>
      </c>
      <c r="R826" s="26">
        <v>199164</v>
      </c>
      <c r="S826" s="115">
        <f ca="1">IF(PROVEEDORES[[#This Row],[FECHA DE PAGO]]=0,TODAY()-PROVEEDORES[[#This Row],[FECHA DE FACTURACIÓN]]-PROVEEDORES[[#This Row],[PLAZO Días]],0)</f>
        <v>0</v>
      </c>
      <c r="T82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7" spans="1:20" ht="21.9" customHeight="1" x14ac:dyDescent="0.3">
      <c r="A827" s="113" t="str">
        <f>+IF(PROVEEDORES[[#This Row],[FECHA DE PAGO]]=PROVEEDORES[[#This Row],[FECHA DE FACTURACIÓN]],"DE CONTADO","CRÉDITO")</f>
        <v>DE CONTADO</v>
      </c>
      <c r="B827" s="51" t="b">
        <f>+IF((PROVEEDORES[[#This Row],[FECHA DE PAGO]]-PROVEEDORES[[#This Row],[FECHA DE FACTURACIÓN]])&gt;PROVEEDORES[[#This Row],[PLAZO Días]],"PAGO VENCIDO")</f>
        <v>0</v>
      </c>
      <c r="C827" s="25">
        <f>+VLOOKUP(PROVEEDORES[[#This Row],[PROVEEDOR]],TERCEROS_INFO[#All],2,FALSE)</f>
        <v>30</v>
      </c>
      <c r="D827" s="30">
        <f>+SUMIFS(PROVEEDORES[Total],PROVEEDORES[PROVEEDOR],PROVEEDORES[[#This Row],[PROVEEDOR]],PROVEEDORES[FECHA DE PAGO],"")</f>
        <v>0</v>
      </c>
      <c r="E827" s="30"/>
      <c r="F827" s="73" t="str">
        <f>+VLOOKUP(PROVEEDORES[[#This Row],[PROVEEDOR]],TERCEROS_INFO[[PROVEEDOR]:[CORREO]],5,FALSE)</f>
        <v/>
      </c>
      <c r="G827" s="111">
        <v>44470</v>
      </c>
      <c r="H827" s="31" t="s">
        <v>1066</v>
      </c>
      <c r="I827" s="111">
        <v>44470</v>
      </c>
      <c r="J827" s="48" t="s">
        <v>838</v>
      </c>
      <c r="K827" s="26">
        <v>200000</v>
      </c>
      <c r="L827" s="26"/>
      <c r="M827" s="27">
        <v>0</v>
      </c>
      <c r="N827" s="28"/>
      <c r="O827" s="27">
        <v>0</v>
      </c>
      <c r="P827" s="28">
        <v>0</v>
      </c>
      <c r="Q827" s="27">
        <v>0</v>
      </c>
      <c r="R827" s="26">
        <v>200000</v>
      </c>
      <c r="S827" s="115">
        <f ca="1">IF(PROVEEDORES[[#This Row],[FECHA DE PAGO]]=0,TODAY()-PROVEEDORES[[#This Row],[FECHA DE FACTURACIÓN]]-PROVEEDORES[[#This Row],[PLAZO Días]],0)</f>
        <v>0</v>
      </c>
      <c r="T8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8" spans="1:20" ht="21.9" customHeight="1" x14ac:dyDescent="0.3">
      <c r="A828" s="113" t="str">
        <f>+IF(PROVEEDORES[[#This Row],[FECHA DE PAGO]]=PROVEEDORES[[#This Row],[FECHA DE FACTURACIÓN]],"DE CONTADO","CRÉDITO")</f>
        <v>CRÉDITO</v>
      </c>
      <c r="B828" s="51" t="b">
        <f>+IF((PROVEEDORES[[#This Row],[FECHA DE PAGO]]-PROVEEDORES[[#This Row],[FECHA DE FACTURACIÓN]])&gt;PROVEEDORES[[#This Row],[PLAZO Días]],"PAGO VENCIDO")</f>
        <v>0</v>
      </c>
      <c r="C828" s="25">
        <f>+VLOOKUP(PROVEEDORES[[#This Row],[PROVEEDOR]],TERCEROS_INFO[#All],2,FALSE)</f>
        <v>30</v>
      </c>
      <c r="D828" s="30">
        <f>+SUMIFS(PROVEEDORES[Total],PROVEEDORES[PROVEEDOR],PROVEEDORES[[#This Row],[PROVEEDOR]],PROVEEDORES[FECHA DE PAGO],"")</f>
        <v>0</v>
      </c>
      <c r="E828" s="30"/>
      <c r="F828" s="73">
        <f>+VLOOKUP(PROVEEDORES[[#This Row],[PROVEEDOR]],TERCEROS_INFO[[PROVEEDOR]:[CORREO]],5,FALSE)</f>
        <v>0</v>
      </c>
      <c r="G828" s="111">
        <v>44477</v>
      </c>
      <c r="H828" s="31" t="s">
        <v>1104</v>
      </c>
      <c r="I828" s="111">
        <v>44470</v>
      </c>
      <c r="J828" s="48" t="s">
        <v>840</v>
      </c>
      <c r="K828" s="26">
        <v>200000</v>
      </c>
      <c r="L828" s="26"/>
      <c r="M828" s="27">
        <v>0</v>
      </c>
      <c r="N828" s="28"/>
      <c r="O828" s="27">
        <v>0</v>
      </c>
      <c r="P828" s="28">
        <v>0</v>
      </c>
      <c r="Q828" s="27">
        <v>0</v>
      </c>
      <c r="R828" s="26">
        <v>200000</v>
      </c>
      <c r="S828" s="115">
        <f ca="1">IF(PROVEEDORES[[#This Row],[FECHA DE PAGO]]=0,TODAY()-PROVEEDORES[[#This Row],[FECHA DE FACTURACIÓN]]-PROVEEDORES[[#This Row],[PLAZO Días]],0)</f>
        <v>0</v>
      </c>
      <c r="T82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29" spans="1:20" ht="21.9" customHeight="1" x14ac:dyDescent="0.3">
      <c r="A829" s="113" t="str">
        <f>+IF(PROVEEDORES[[#This Row],[FECHA DE PAGO]]=PROVEEDORES[[#This Row],[FECHA DE FACTURACIÓN]],"DE CONTADO","CRÉDITO")</f>
        <v>CRÉDITO</v>
      </c>
      <c r="B829" s="51" t="b">
        <f>+IF((PROVEEDORES[[#This Row],[FECHA DE PAGO]]-PROVEEDORES[[#This Row],[FECHA DE FACTURACIÓN]])&gt;PROVEEDORES[[#This Row],[PLAZO Días]],"PAGO VENCIDO")</f>
        <v>0</v>
      </c>
      <c r="C829" s="25">
        <f>+VLOOKUP(PROVEEDORES[[#This Row],[PROVEEDOR]],TERCEROS_INFO[#All],2,FALSE)</f>
        <v>30</v>
      </c>
      <c r="D829" s="30">
        <f>+SUMIFS(PROVEEDORES[Total],PROVEEDORES[PROVEEDOR],PROVEEDORES[[#This Row],[PROVEEDOR]],PROVEEDORES[FECHA DE PAGO],"")</f>
        <v>248736.18000000002</v>
      </c>
      <c r="E829" s="30"/>
      <c r="F829" s="73" t="str">
        <f>+VLOOKUP(PROVEEDORES[[#This Row],[PROVEEDOR]],TERCEROS_INFO[[PROVEEDOR]:[CORREO]],5,FALSE)</f>
        <v>administracion@sapian.com.co;girlesa.ruiz@servipilas.com;joriescobar64@gmail.com</v>
      </c>
      <c r="G829" s="111">
        <v>44496</v>
      </c>
      <c r="H829" s="31" t="s">
        <v>346</v>
      </c>
      <c r="I829" s="111">
        <v>44470</v>
      </c>
      <c r="J829" s="48" t="s">
        <v>565</v>
      </c>
      <c r="K829" s="26">
        <v>203897</v>
      </c>
      <c r="L829" s="26"/>
      <c r="M829" s="27">
        <v>38740.43</v>
      </c>
      <c r="N829" s="28"/>
      <c r="O829" s="27">
        <v>0</v>
      </c>
      <c r="P829" s="28">
        <v>3.5000000000000003E-2</v>
      </c>
      <c r="Q829" s="27">
        <v>7136.3950000000004</v>
      </c>
      <c r="R829" s="26">
        <v>235501.035</v>
      </c>
      <c r="S829" s="115">
        <f ca="1">IF(PROVEEDORES[[#This Row],[FECHA DE PAGO]]=0,TODAY()-PROVEEDORES[[#This Row],[FECHA DE FACTURACIÓN]]-PROVEEDORES[[#This Row],[PLAZO Días]],0)</f>
        <v>0</v>
      </c>
      <c r="T82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0" spans="1:20" ht="21.9" customHeight="1" x14ac:dyDescent="0.3">
      <c r="A830" s="113" t="str">
        <f>+IF(PROVEEDORES[[#This Row],[FECHA DE PAGO]]=PROVEEDORES[[#This Row],[FECHA DE FACTURACIÓN]],"DE CONTADO","CRÉDITO")</f>
        <v>CRÉDITO</v>
      </c>
      <c r="B830" s="51" t="str">
        <f>+IF((PROVEEDORES[[#This Row],[FECHA DE PAGO]]-PROVEEDORES[[#This Row],[FECHA DE FACTURACIÓN]])&gt;PROVEEDORES[[#This Row],[PLAZO Días]],"PAGO VENCIDO")</f>
        <v>PAGO VENCIDO</v>
      </c>
      <c r="C830" s="25">
        <f>+VLOOKUP(PROVEEDORES[[#This Row],[PROVEEDOR]],TERCEROS_INFO[#All],2,FALSE)</f>
        <v>30</v>
      </c>
      <c r="D830" s="30">
        <f>+SUMIFS(PROVEEDORES[Total],PROVEEDORES[PROVEEDOR],PROVEEDORES[[#This Row],[PROVEEDOR]],PROVEEDORES[FECHA DE PAGO],"")</f>
        <v>1856492</v>
      </c>
      <c r="E830" s="30"/>
      <c r="F830" s="73" t="str">
        <f>+VLOOKUP(PROVEEDORES[[#This Row],[PROVEEDOR]],TERCEROS_INFO[[PROVEEDOR]:[CORREO]],5,FALSE)</f>
        <v>PSE</v>
      </c>
      <c r="G830" s="111">
        <v>44554</v>
      </c>
      <c r="H830" s="31" t="s">
        <v>337</v>
      </c>
      <c r="I830" s="111">
        <v>44470</v>
      </c>
      <c r="J830" s="48" t="s">
        <v>322</v>
      </c>
      <c r="K830" s="26">
        <v>256261</v>
      </c>
      <c r="L830" s="26"/>
      <c r="M830" s="27">
        <v>0</v>
      </c>
      <c r="N830" s="28"/>
      <c r="O830" s="27">
        <v>0</v>
      </c>
      <c r="P830" s="28">
        <v>0</v>
      </c>
      <c r="Q830" s="27">
        <v>0</v>
      </c>
      <c r="R830" s="26">
        <v>256261</v>
      </c>
      <c r="S830" s="115">
        <f ca="1">IF(PROVEEDORES[[#This Row],[FECHA DE PAGO]]=0,TODAY()-PROVEEDORES[[#This Row],[FECHA DE FACTURACIÓN]]-PROVEEDORES[[#This Row],[PLAZO Días]],0)</f>
        <v>0</v>
      </c>
      <c r="T83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1" spans="1:20" ht="21.9" customHeight="1" x14ac:dyDescent="0.3">
      <c r="A831" s="113" t="str">
        <f>+IF(PROVEEDORES[[#This Row],[FECHA DE PAGO]]=PROVEEDORES[[#This Row],[FECHA DE FACTURACIÓN]],"DE CONTADO","CRÉDITO")</f>
        <v>CRÉDITO</v>
      </c>
      <c r="B831" s="51" t="b">
        <f>+IF((PROVEEDORES[[#This Row],[FECHA DE PAGO]]-PROVEEDORES[[#This Row],[FECHA DE FACTURACIÓN]])&gt;PROVEEDORES[[#This Row],[PLAZO Días]],"PAGO VENCIDO")</f>
        <v>0</v>
      </c>
      <c r="C831" s="25">
        <f>+VLOOKUP(PROVEEDORES[[#This Row],[PROVEEDOR]],TERCEROS_INFO[#All],2,FALSE)</f>
        <v>30</v>
      </c>
      <c r="D831" s="30">
        <f>+SUMIFS(PROVEEDORES[Total],PROVEEDORES[PROVEEDOR],PROVEEDORES[[#This Row],[PROVEEDOR]],PROVEEDORES[FECHA DE PAGO],"")</f>
        <v>0</v>
      </c>
      <c r="E831" s="30"/>
      <c r="F831" s="73" t="str">
        <f>+VLOOKUP(PROVEEDORES[[#This Row],[PROVEEDOR]],TERCEROS_INFO[[PROVEEDOR]:[CORREO]],5,FALSE)</f>
        <v>facturacion@losmolinos.com.co</v>
      </c>
      <c r="G831" s="111">
        <v>44483</v>
      </c>
      <c r="H831" s="31" t="s">
        <v>345</v>
      </c>
      <c r="I831" s="111">
        <v>44470</v>
      </c>
      <c r="J831" s="48">
        <v>64608</v>
      </c>
      <c r="K831" s="26">
        <v>302624.74</v>
      </c>
      <c r="L831" s="26"/>
      <c r="M831" s="27">
        <v>0</v>
      </c>
      <c r="N831" s="28"/>
      <c r="O831" s="27">
        <v>54722.770000000004</v>
      </c>
      <c r="P831" s="28">
        <v>0</v>
      </c>
      <c r="Q831" s="27">
        <v>0</v>
      </c>
      <c r="R831" s="26">
        <v>247901.96999999997</v>
      </c>
      <c r="S831" s="115">
        <f ca="1">IF(PROVEEDORES[[#This Row],[FECHA DE PAGO]]=0,TODAY()-PROVEEDORES[[#This Row],[FECHA DE FACTURACIÓN]]-PROVEEDORES[[#This Row],[PLAZO Días]],0)</f>
        <v>0</v>
      </c>
      <c r="T8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2" spans="1:20" ht="21.9" customHeight="1" x14ac:dyDescent="0.3">
      <c r="A832" s="113" t="str">
        <f>+IF(PROVEEDORES[[#This Row],[FECHA DE PAGO]]=PROVEEDORES[[#This Row],[FECHA DE FACTURACIÓN]],"DE CONTADO","CRÉDITO")</f>
        <v>CRÉDITO</v>
      </c>
      <c r="B832" s="51" t="b">
        <f>+IF((PROVEEDORES[[#This Row],[FECHA DE PAGO]]-PROVEEDORES[[#This Row],[FECHA DE FACTURACIÓN]])&gt;PROVEEDORES[[#This Row],[PLAZO Días]],"PAGO VENCIDO")</f>
        <v>0</v>
      </c>
      <c r="C832" s="25">
        <f>+VLOOKUP(PROVEEDORES[[#This Row],[PROVEEDOR]],TERCEROS_INFO[#All],2,FALSE)</f>
        <v>13</v>
      </c>
      <c r="D832" s="30">
        <f>+SUMIFS(PROVEEDORES[Total],PROVEEDORES[PROVEEDOR],PROVEEDORES[[#This Row],[PROVEEDOR]],PROVEEDORES[FECHA DE PAGO],"")</f>
        <v>0</v>
      </c>
      <c r="E832" s="30"/>
      <c r="F832" s="73">
        <f>+VLOOKUP(PROVEEDORES[[#This Row],[PROVEEDOR]],TERCEROS_INFO[[PROVEEDOR]:[CORREO]],5,FALSE)</f>
        <v>0</v>
      </c>
      <c r="G832" s="111">
        <v>44483</v>
      </c>
      <c r="H832" s="31" t="s">
        <v>329</v>
      </c>
      <c r="I832" s="111">
        <v>44470</v>
      </c>
      <c r="J832" s="48" t="s">
        <v>331</v>
      </c>
      <c r="K832" s="26">
        <v>313385</v>
      </c>
      <c r="L832" s="26"/>
      <c r="M832" s="27">
        <v>0</v>
      </c>
      <c r="N832" s="28"/>
      <c r="O832" s="27">
        <v>0</v>
      </c>
      <c r="P832" s="28">
        <v>0</v>
      </c>
      <c r="Q832" s="27">
        <v>0</v>
      </c>
      <c r="R832" s="26">
        <v>313385</v>
      </c>
      <c r="S832" s="115">
        <f ca="1">IF(PROVEEDORES[[#This Row],[FECHA DE PAGO]]=0,TODAY()-PROVEEDORES[[#This Row],[FECHA DE FACTURACIÓN]]-PROVEEDORES[[#This Row],[PLAZO Días]],0)</f>
        <v>0</v>
      </c>
      <c r="T8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3" spans="1:20" ht="21.9" customHeight="1" x14ac:dyDescent="0.3">
      <c r="A833" s="113" t="str">
        <f>+IF(PROVEEDORES[[#This Row],[FECHA DE PAGO]]=PROVEEDORES[[#This Row],[FECHA DE FACTURACIÓN]],"DE CONTADO","CRÉDITO")</f>
        <v>CRÉDITO</v>
      </c>
      <c r="B833" s="51" t="b">
        <f>+IF((PROVEEDORES[[#This Row],[FECHA DE PAGO]]-PROVEEDORES[[#This Row],[FECHA DE FACTURACIÓN]])&gt;PROVEEDORES[[#This Row],[PLAZO Días]],"PAGO VENCIDO")</f>
        <v>0</v>
      </c>
      <c r="C833" s="25">
        <f>+VLOOKUP(PROVEEDORES[[#This Row],[PROVEEDOR]],TERCEROS_INFO[#All],2,FALSE)</f>
        <v>20</v>
      </c>
      <c r="D833" s="30">
        <f>+SUMIFS(PROVEEDORES[Total],PROVEEDORES[PROVEEDOR],PROVEEDORES[[#This Row],[PROVEEDOR]],PROVEEDORES[FECHA DE PAGO],"")</f>
        <v>0</v>
      </c>
      <c r="E833" s="30"/>
      <c r="F833" s="73" t="str">
        <f>+VLOOKUP(PROVEEDORES[[#This Row],[PROVEEDOR]],TERCEROS_INFO[[PROVEEDOR]:[CORREO]],5,FALSE)</f>
        <v>pse</v>
      </c>
      <c r="G833" s="111">
        <v>44484</v>
      </c>
      <c r="H833" s="31" t="s">
        <v>373</v>
      </c>
      <c r="I833" s="111">
        <v>44470</v>
      </c>
      <c r="J833" s="48"/>
      <c r="K833" s="26">
        <v>329148</v>
      </c>
      <c r="L833" s="26"/>
      <c r="M833" s="27">
        <v>0</v>
      </c>
      <c r="N833" s="28"/>
      <c r="O833" s="27">
        <v>0</v>
      </c>
      <c r="P833" s="28">
        <v>0</v>
      </c>
      <c r="Q833" s="27">
        <v>0</v>
      </c>
      <c r="R833" s="26">
        <v>329148</v>
      </c>
      <c r="S833" s="115">
        <f ca="1">IF(PROVEEDORES[[#This Row],[FECHA DE PAGO]]=0,TODAY()-PROVEEDORES[[#This Row],[FECHA DE FACTURACIÓN]]-PROVEEDORES[[#This Row],[PLAZO Días]],0)</f>
        <v>0</v>
      </c>
      <c r="T8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4" spans="1:20" ht="21.9" customHeight="1" x14ac:dyDescent="0.3">
      <c r="A834" s="113" t="str">
        <f>+IF(PROVEEDORES[[#This Row],[FECHA DE PAGO]]=PROVEEDORES[[#This Row],[FECHA DE FACTURACIÓN]],"DE CONTADO","CRÉDITO")</f>
        <v>CRÉDITO</v>
      </c>
      <c r="B834" s="51" t="b">
        <f>+IF((PROVEEDORES[[#This Row],[FECHA DE PAGO]]-PROVEEDORES[[#This Row],[FECHA DE FACTURACIÓN]])&gt;PROVEEDORES[[#This Row],[PLAZO Días]],"PAGO VENCIDO")</f>
        <v>0</v>
      </c>
      <c r="C834" s="25">
        <f>+VLOOKUP(PROVEEDORES[[#This Row],[PROVEEDOR]],TERCEROS_INFO[#All],2,FALSE)</f>
        <v>30</v>
      </c>
      <c r="D834" s="30">
        <f>+SUMIFS(PROVEEDORES[Total],PROVEEDORES[PROVEEDOR],PROVEEDORES[[#This Row],[PROVEEDOR]],PROVEEDORES[FECHA DE PAGO],"")</f>
        <v>4862586.33</v>
      </c>
      <c r="E834" s="30"/>
      <c r="F834" s="73" t="str">
        <f>+VLOOKUP(PROVEEDORES[[#This Row],[PROVEEDOR]],TERCEROS_INFO[[PROVEEDOR]:[CORREO]],5,FALSE)</f>
        <v>cartera@conbienes.com;girlesa.ruiz@servipilas.com;joriescobar64@gmail.com</v>
      </c>
      <c r="G834" s="111">
        <v>44496</v>
      </c>
      <c r="H834" s="31" t="s">
        <v>348</v>
      </c>
      <c r="I834" s="111">
        <v>44470</v>
      </c>
      <c r="J834" s="48" t="s">
        <v>588</v>
      </c>
      <c r="K834" s="26">
        <v>716544</v>
      </c>
      <c r="L834" s="26"/>
      <c r="M834" s="27">
        <v>136143.36000000002</v>
      </c>
      <c r="N834" s="28"/>
      <c r="O834" s="27">
        <v>0</v>
      </c>
      <c r="P834" s="28">
        <v>0</v>
      </c>
      <c r="Q834" s="27">
        <v>0</v>
      </c>
      <c r="R834" s="26">
        <v>852687.35999999999</v>
      </c>
      <c r="S834" s="115">
        <f ca="1">IF(PROVEEDORES[[#This Row],[FECHA DE PAGO]]=0,TODAY()-PROVEEDORES[[#This Row],[FECHA DE FACTURACIÓN]]-PROVEEDORES[[#This Row],[PLAZO Días]],0)</f>
        <v>0</v>
      </c>
      <c r="T8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5" spans="1:20" ht="21.9" customHeight="1" x14ac:dyDescent="0.3">
      <c r="A835" s="113" t="str">
        <f>+IF(PROVEEDORES[[#This Row],[FECHA DE PAGO]]=PROVEEDORES[[#This Row],[FECHA DE FACTURACIÓN]],"DE CONTADO","CRÉDITO")</f>
        <v>CRÉDITO</v>
      </c>
      <c r="B835" s="51" t="b">
        <f>+IF((PROVEEDORES[[#This Row],[FECHA DE PAGO]]-PROVEEDORES[[#This Row],[FECHA DE FACTURACIÓN]])&gt;PROVEEDORES[[#This Row],[PLAZO Días]],"PAGO VENCIDO")</f>
        <v>0</v>
      </c>
      <c r="C835" s="25">
        <f>+VLOOKUP(PROVEEDORES[[#This Row],[PROVEEDOR]],TERCEROS_INFO[#All],2,FALSE)</f>
        <v>30</v>
      </c>
      <c r="D835" s="30">
        <f>+SUMIFS(PROVEEDORES[Total],PROVEEDORES[PROVEEDOR],PROVEEDORES[[#This Row],[PROVEEDOR]],PROVEEDORES[FECHA DE PAGO],"")</f>
        <v>0</v>
      </c>
      <c r="E835" s="30"/>
      <c r="F835" s="73" t="str">
        <f>+VLOOKUP(PROVEEDORES[[#This Row],[PROVEEDOR]],TERCEROS_INFO[[PROVEEDOR]:[CORREO]],5,FALSE)</f>
        <v>PSE</v>
      </c>
      <c r="G835" s="111">
        <v>44484</v>
      </c>
      <c r="H835" s="31" t="s">
        <v>353</v>
      </c>
      <c r="I835" s="111">
        <v>44470</v>
      </c>
      <c r="J835" s="48" t="s">
        <v>354</v>
      </c>
      <c r="K835" s="26">
        <v>727051</v>
      </c>
      <c r="L835" s="26"/>
      <c r="M835" s="27">
        <v>0</v>
      </c>
      <c r="N835" s="28"/>
      <c r="O835" s="27">
        <v>0</v>
      </c>
      <c r="P835" s="28">
        <v>0</v>
      </c>
      <c r="Q835" s="27">
        <v>0</v>
      </c>
      <c r="R835" s="26">
        <v>727051</v>
      </c>
      <c r="S835" s="115">
        <f ca="1">IF(PROVEEDORES[[#This Row],[FECHA DE PAGO]]=0,TODAY()-PROVEEDORES[[#This Row],[FECHA DE FACTURACIÓN]]-PROVEEDORES[[#This Row],[PLAZO Días]],0)</f>
        <v>0</v>
      </c>
      <c r="T8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6" spans="1:20" ht="21.9" customHeight="1" x14ac:dyDescent="0.3">
      <c r="A836" s="113" t="str">
        <f>+IF(PROVEEDORES[[#This Row],[FECHA DE PAGO]]=PROVEEDORES[[#This Row],[FECHA DE FACTURACIÓN]],"DE CONTADO","CRÉDITO")</f>
        <v>CRÉDITO</v>
      </c>
      <c r="B836" s="51" t="b">
        <f>+IF((PROVEEDORES[[#This Row],[FECHA DE PAGO]]-PROVEEDORES[[#This Row],[FECHA DE FACTURACIÓN]])&gt;PROVEEDORES[[#This Row],[PLAZO Días]],"PAGO VENCIDO")</f>
        <v>0</v>
      </c>
      <c r="C836" s="25">
        <f>+VLOOKUP(PROVEEDORES[[#This Row],[PROVEEDOR]],TERCEROS_INFO[#All],2,FALSE)</f>
        <v>30</v>
      </c>
      <c r="D836" s="30">
        <f>+SUMIFS(PROVEEDORES[Total],PROVEEDORES[PROVEEDOR],PROVEEDORES[[#This Row],[PROVEEDOR]],PROVEEDORES[FECHA DE PAGO],"")</f>
        <v>0</v>
      </c>
      <c r="E836" s="30"/>
      <c r="F836" s="73" t="str">
        <f>+VLOOKUP(PROVEEDORES[[#This Row],[PROVEEDOR]],TERCEROS_INFO[[PROVEEDOR]:[CORREO]],5,FALSE)</f>
        <v>PSE</v>
      </c>
      <c r="G836" s="111">
        <v>44484</v>
      </c>
      <c r="H836" s="31" t="s">
        <v>353</v>
      </c>
      <c r="I836" s="111">
        <v>44470</v>
      </c>
      <c r="J836" s="48" t="s">
        <v>355</v>
      </c>
      <c r="K836" s="26">
        <v>743959</v>
      </c>
      <c r="L836" s="26"/>
      <c r="M836" s="27">
        <v>0</v>
      </c>
      <c r="N836" s="28"/>
      <c r="O836" s="27">
        <v>0</v>
      </c>
      <c r="P836" s="28">
        <v>0</v>
      </c>
      <c r="Q836" s="27">
        <v>0</v>
      </c>
      <c r="R836" s="26">
        <v>743959</v>
      </c>
      <c r="S836" s="115">
        <f ca="1">IF(PROVEEDORES[[#This Row],[FECHA DE PAGO]]=0,TODAY()-PROVEEDORES[[#This Row],[FECHA DE FACTURACIÓN]]-PROVEEDORES[[#This Row],[PLAZO Días]],0)</f>
        <v>0</v>
      </c>
      <c r="T8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7" spans="1:20" ht="21.9" customHeight="1" x14ac:dyDescent="0.3">
      <c r="A837" s="113" t="str">
        <f>+IF(PROVEEDORES[[#This Row],[FECHA DE PAGO]]=PROVEEDORES[[#This Row],[FECHA DE FACTURACIÓN]],"DE CONTADO","CRÉDITO")</f>
        <v>CRÉDITO</v>
      </c>
      <c r="B837" s="51" t="b">
        <f>+IF((PROVEEDORES[[#This Row],[FECHA DE PAGO]]-PROVEEDORES[[#This Row],[FECHA DE FACTURACIÓN]])&gt;PROVEEDORES[[#This Row],[PLAZO Días]],"PAGO VENCIDO")</f>
        <v>0</v>
      </c>
      <c r="C837" s="25">
        <f>+VLOOKUP(PROVEEDORES[[#This Row],[PROVEEDOR]],TERCEROS_INFO[#All],2,FALSE)</f>
        <v>20</v>
      </c>
      <c r="D837" s="30">
        <f>+SUMIFS(PROVEEDORES[Total],PROVEEDORES[PROVEEDOR],PROVEEDORES[[#This Row],[PROVEEDOR]],PROVEEDORES[FECHA DE PAGO],"")</f>
        <v>0</v>
      </c>
      <c r="E837" s="30"/>
      <c r="F837" s="73" t="str">
        <f>+VLOOKUP(PROVEEDORES[[#This Row],[PROVEEDOR]],TERCEROS_INFO[[PROVEEDOR]:[CORREO]],5,FALSE)</f>
        <v>pse</v>
      </c>
      <c r="G837" s="111">
        <v>44484</v>
      </c>
      <c r="H837" s="31" t="s">
        <v>374</v>
      </c>
      <c r="I837" s="111">
        <v>44470</v>
      </c>
      <c r="J837" s="48"/>
      <c r="K837" s="26">
        <v>871998</v>
      </c>
      <c r="L837" s="26"/>
      <c r="M837" s="27">
        <v>0</v>
      </c>
      <c r="N837" s="28"/>
      <c r="O837" s="27">
        <v>0</v>
      </c>
      <c r="P837" s="28">
        <v>0</v>
      </c>
      <c r="Q837" s="27">
        <v>0</v>
      </c>
      <c r="R837" s="26">
        <v>871998</v>
      </c>
      <c r="S837" s="115">
        <f ca="1">IF(PROVEEDORES[[#This Row],[FECHA DE PAGO]]=0,TODAY()-PROVEEDORES[[#This Row],[FECHA DE FACTURACIÓN]]-PROVEEDORES[[#This Row],[PLAZO Días]],0)</f>
        <v>0</v>
      </c>
      <c r="T8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8" spans="1:20" ht="21.9" customHeight="1" x14ac:dyDescent="0.3">
      <c r="A838" s="113" t="str">
        <f>+IF(PROVEEDORES[[#This Row],[FECHA DE PAGO]]=PROVEEDORES[[#This Row],[FECHA DE FACTURACIÓN]],"DE CONTADO","CRÉDITO")</f>
        <v>DE CONTADO</v>
      </c>
      <c r="B838" s="51" t="b">
        <f>+IF((PROVEEDORES[[#This Row],[FECHA DE PAGO]]-PROVEEDORES[[#This Row],[FECHA DE FACTURACIÓN]])&gt;PROVEEDORES[[#This Row],[PLAZO Días]],"PAGO VENCIDO")</f>
        <v>0</v>
      </c>
      <c r="C838" s="25">
        <f>+VLOOKUP(PROVEEDORES[[#This Row],[PROVEEDOR]],TERCEROS_INFO[#All],2,FALSE)</f>
        <v>30</v>
      </c>
      <c r="D838" s="30">
        <f>+SUMIFS(PROVEEDORES[Total],PROVEEDORES[PROVEEDOR],PROVEEDORES[[#This Row],[PROVEEDOR]],PROVEEDORES[FECHA DE PAGO],"")</f>
        <v>0</v>
      </c>
      <c r="E838" s="30"/>
      <c r="F838" s="73">
        <f>+VLOOKUP(PROVEEDORES[[#This Row],[PROVEEDOR]],TERCEROS_INFO[[PROVEEDOR]:[CORREO]],5,FALSE)</f>
        <v>0</v>
      </c>
      <c r="G838" s="111">
        <v>44470</v>
      </c>
      <c r="H838" s="31" t="s">
        <v>1086</v>
      </c>
      <c r="I838" s="111">
        <v>44470</v>
      </c>
      <c r="J838" s="48" t="s">
        <v>839</v>
      </c>
      <c r="K838" s="26">
        <v>1170000</v>
      </c>
      <c r="L838" s="26"/>
      <c r="M838" s="27">
        <v>0</v>
      </c>
      <c r="N838" s="28"/>
      <c r="O838" s="27">
        <v>0</v>
      </c>
      <c r="P838" s="28">
        <v>0</v>
      </c>
      <c r="Q838" s="27">
        <v>0</v>
      </c>
      <c r="R838" s="26">
        <v>1170000</v>
      </c>
      <c r="S838" s="115">
        <f ca="1">IF(PROVEEDORES[[#This Row],[FECHA DE PAGO]]=0,TODAY()-PROVEEDORES[[#This Row],[FECHA DE FACTURACIÓN]]-PROVEEDORES[[#This Row],[PLAZO Días]],0)</f>
        <v>0</v>
      </c>
      <c r="T83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39" spans="1:20" ht="21.9" customHeight="1" x14ac:dyDescent="0.3">
      <c r="A839" s="113" t="str">
        <f>+IF(PROVEEDORES[[#This Row],[FECHA DE PAGO]]=PROVEEDORES[[#This Row],[FECHA DE FACTURACIÓN]],"DE CONTADO","CRÉDITO")</f>
        <v>CRÉDITO</v>
      </c>
      <c r="B839" s="51" t="str">
        <f>+IF((PROVEEDORES[[#This Row],[FECHA DE PAGO]]-PROVEEDORES[[#This Row],[FECHA DE FACTURACIÓN]])&gt;PROVEEDORES[[#This Row],[PLAZO Días]],"PAGO VENCIDO")</f>
        <v>PAGO VENCIDO</v>
      </c>
      <c r="C839" s="25">
        <f>+VLOOKUP(PROVEEDORES[[#This Row],[PROVEEDOR]],TERCEROS_INFO[#All],2,FALSE)</f>
        <v>30</v>
      </c>
      <c r="D839" s="30">
        <f>+SUMIFS(PROVEEDORES[Total],PROVEEDORES[PROVEEDOR],PROVEEDORES[[#This Row],[PROVEEDOR]],PROVEEDORES[FECHA DE PAGO],"")</f>
        <v>1856492</v>
      </c>
      <c r="E839" s="30"/>
      <c r="F839" s="73" t="str">
        <f>+VLOOKUP(PROVEEDORES[[#This Row],[PROVEEDOR]],TERCEROS_INFO[[PROVEEDOR]:[CORREO]],5,FALSE)</f>
        <v>PSE</v>
      </c>
      <c r="G839" s="111">
        <v>44554</v>
      </c>
      <c r="H839" s="31" t="s">
        <v>337</v>
      </c>
      <c r="I839" s="111">
        <v>44470</v>
      </c>
      <c r="J839" s="48" t="s">
        <v>321</v>
      </c>
      <c r="K839" s="26">
        <v>1545030</v>
      </c>
      <c r="L839" s="26"/>
      <c r="M839" s="27">
        <v>0</v>
      </c>
      <c r="N839" s="28"/>
      <c r="O839" s="27">
        <v>0</v>
      </c>
      <c r="P839" s="28">
        <v>0</v>
      </c>
      <c r="Q839" s="27">
        <v>0</v>
      </c>
      <c r="R839" s="26">
        <v>1545030</v>
      </c>
      <c r="S839" s="115">
        <f ca="1">IF(PROVEEDORES[[#This Row],[FECHA DE PAGO]]=0,TODAY()-PROVEEDORES[[#This Row],[FECHA DE FACTURACIÓN]]-PROVEEDORES[[#This Row],[PLAZO Días]],0)</f>
        <v>0</v>
      </c>
      <c r="T8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0" spans="1:20" ht="21.9" customHeight="1" x14ac:dyDescent="0.3">
      <c r="A840" s="113" t="str">
        <f>+IF(PROVEEDORES[[#This Row],[FECHA DE PAGO]]=PROVEEDORES[[#This Row],[FECHA DE FACTURACIÓN]],"DE CONTADO","CRÉDITO")</f>
        <v>CRÉDITO</v>
      </c>
      <c r="B840" s="51" t="b">
        <f>+IF((PROVEEDORES[[#This Row],[FECHA DE PAGO]]-PROVEEDORES[[#This Row],[FECHA DE FACTURACIÓN]])&gt;PROVEEDORES[[#This Row],[PLAZO Días]],"PAGO VENCIDO")</f>
        <v>0</v>
      </c>
      <c r="C840" s="25">
        <f>+VLOOKUP(PROVEEDORES[[#This Row],[PROVEEDOR]],TERCEROS_INFO[#All],2,FALSE)</f>
        <v>30</v>
      </c>
      <c r="D840" s="30">
        <f>+SUMIFS(PROVEEDORES[Total],PROVEEDORES[PROVEEDOR],PROVEEDORES[[#This Row],[PROVEEDOR]],PROVEEDORES[FECHA DE PAGO],"")</f>
        <v>1296896</v>
      </c>
      <c r="E840" s="30"/>
      <c r="F840" s="73" t="str">
        <f>+VLOOKUP(PROVEEDORES[[#This Row],[PROVEEDOR]],TERCEROS_INFO[[PROVEEDOR]:[CORREO]],5,FALSE)</f>
        <v>tesoreria@lacentral.com.co;girlesa.ruiz@servipilas.com;joriescobar64@gmail.com</v>
      </c>
      <c r="G840" s="111">
        <v>44496</v>
      </c>
      <c r="H840" s="31" t="s">
        <v>335</v>
      </c>
      <c r="I840" s="111">
        <v>44470</v>
      </c>
      <c r="J840" s="48">
        <v>9120</v>
      </c>
      <c r="K840" s="26">
        <v>1547710</v>
      </c>
      <c r="L840" s="26"/>
      <c r="M840" s="27">
        <v>0</v>
      </c>
      <c r="N840" s="28"/>
      <c r="O840" s="27">
        <v>75639</v>
      </c>
      <c r="P840" s="28">
        <v>0</v>
      </c>
      <c r="Q840" s="27">
        <v>0</v>
      </c>
      <c r="R840" s="26">
        <v>1472071</v>
      </c>
      <c r="S840" s="115">
        <f ca="1">IF(PROVEEDORES[[#This Row],[FECHA DE PAGO]]=0,TODAY()-PROVEEDORES[[#This Row],[FECHA DE FACTURACIÓN]]-PROVEEDORES[[#This Row],[PLAZO Días]],0)</f>
        <v>0</v>
      </c>
      <c r="T8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1" spans="1:20" ht="21.9" customHeight="1" x14ac:dyDescent="0.3">
      <c r="A841" s="113" t="str">
        <f>+IF(PROVEEDORES[[#This Row],[FECHA DE PAGO]]=PROVEEDORES[[#This Row],[FECHA DE FACTURACIÓN]],"DE CONTADO","CRÉDITO")</f>
        <v>CRÉDITO</v>
      </c>
      <c r="B841" s="51" t="str">
        <f>+IF((PROVEEDORES[[#This Row],[FECHA DE PAGO]]-PROVEEDORES[[#This Row],[FECHA DE FACTURACIÓN]])&gt;PROVEEDORES[[#This Row],[PLAZO Días]],"PAGO VENCIDO")</f>
        <v>PAGO VENCIDO</v>
      </c>
      <c r="C841" s="25">
        <f>+VLOOKUP(PROVEEDORES[[#This Row],[PROVEEDOR]],TERCEROS_INFO[#All],2,FALSE)</f>
        <v>30</v>
      </c>
      <c r="D841" s="30">
        <f>+SUMIFS(PROVEEDORES[Total],PROVEEDORES[PROVEEDOR],PROVEEDORES[[#This Row],[PROVEEDOR]],PROVEEDORES[FECHA DE PAGO],"")</f>
        <v>0</v>
      </c>
      <c r="E841" s="30"/>
      <c r="F841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841" s="111">
        <v>44519</v>
      </c>
      <c r="H841" s="31" t="s">
        <v>514</v>
      </c>
      <c r="I841" s="111">
        <v>44470</v>
      </c>
      <c r="J841" s="48" t="s">
        <v>547</v>
      </c>
      <c r="K841" s="26">
        <v>2433607</v>
      </c>
      <c r="L841" s="26"/>
      <c r="M841" s="27">
        <v>462385.33</v>
      </c>
      <c r="N841" s="28"/>
      <c r="O841" s="27">
        <v>0</v>
      </c>
      <c r="P841" s="28">
        <v>0</v>
      </c>
      <c r="Q841" s="27">
        <v>0</v>
      </c>
      <c r="R841" s="26">
        <v>2895992.33</v>
      </c>
      <c r="S841" s="115">
        <f ca="1">IF(PROVEEDORES[[#This Row],[FECHA DE PAGO]]=0,TODAY()-PROVEEDORES[[#This Row],[FECHA DE FACTURACIÓN]]-PROVEEDORES[[#This Row],[PLAZO Días]],0)</f>
        <v>0</v>
      </c>
      <c r="T8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2" spans="1:20" ht="21.9" customHeight="1" x14ac:dyDescent="0.3">
      <c r="A842" s="113" t="str">
        <f>+IF(PROVEEDORES[[#This Row],[FECHA DE PAGO]]=PROVEEDORES[[#This Row],[FECHA DE FACTURACIÓN]],"DE CONTADO","CRÉDITO")</f>
        <v>CRÉDITO</v>
      </c>
      <c r="B842" s="51" t="b">
        <f>+IF((PROVEEDORES[[#This Row],[FECHA DE PAGO]]-PROVEEDORES[[#This Row],[FECHA DE FACTURACIÓN]])&gt;PROVEEDORES[[#This Row],[PLAZO Días]],"PAGO VENCIDO")</f>
        <v>0</v>
      </c>
      <c r="C842" s="25">
        <f>+VLOOKUP(PROVEEDORES[[#This Row],[PROVEEDOR]],TERCEROS_INFO[#All],2,FALSE)</f>
        <v>30</v>
      </c>
      <c r="D842" s="30">
        <f>+SUMIFS(PROVEEDORES[Total],PROVEEDORES[PROVEEDOR],PROVEEDORES[[#This Row],[PROVEEDOR]],PROVEEDORES[FECHA DE PAGO],"")</f>
        <v>0</v>
      </c>
      <c r="E842" s="30"/>
      <c r="F842" s="73" t="str">
        <f>+VLOOKUP(PROVEEDORES[[#This Row],[PROVEEDOR]],TERCEROS_INFO[[PROVEEDOR]:[CORREO]],5,FALSE)</f>
        <v>propertymarketingsas@hotmail.com;girlesa.ruiz@servipilas.com;joriescobar64@gmail.com</v>
      </c>
      <c r="G842" s="111">
        <v>44496</v>
      </c>
      <c r="H842" s="31" t="s">
        <v>486</v>
      </c>
      <c r="I842" s="111">
        <v>44470</v>
      </c>
      <c r="J842" s="48" t="s">
        <v>843</v>
      </c>
      <c r="K842" s="26">
        <v>2789636</v>
      </c>
      <c r="L842" s="26"/>
      <c r="M842" s="27">
        <v>0</v>
      </c>
      <c r="N842" s="28"/>
      <c r="O842" s="27">
        <v>0</v>
      </c>
      <c r="P842" s="28">
        <v>3.5000000000000003E-2</v>
      </c>
      <c r="Q842" s="27">
        <v>97637.260000000009</v>
      </c>
      <c r="R842" s="26">
        <v>2691998.74</v>
      </c>
      <c r="S842" s="115">
        <f ca="1">IF(PROVEEDORES[[#This Row],[FECHA DE PAGO]]=0,TODAY()-PROVEEDORES[[#This Row],[FECHA DE FACTURACIÓN]]-PROVEEDORES[[#This Row],[PLAZO Días]],0)</f>
        <v>0</v>
      </c>
      <c r="T8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3" spans="1:20" ht="21.9" customHeight="1" x14ac:dyDescent="0.3">
      <c r="A843" s="113" t="str">
        <f>+IF(PROVEEDORES[[#This Row],[FECHA DE PAGO]]=PROVEEDORES[[#This Row],[FECHA DE FACTURACIÓN]],"DE CONTADO","CRÉDITO")</f>
        <v>CRÉDITO</v>
      </c>
      <c r="B843" s="51" t="b">
        <f>+IF((PROVEEDORES[[#This Row],[FECHA DE PAGO]]-PROVEEDORES[[#This Row],[FECHA DE FACTURACIÓN]])&gt;PROVEEDORES[[#This Row],[PLAZO Días]],"PAGO VENCIDO")</f>
        <v>0</v>
      </c>
      <c r="C843" s="25">
        <f>+VLOOKUP(PROVEEDORES[[#This Row],[PROVEEDOR]],TERCEROS_INFO[#All],2,FALSE)</f>
        <v>30</v>
      </c>
      <c r="D843" s="30">
        <f>+SUMIFS(PROVEEDORES[Total],PROVEEDORES[PROVEEDOR],PROVEEDORES[[#This Row],[PROVEEDOR]],PROVEEDORES[FECHA DE PAGO],"")</f>
        <v>4862586.33</v>
      </c>
      <c r="E843" s="30"/>
      <c r="F843" s="73" t="str">
        <f>+VLOOKUP(PROVEEDORES[[#This Row],[PROVEEDOR]],TERCEROS_INFO[[PROVEEDOR]:[CORREO]],5,FALSE)</f>
        <v>cartera@conbienes.com;girlesa.ruiz@servipilas.com;joriescobar64@gmail.com</v>
      </c>
      <c r="G843" s="111">
        <v>44496</v>
      </c>
      <c r="H843" s="31" t="s">
        <v>348</v>
      </c>
      <c r="I843" s="111">
        <v>44470</v>
      </c>
      <c r="J843" s="48" t="s">
        <v>589</v>
      </c>
      <c r="K843" s="26">
        <v>3061166</v>
      </c>
      <c r="L843" s="26"/>
      <c r="M843" s="27">
        <v>581621.54</v>
      </c>
      <c r="N843" s="28"/>
      <c r="O843" s="27">
        <v>0</v>
      </c>
      <c r="P843" s="28">
        <v>0</v>
      </c>
      <c r="Q843" s="27">
        <v>0</v>
      </c>
      <c r="R843" s="26">
        <v>3642787.54</v>
      </c>
      <c r="S843" s="115">
        <f ca="1">IF(PROVEEDORES[[#This Row],[FECHA DE PAGO]]=0,TODAY()-PROVEEDORES[[#This Row],[FECHA DE FACTURACIÓN]]-PROVEEDORES[[#This Row],[PLAZO Días]],0)</f>
        <v>0</v>
      </c>
      <c r="T8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4" spans="1:20" ht="21.9" customHeight="1" x14ac:dyDescent="0.3">
      <c r="A844" s="113" t="str">
        <f>+IF(PROVEEDORES[[#This Row],[FECHA DE PAGO]]=PROVEEDORES[[#This Row],[FECHA DE FACTURACIÓN]],"DE CONTADO","CRÉDITO")</f>
        <v>CRÉDITO</v>
      </c>
      <c r="B844" s="51" t="b">
        <f>+IF((PROVEEDORES[[#This Row],[FECHA DE PAGO]]-PROVEEDORES[[#This Row],[FECHA DE FACTURACIÓN]])&gt;PROVEEDORES[[#This Row],[PLAZO Días]],"PAGO VENCIDO")</f>
        <v>0</v>
      </c>
      <c r="C844" s="25">
        <f>+VLOOKUP(PROVEEDORES[[#This Row],[PROVEEDOR]],TERCEROS_INFO[#All],2,FALSE)</f>
        <v>30</v>
      </c>
      <c r="D844" s="30">
        <f>+SUMIFS(PROVEEDORES[Total],PROVEEDORES[PROVEEDOR],PROVEEDORES[[#This Row],[PROVEEDOR]],PROVEEDORES[FECHA DE PAGO],"")</f>
        <v>0</v>
      </c>
      <c r="E844" s="30"/>
      <c r="F844" s="73" t="str">
        <f>+VLOOKUP(PROVEEDORES[[#This Row],[PROVEEDOR]],TERCEROS_INFO[[PROVEEDOR]:[CORREO]],5,FALSE)</f>
        <v>girlesa.ruiz@servipilas.com;joriescobar64@gmail.com</v>
      </c>
      <c r="G844" s="111">
        <v>44496</v>
      </c>
      <c r="H844" s="31" t="s">
        <v>339</v>
      </c>
      <c r="I844" s="111">
        <v>44470</v>
      </c>
      <c r="J844" s="48" t="s">
        <v>933</v>
      </c>
      <c r="K844" s="26">
        <v>3124305</v>
      </c>
      <c r="L844" s="26"/>
      <c r="M844" s="27">
        <v>0</v>
      </c>
      <c r="N844" s="28"/>
      <c r="O844" s="27">
        <v>0</v>
      </c>
      <c r="P844" s="28">
        <v>3.5000000000000003E-2</v>
      </c>
      <c r="Q844" s="27">
        <v>109350.67500000002</v>
      </c>
      <c r="R844" s="26">
        <v>3014954.3250000002</v>
      </c>
      <c r="S844" s="115">
        <f ca="1">IF(PROVEEDORES[[#This Row],[FECHA DE PAGO]]=0,TODAY()-PROVEEDORES[[#This Row],[FECHA DE FACTURACIÓN]]-PROVEEDORES[[#This Row],[PLAZO Días]],0)</f>
        <v>0</v>
      </c>
      <c r="T84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5" spans="1:20" ht="21.9" customHeight="1" x14ac:dyDescent="0.3">
      <c r="A845" s="113" t="str">
        <f>+IF(PROVEEDORES[[#This Row],[FECHA DE PAGO]]=PROVEEDORES[[#This Row],[FECHA DE FACTURACIÓN]],"DE CONTADO","CRÉDITO")</f>
        <v>CRÉDITO</v>
      </c>
      <c r="B845" s="51" t="b">
        <f>+IF((PROVEEDORES[[#This Row],[FECHA DE PAGO]]-PROVEEDORES[[#This Row],[FECHA DE FACTURACIÓN]])&gt;PROVEEDORES[[#This Row],[PLAZO Días]],"PAGO VENCIDO")</f>
        <v>0</v>
      </c>
      <c r="C845" s="25">
        <f>+VLOOKUP(PROVEEDORES[[#This Row],[PROVEEDOR]],TERCEROS_INFO[#All],2,FALSE)</f>
        <v>30</v>
      </c>
      <c r="D845" s="30">
        <f>+SUMIFS(PROVEEDORES[Total],PROVEEDORES[PROVEEDOR],PROVEEDORES[[#This Row],[PROVEEDOR]],PROVEEDORES[FECHA DE PAGO],"")</f>
        <v>5060410.5999999996</v>
      </c>
      <c r="E845" s="30"/>
      <c r="F845" s="73" t="str">
        <f>+VLOOKUP(PROVEEDORES[[#This Row],[PROVEEDOR]],TERCEROS_INFO[[PROVEEDOR]:[CORREO]],5,FALSE)</f>
        <v>CBastidas@vyp.com.co;girlesa.ruiz@servipilas.com;joriescobar64@gmail.com</v>
      </c>
      <c r="G845" s="111">
        <v>44496</v>
      </c>
      <c r="H845" s="31" t="s">
        <v>347</v>
      </c>
      <c r="I845" s="111">
        <v>44470</v>
      </c>
      <c r="J845" s="48">
        <v>40617</v>
      </c>
      <c r="K845" s="26">
        <v>4430000</v>
      </c>
      <c r="L845" s="26"/>
      <c r="M845" s="27">
        <v>841700</v>
      </c>
      <c r="N845" s="28"/>
      <c r="O845" s="27">
        <v>0</v>
      </c>
      <c r="P845" s="28">
        <v>3.5000000000000003E-2</v>
      </c>
      <c r="Q845" s="27">
        <v>155050.00000000003</v>
      </c>
      <c r="R845" s="26">
        <v>5116650</v>
      </c>
      <c r="S845" s="115">
        <f ca="1">IF(PROVEEDORES[[#This Row],[FECHA DE PAGO]]=0,TODAY()-PROVEEDORES[[#This Row],[FECHA DE FACTURACIÓN]]-PROVEEDORES[[#This Row],[PLAZO Días]],0)</f>
        <v>0</v>
      </c>
      <c r="T8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6" spans="1:20" ht="21.9" customHeight="1" x14ac:dyDescent="0.3">
      <c r="A846" s="113" t="str">
        <f>+IF(PROVEEDORES[[#This Row],[FECHA DE PAGO]]=PROVEEDORES[[#This Row],[FECHA DE FACTURACIÓN]],"DE CONTADO","CRÉDITO")</f>
        <v>CRÉDITO</v>
      </c>
      <c r="B846" s="51" t="str">
        <f>+IF((PROVEEDORES[[#This Row],[FECHA DE PAGO]]-PROVEEDORES[[#This Row],[FECHA DE FACTURACIÓN]])&gt;PROVEEDORES[[#This Row],[PLAZO Días]],"PAGO VENCIDO")</f>
        <v>PAGO VENCIDO</v>
      </c>
      <c r="C846" s="25">
        <f>+VLOOKUP(PROVEEDORES[[#This Row],[PROVEEDOR]],TERCEROS_INFO[#All],2,FALSE)</f>
        <v>30</v>
      </c>
      <c r="D846" s="30">
        <f>+SUMIFS(PROVEEDORES[Total],PROVEEDORES[PROVEEDOR],PROVEEDORES[[#This Row],[PROVEEDOR]],PROVEEDORES[FECHA DE PAGO],"")</f>
        <v>-30345</v>
      </c>
      <c r="E846" s="30"/>
      <c r="F846" s="73" t="str">
        <f>+VLOOKUP(PROVEEDORES[[#This Row],[PROVEEDOR]],TERCEROS_INFO[[PROVEEDOR]:[CORREO]],5,FALSE)</f>
        <v>ventasmegamundo@yahoo.es;girlesa.ruiz@servipilas.com;joriescobar64@gmail.com</v>
      </c>
      <c r="G846" s="111">
        <v>44523</v>
      </c>
      <c r="H846" s="31" t="s">
        <v>1146</v>
      </c>
      <c r="I846" s="111">
        <v>44471</v>
      </c>
      <c r="J846" s="48" t="s">
        <v>540</v>
      </c>
      <c r="K846" s="26">
        <v>56302.52</v>
      </c>
      <c r="L846" s="26"/>
      <c r="M846" s="27">
        <v>10697.478799999999</v>
      </c>
      <c r="N846" s="28"/>
      <c r="O846" s="27">
        <v>0</v>
      </c>
      <c r="P846" s="28">
        <v>2.5000000000000001E-2</v>
      </c>
      <c r="Q846" s="27">
        <v>1407.5630000000001</v>
      </c>
      <c r="R846" s="26">
        <v>65592.435800000007</v>
      </c>
      <c r="S846" s="115">
        <f ca="1">IF(PROVEEDORES[[#This Row],[FECHA DE PAGO]]=0,TODAY()-PROVEEDORES[[#This Row],[FECHA DE FACTURACIÓN]]-PROVEEDORES[[#This Row],[PLAZO Días]],0)</f>
        <v>0</v>
      </c>
      <c r="T84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7" spans="1:20" ht="21.9" customHeight="1" x14ac:dyDescent="0.3">
      <c r="A847" s="113" t="str">
        <f>+IF(PROVEEDORES[[#This Row],[FECHA DE PAGO]]=PROVEEDORES[[#This Row],[FECHA DE FACTURACIÓN]],"DE CONTADO","CRÉDITO")</f>
        <v>CRÉDITO</v>
      </c>
      <c r="B847" s="51" t="str">
        <f>+IF((PROVEEDORES[[#This Row],[FECHA DE PAGO]]-PROVEEDORES[[#This Row],[FECHA DE FACTURACIÓN]])&gt;PROVEEDORES[[#This Row],[PLAZO Días]],"PAGO VENCIDO")</f>
        <v>PAGO VENCIDO</v>
      </c>
      <c r="C847" s="25">
        <f>+VLOOKUP(PROVEEDORES[[#This Row],[PROVEEDOR]],TERCEROS_INFO[#All],2,FALSE)</f>
        <v>30</v>
      </c>
      <c r="D847" s="30">
        <f>+SUMIFS(PROVEEDORES[Total],PROVEEDORES[PROVEEDOR],PROVEEDORES[[#This Row],[PROVEEDOR]],PROVEEDORES[FECHA DE PAGO],"")</f>
        <v>1451823</v>
      </c>
      <c r="E847" s="30"/>
      <c r="F847" s="73" t="str">
        <f>+VLOOKUP(PROVEEDORES[[#This Row],[PROVEEDOR]],TERCEROS_INFO[[PROVEEDOR]:[CORREO]],5,FALSE)</f>
        <v>cartera@ienewline.com;andres.arroyave@ienewline.com;girlesa.ruiz@servipilas.com;joriescobar64@gmail.com</v>
      </c>
      <c r="G847" s="111">
        <v>44510</v>
      </c>
      <c r="H847" s="31" t="s">
        <v>1131</v>
      </c>
      <c r="I847" s="111">
        <v>44471</v>
      </c>
      <c r="J847" s="48">
        <v>22921</v>
      </c>
      <c r="K847" s="26">
        <v>3732000</v>
      </c>
      <c r="L847" s="26"/>
      <c r="M847" s="27">
        <v>709080</v>
      </c>
      <c r="N847" s="28"/>
      <c r="O847" s="27">
        <v>0</v>
      </c>
      <c r="P847" s="28">
        <v>2.5000000000000001E-2</v>
      </c>
      <c r="Q847" s="27">
        <v>93300</v>
      </c>
      <c r="R847" s="26">
        <v>4347780</v>
      </c>
      <c r="S847" s="115">
        <f ca="1">IF(PROVEEDORES[[#This Row],[FECHA DE PAGO]]=0,TODAY()-PROVEEDORES[[#This Row],[FECHA DE FACTURACIÓN]]-PROVEEDORES[[#This Row],[PLAZO Días]],0)</f>
        <v>0</v>
      </c>
      <c r="T84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8" spans="1:20" ht="21.9" customHeight="1" x14ac:dyDescent="0.3">
      <c r="A848" s="113" t="str">
        <f>+IF(PROVEEDORES[[#This Row],[FECHA DE PAGO]]=PROVEEDORES[[#This Row],[FECHA DE FACTURACIÓN]],"DE CONTADO","CRÉDITO")</f>
        <v>CRÉDITO</v>
      </c>
      <c r="B848" s="51" t="b">
        <f>+IF((PROVEEDORES[[#This Row],[FECHA DE PAGO]]-PROVEEDORES[[#This Row],[FECHA DE FACTURACIÓN]])&gt;PROVEEDORES[[#This Row],[PLAZO Días]],"PAGO VENCIDO")</f>
        <v>0</v>
      </c>
      <c r="C848" s="25">
        <f>+VLOOKUP(PROVEEDORES[[#This Row],[PROVEEDOR]],TERCEROS_INFO[#All],2,FALSE)</f>
        <v>30</v>
      </c>
      <c r="D848" s="30">
        <f>+SUMIFS(PROVEEDORES[Total],PROVEEDORES[PROVEEDOR],PROVEEDORES[[#This Row],[PROVEEDOR]],PROVEEDORES[FECHA DE PAGO],"")</f>
        <v>0</v>
      </c>
      <c r="E848" s="30"/>
      <c r="F848" s="73" t="str">
        <f>+VLOOKUP(PROVEEDORES[[#This Row],[PROVEEDOR]],TERCEROS_INFO[[PROVEEDOR]:[CORREO]],5,FALSE)</f>
        <v>gerencia@som-tec.com</v>
      </c>
      <c r="G848" s="111">
        <v>44483</v>
      </c>
      <c r="H848" s="31" t="s">
        <v>1032</v>
      </c>
      <c r="I848" s="111">
        <v>44473</v>
      </c>
      <c r="J848" s="48" t="s">
        <v>844</v>
      </c>
      <c r="K848" s="26">
        <v>325000</v>
      </c>
      <c r="L848" s="26"/>
      <c r="M848" s="27">
        <v>0</v>
      </c>
      <c r="N848" s="28"/>
      <c r="O848" s="27">
        <v>0</v>
      </c>
      <c r="P848" s="28">
        <v>0</v>
      </c>
      <c r="Q848" s="27">
        <v>0</v>
      </c>
      <c r="R848" s="26">
        <v>-144891</v>
      </c>
      <c r="S848" s="115">
        <f ca="1">IF(PROVEEDORES[[#This Row],[FECHA DE PAGO]]=0,TODAY()-PROVEEDORES[[#This Row],[FECHA DE FACTURACIÓN]]-PROVEEDORES[[#This Row],[PLAZO Días]],0)</f>
        <v>0</v>
      </c>
      <c r="T8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49" spans="1:20" ht="21.9" customHeight="1" x14ac:dyDescent="0.3">
      <c r="A849" s="113" t="str">
        <f>+IF(PROVEEDORES[[#This Row],[FECHA DE PAGO]]=PROVEEDORES[[#This Row],[FECHA DE FACTURACIÓN]],"DE CONTADO","CRÉDITO")</f>
        <v>CRÉDITO</v>
      </c>
      <c r="B849" s="51" t="b">
        <f>+IF((PROVEEDORES[[#This Row],[FECHA DE PAGO]]-PROVEEDORES[[#This Row],[FECHA DE FACTURACIÓN]])&gt;PROVEEDORES[[#This Row],[PLAZO Días]],"PAGO VENCIDO")</f>
        <v>0</v>
      </c>
      <c r="C849" s="25">
        <f>+VLOOKUP(PROVEEDORES[[#This Row],[PROVEEDOR]],TERCEROS_INFO[#All],2,FALSE)</f>
        <v>30</v>
      </c>
      <c r="D849" s="30">
        <f>+SUMIFS(PROVEEDORES[Total],PROVEEDORES[PROVEEDOR],PROVEEDORES[[#This Row],[PROVEEDOR]],PROVEEDORES[FECHA DE PAGO],"")</f>
        <v>0</v>
      </c>
      <c r="E849" s="30"/>
      <c r="F849" s="73" t="str">
        <f>+VLOOKUP(PROVEEDORES[[#This Row],[PROVEEDOR]],TERCEROS_INFO[[PROVEEDOR]:[CORREO]],5,FALSE)</f>
        <v>pse</v>
      </c>
      <c r="G849" s="111">
        <v>44484</v>
      </c>
      <c r="H849" s="31" t="s">
        <v>541</v>
      </c>
      <c r="I849" s="111">
        <v>44473</v>
      </c>
      <c r="J849" s="48" t="s">
        <v>845</v>
      </c>
      <c r="K849" s="26">
        <v>1869843</v>
      </c>
      <c r="L849" s="26"/>
      <c r="M849" s="27">
        <v>355270.17</v>
      </c>
      <c r="N849" s="28"/>
      <c r="O849" s="27">
        <v>0</v>
      </c>
      <c r="P849" s="28">
        <v>0</v>
      </c>
      <c r="Q849" s="27">
        <v>0</v>
      </c>
      <c r="R849" s="26">
        <v>2225113.17</v>
      </c>
      <c r="S849" s="115">
        <f ca="1">IF(PROVEEDORES[[#This Row],[FECHA DE PAGO]]=0,TODAY()-PROVEEDORES[[#This Row],[FECHA DE FACTURACIÓN]]-PROVEEDORES[[#This Row],[PLAZO Días]],0)</f>
        <v>0</v>
      </c>
      <c r="T84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0" spans="1:20" ht="21.9" customHeight="1" x14ac:dyDescent="0.3">
      <c r="A850" s="113" t="str">
        <f>+IF(PROVEEDORES[[#This Row],[FECHA DE PAGO]]=PROVEEDORES[[#This Row],[FECHA DE FACTURACIÓN]],"DE CONTADO","CRÉDITO")</f>
        <v>CRÉDITO</v>
      </c>
      <c r="B850" s="51" t="str">
        <f>+IF((PROVEEDORES[[#This Row],[FECHA DE PAGO]]-PROVEEDORES[[#This Row],[FECHA DE FACTURACIÓN]])&gt;PROVEEDORES[[#This Row],[PLAZO Días]],"PAGO VENCIDO")</f>
        <v>PAGO VENCIDO</v>
      </c>
      <c r="C850" s="25">
        <f>+VLOOKUP(PROVEEDORES[[#This Row],[PROVEEDOR]],TERCEROS_INFO[#All],2,FALSE)</f>
        <v>30</v>
      </c>
      <c r="D850" s="30">
        <f>+SUMIFS(PROVEEDORES[Total],PROVEEDORES[PROVEEDOR],PROVEEDORES[[#This Row],[PROVEEDOR]],PROVEEDORES[FECHA DE PAGO],"")</f>
        <v>1119790</v>
      </c>
      <c r="E850" s="30"/>
      <c r="F850" s="73" t="str">
        <f>+VLOOKUP(PROVEEDORES[[#This Row],[PROVEEDOR]],TERCEROS_INFO[[PROVEEDOR]:[CORREO]],5,FALSE)</f>
        <v>MVALENCIA@mps.com.co;girlesa.ruiz@servipilas.com;joriescobar64@gmail.com</v>
      </c>
      <c r="G850" s="111">
        <v>44510</v>
      </c>
      <c r="H850" s="31" t="s">
        <v>17</v>
      </c>
      <c r="I850" s="111">
        <v>44474</v>
      </c>
      <c r="J850" s="48">
        <v>1823038</v>
      </c>
      <c r="K850" s="26">
        <v>501900</v>
      </c>
      <c r="L850" s="26"/>
      <c r="M850" s="27">
        <v>95361</v>
      </c>
      <c r="N850" s="28"/>
      <c r="O850" s="27">
        <v>0</v>
      </c>
      <c r="P850" s="28">
        <v>0</v>
      </c>
      <c r="Q850" s="27">
        <v>0</v>
      </c>
      <c r="R850" s="26">
        <v>597261</v>
      </c>
      <c r="S850" s="115">
        <f ca="1">IF(PROVEEDORES[[#This Row],[FECHA DE PAGO]]=0,TODAY()-PROVEEDORES[[#This Row],[FECHA DE FACTURACIÓN]]-PROVEEDORES[[#This Row],[PLAZO Días]],0)</f>
        <v>0</v>
      </c>
      <c r="T85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1" spans="1:20" ht="21.9" customHeight="1" x14ac:dyDescent="0.3">
      <c r="A851" s="113" t="str">
        <f>+IF(PROVEEDORES[[#This Row],[FECHA DE PAGO]]=PROVEEDORES[[#This Row],[FECHA DE FACTURACIÓN]],"DE CONTADO","CRÉDITO")</f>
        <v>CRÉDITO</v>
      </c>
      <c r="B851" s="51" t="str">
        <f>+IF((PROVEEDORES[[#This Row],[FECHA DE PAGO]]-PROVEEDORES[[#This Row],[FECHA DE FACTURACIÓN]])&gt;PROVEEDORES[[#This Row],[PLAZO Días]],"PAGO VENCIDO")</f>
        <v>PAGO VENCIDO</v>
      </c>
      <c r="C851" s="25">
        <f>+VLOOKUP(PROVEEDORES[[#This Row],[PROVEEDOR]],TERCEROS_INFO[#All],2,FALSE)</f>
        <v>30</v>
      </c>
      <c r="D851" s="30">
        <f>+SUMIFS(PROVEEDORES[Total],PROVEEDORES[PROVEEDOR],PROVEEDORES[[#This Row],[PROVEEDOR]],PROVEEDORES[FECHA DE PAGO],"")</f>
        <v>1119790</v>
      </c>
      <c r="E851" s="30"/>
      <c r="F851" s="73" t="str">
        <f>+VLOOKUP(PROVEEDORES[[#This Row],[PROVEEDOR]],TERCEROS_INFO[[PROVEEDOR]:[CORREO]],5,FALSE)</f>
        <v>MVALENCIA@mps.com.co;girlesa.ruiz@servipilas.com;joriescobar64@gmail.com</v>
      </c>
      <c r="G851" s="111">
        <v>44510</v>
      </c>
      <c r="H851" s="31" t="s">
        <v>17</v>
      </c>
      <c r="I851" s="111">
        <v>44474</v>
      </c>
      <c r="J851" s="48">
        <v>1822901</v>
      </c>
      <c r="K851" s="26">
        <v>521600</v>
      </c>
      <c r="L851" s="26"/>
      <c r="M851" s="27">
        <v>99104</v>
      </c>
      <c r="N851" s="28"/>
      <c r="O851" s="27">
        <v>0</v>
      </c>
      <c r="P851" s="28">
        <v>0</v>
      </c>
      <c r="Q851" s="27">
        <v>0</v>
      </c>
      <c r="R851" s="26">
        <v>620704</v>
      </c>
      <c r="S851" s="115">
        <f ca="1">IF(PROVEEDORES[[#This Row],[FECHA DE PAGO]]=0,TODAY()-PROVEEDORES[[#This Row],[FECHA DE FACTURACIÓN]]-PROVEEDORES[[#This Row],[PLAZO Días]],0)</f>
        <v>0</v>
      </c>
      <c r="T85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2" spans="1:20" ht="21.9" customHeight="1" x14ac:dyDescent="0.3">
      <c r="A852" s="113" t="str">
        <f>+IF(PROVEEDORES[[#This Row],[FECHA DE PAGO]]=PROVEEDORES[[#This Row],[FECHA DE FACTURACIÓN]],"DE CONTADO","CRÉDITO")</f>
        <v>CRÉDITO</v>
      </c>
      <c r="B852" s="51" t="str">
        <f>+IF((PROVEEDORES[[#This Row],[FECHA DE PAGO]]-PROVEEDORES[[#This Row],[FECHA DE FACTURACIÓN]])&gt;PROVEEDORES[[#This Row],[PLAZO Días]],"PAGO VENCIDO")</f>
        <v>PAGO VENCIDO</v>
      </c>
      <c r="C852" s="25">
        <f>+VLOOKUP(PROVEEDORES[[#This Row],[PROVEEDOR]],TERCEROS_INFO[#All],2,FALSE)</f>
        <v>30</v>
      </c>
      <c r="D852" s="30">
        <f>+SUMIFS(PROVEEDORES[Total],PROVEEDORES[PROVEEDOR],PROVEEDORES[[#This Row],[PROVEEDOR]],PROVEEDORES[FECHA DE PAGO],"")</f>
        <v>3406</v>
      </c>
      <c r="E852" s="30"/>
      <c r="F852" s="73" t="str">
        <f>+VLOOKUP(PROVEEDORES[[#This Row],[PROVEEDOR]],TERCEROS_INFO[[PROVEEDOR]:[CORREO]],5,FALSE)</f>
        <v>ventas@ismartsas.com;girlesa.ruiz@servipilas.com;joriescobar64@gmail.com</v>
      </c>
      <c r="G852" s="111">
        <v>44533</v>
      </c>
      <c r="H852" s="31" t="s">
        <v>48</v>
      </c>
      <c r="I852" s="111">
        <v>44474</v>
      </c>
      <c r="J852" s="48">
        <v>32109</v>
      </c>
      <c r="K852" s="26">
        <v>1524544</v>
      </c>
      <c r="L852" s="26"/>
      <c r="M852" s="27">
        <v>289663.35999999999</v>
      </c>
      <c r="N852" s="28"/>
      <c r="O852" s="27">
        <v>0</v>
      </c>
      <c r="P852" s="28">
        <v>2.5000000000000001E-2</v>
      </c>
      <c r="Q852" s="27">
        <v>38113.599999999999</v>
      </c>
      <c r="R852" s="26">
        <v>1776093.7599999998</v>
      </c>
      <c r="S852" s="115">
        <f ca="1">IF(PROVEEDORES[[#This Row],[FECHA DE PAGO]]=0,TODAY()-PROVEEDORES[[#This Row],[FECHA DE FACTURACIÓN]]-PROVEEDORES[[#This Row],[PLAZO Días]],0)</f>
        <v>0</v>
      </c>
      <c r="T8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3" spans="1:20" ht="21.9" customHeight="1" x14ac:dyDescent="0.3">
      <c r="A853" s="113" t="str">
        <f>+IF(PROVEEDORES[[#This Row],[FECHA DE PAGO]]=PROVEEDORES[[#This Row],[FECHA DE FACTURACIÓN]],"DE CONTADO","CRÉDITO")</f>
        <v>CRÉDITO</v>
      </c>
      <c r="B853" s="51" t="str">
        <f>+IF((PROVEEDORES[[#This Row],[FECHA DE PAGO]]-PROVEEDORES[[#This Row],[FECHA DE FACTURACIÓN]])&gt;PROVEEDORES[[#This Row],[PLAZO Días]],"PAGO VENCIDO")</f>
        <v>PAGO VENCIDO</v>
      </c>
      <c r="C853" s="25">
        <f>+VLOOKUP(PROVEEDORES[[#This Row],[PROVEEDOR]],TERCEROS_INFO[#All],2,FALSE)</f>
        <v>30</v>
      </c>
      <c r="D853" s="30">
        <f>+SUMIFS(PROVEEDORES[Total],PROVEEDORES[PROVEEDOR],PROVEEDORES[[#This Row],[PROVEEDOR]],PROVEEDORES[FECHA DE PAGO],"")</f>
        <v>0</v>
      </c>
      <c r="E853" s="30"/>
      <c r="F853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853" s="111">
        <v>44510</v>
      </c>
      <c r="H853" s="31" t="s">
        <v>572</v>
      </c>
      <c r="I853" s="111">
        <v>44474</v>
      </c>
      <c r="J853" s="48" t="s">
        <v>546</v>
      </c>
      <c r="K853" s="26">
        <v>2312400</v>
      </c>
      <c r="L853" s="26"/>
      <c r="M853" s="27">
        <v>439356</v>
      </c>
      <c r="N853" s="28"/>
      <c r="O853" s="27">
        <v>0</v>
      </c>
      <c r="P853" s="28">
        <v>0</v>
      </c>
      <c r="Q853" s="27">
        <v>0</v>
      </c>
      <c r="R853" s="26">
        <v>2751756</v>
      </c>
      <c r="S853" s="115">
        <f ca="1">IF(PROVEEDORES[[#This Row],[FECHA DE PAGO]]=0,TODAY()-PROVEEDORES[[#This Row],[FECHA DE FACTURACIÓN]]-PROVEEDORES[[#This Row],[PLAZO Días]],0)</f>
        <v>0</v>
      </c>
      <c r="T85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4" spans="1:20" ht="21.9" customHeight="1" x14ac:dyDescent="0.3">
      <c r="A854" s="113" t="str">
        <f>+IF(PROVEEDORES[[#This Row],[FECHA DE PAGO]]=PROVEEDORES[[#This Row],[FECHA DE FACTURACIÓN]],"DE CONTADO","CRÉDITO")</f>
        <v>CRÉDITO</v>
      </c>
      <c r="B854" s="51" t="str">
        <f>+IF((PROVEEDORES[[#This Row],[FECHA DE PAGO]]-PROVEEDORES[[#This Row],[FECHA DE FACTURACIÓN]])&gt;PROVEEDORES[[#This Row],[PLAZO Días]],"PAGO VENCIDO")</f>
        <v>PAGO VENCIDO</v>
      </c>
      <c r="C854" s="25">
        <f>+VLOOKUP(PROVEEDORES[[#This Row],[PROVEEDOR]],TERCEROS_INFO[#All],2,FALSE)</f>
        <v>30</v>
      </c>
      <c r="D854" s="30">
        <f>+SUMIFS(PROVEEDORES[Total],PROVEEDORES[PROVEEDOR],PROVEEDORES[[#This Row],[PROVEEDOR]],PROVEEDORES[FECHA DE PAGO],"")</f>
        <v>0</v>
      </c>
      <c r="E854" s="30"/>
      <c r="F854" s="73" t="str">
        <f>+VLOOKUP(PROVEEDORES[[#This Row],[PROVEEDOR]],TERCEROS_INFO[[PROVEEDOR]:[CORREO]],5,FALSE)</f>
        <v>juan.suarez@cosostenible.com;girlesa.ruiz@servipilas.com;joriescobar64@gmail.com</v>
      </c>
      <c r="G854" s="111">
        <v>44517</v>
      </c>
      <c r="H854" s="31" t="s">
        <v>50</v>
      </c>
      <c r="I854" s="111">
        <v>44474</v>
      </c>
      <c r="J854" s="48" t="s">
        <v>548</v>
      </c>
      <c r="K854" s="26">
        <v>2336134</v>
      </c>
      <c r="L854" s="26"/>
      <c r="M854" s="27">
        <v>443865.46</v>
      </c>
      <c r="N854" s="28"/>
      <c r="O854" s="27">
        <v>0</v>
      </c>
      <c r="P854" s="28">
        <v>2.5000000000000001E-2</v>
      </c>
      <c r="Q854" s="27">
        <v>58403.350000000006</v>
      </c>
      <c r="R854" s="26">
        <v>2721596.11</v>
      </c>
      <c r="S854" s="115">
        <f ca="1">IF(PROVEEDORES[[#This Row],[FECHA DE PAGO]]=0,TODAY()-PROVEEDORES[[#This Row],[FECHA DE FACTURACIÓN]]-PROVEEDORES[[#This Row],[PLAZO Días]],0)</f>
        <v>0</v>
      </c>
      <c r="T8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5" spans="1:20" ht="21.9" customHeight="1" x14ac:dyDescent="0.3">
      <c r="A855" s="113" t="str">
        <f>+IF(PROVEEDORES[[#This Row],[FECHA DE PAGO]]=PROVEEDORES[[#This Row],[FECHA DE FACTURACIÓN]],"DE CONTADO","CRÉDITO")</f>
        <v>CRÉDITO</v>
      </c>
      <c r="B855" s="51" t="str">
        <f>+IF((PROVEEDORES[[#This Row],[FECHA DE PAGO]]-PROVEEDORES[[#This Row],[FECHA DE FACTURACIÓN]])&gt;PROVEEDORES[[#This Row],[PLAZO Días]],"PAGO VENCIDO")</f>
        <v>PAGO VENCIDO</v>
      </c>
      <c r="C855" s="25">
        <f>+VLOOKUP(PROVEEDORES[[#This Row],[PROVEEDOR]],TERCEROS_INFO[#All],2,FALSE)</f>
        <v>30</v>
      </c>
      <c r="D855" s="30">
        <f>+SUMIFS(PROVEEDORES[Total],PROVEEDORES[PROVEEDOR],PROVEEDORES[[#This Row],[PROVEEDOR]],PROVEEDORES[FECHA DE PAGO],"")</f>
        <v>4078650.6</v>
      </c>
      <c r="E855" s="30"/>
      <c r="F855" s="73" t="str">
        <f>+VLOOKUP(PROVEEDORES[[#This Row],[PROVEEDOR]],TERCEROS_INFO[[PROVEEDOR]:[CORREO]],5,FALSE)</f>
        <v>financiera@nalpicentral.com;girlesa.ruiz@servipilas.com;joriescobar64@gmail.com</v>
      </c>
      <c r="G855" s="111">
        <v>44537</v>
      </c>
      <c r="H855" s="31" t="s">
        <v>1095</v>
      </c>
      <c r="I855" s="111">
        <v>44475</v>
      </c>
      <c r="J855" s="48">
        <v>22816</v>
      </c>
      <c r="K855" s="26">
        <v>870000</v>
      </c>
      <c r="L855" s="26"/>
      <c r="M855" s="27">
        <v>165300</v>
      </c>
      <c r="N855" s="28"/>
      <c r="O855" s="27">
        <v>0</v>
      </c>
      <c r="P855" s="28">
        <v>0</v>
      </c>
      <c r="Q855" s="27">
        <v>0</v>
      </c>
      <c r="R855" s="26">
        <v>1035300</v>
      </c>
      <c r="S855" s="115">
        <f ca="1">IF(PROVEEDORES[[#This Row],[FECHA DE PAGO]]=0,TODAY()-PROVEEDORES[[#This Row],[FECHA DE FACTURACIÓN]]-PROVEEDORES[[#This Row],[PLAZO Días]],0)</f>
        <v>0</v>
      </c>
      <c r="T8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6" spans="1:20" ht="21.9" customHeight="1" x14ac:dyDescent="0.3">
      <c r="A856" s="113" t="str">
        <f>+IF(PROVEEDORES[[#This Row],[FECHA DE PAGO]]=PROVEEDORES[[#This Row],[FECHA DE FACTURACIÓN]],"DE CONTADO","CRÉDITO")</f>
        <v>CRÉDITO</v>
      </c>
      <c r="B856" s="51" t="str">
        <f>+IF((PROVEEDORES[[#This Row],[FECHA DE PAGO]]-PROVEEDORES[[#This Row],[FECHA DE FACTURACIÓN]])&gt;PROVEEDORES[[#This Row],[PLAZO Días]],"PAGO VENCIDO")</f>
        <v>PAGO VENCIDO</v>
      </c>
      <c r="C856" s="25">
        <f>+VLOOKUP(PROVEEDORES[[#This Row],[PROVEEDOR]],TERCEROS_INFO[#All],2,FALSE)</f>
        <v>30</v>
      </c>
      <c r="D856" s="30">
        <f>+SUMIFS(PROVEEDORES[Total],PROVEEDORES[PROVEEDOR],PROVEEDORES[[#This Row],[PROVEEDOR]],PROVEEDORES[FECHA DE PAGO],"")</f>
        <v>1119790</v>
      </c>
      <c r="E856" s="30"/>
      <c r="F856" s="73" t="str">
        <f>+VLOOKUP(PROVEEDORES[[#This Row],[PROVEEDOR]],TERCEROS_INFO[[PROVEEDOR]:[CORREO]],5,FALSE)</f>
        <v>MVALENCIA@mps.com.co;girlesa.ruiz@servipilas.com;joriescobar64@gmail.com</v>
      </c>
      <c r="G856" s="111">
        <v>44510</v>
      </c>
      <c r="H856" s="31" t="s">
        <v>17</v>
      </c>
      <c r="I856" s="111">
        <v>44475</v>
      </c>
      <c r="J856" s="48" t="s">
        <v>846</v>
      </c>
      <c r="K856" s="26">
        <v>1336624</v>
      </c>
      <c r="L856" s="26"/>
      <c r="M856" s="27">
        <v>0</v>
      </c>
      <c r="N856" s="28"/>
      <c r="O856" s="27">
        <v>0</v>
      </c>
      <c r="P856" s="28">
        <v>0</v>
      </c>
      <c r="Q856" s="27">
        <v>0</v>
      </c>
      <c r="R856" s="26">
        <v>1336624</v>
      </c>
      <c r="S856" s="115">
        <f ca="1">IF(PROVEEDORES[[#This Row],[FECHA DE PAGO]]=0,TODAY()-PROVEEDORES[[#This Row],[FECHA DE FACTURACIÓN]]-PROVEEDORES[[#This Row],[PLAZO Días]],0)</f>
        <v>0</v>
      </c>
      <c r="T85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7" spans="1:20" ht="21.9" customHeight="1" x14ac:dyDescent="0.3">
      <c r="A857" s="113" t="str">
        <f>+IF(PROVEEDORES[[#This Row],[FECHA DE PAGO]]=PROVEEDORES[[#This Row],[FECHA DE FACTURACIÓN]],"DE CONTADO","CRÉDITO")</f>
        <v>CRÉDITO</v>
      </c>
      <c r="B857" s="51" t="str">
        <f>+IF((PROVEEDORES[[#This Row],[FECHA DE PAGO]]-PROVEEDORES[[#This Row],[FECHA DE FACTURACIÓN]])&gt;PROVEEDORES[[#This Row],[PLAZO Días]],"PAGO VENCIDO")</f>
        <v>PAGO VENCIDO</v>
      </c>
      <c r="C857" s="25">
        <f>+VLOOKUP(PROVEEDORES[[#This Row],[PROVEEDOR]],TERCEROS_INFO[#All],2,FALSE)</f>
        <v>30</v>
      </c>
      <c r="D857" s="30">
        <f>+SUMIFS(PROVEEDORES[Total],PROVEEDORES[PROVEEDOR],PROVEEDORES[[#This Row],[PROVEEDOR]],PROVEEDORES[FECHA DE PAGO],"")</f>
        <v>1451823</v>
      </c>
      <c r="E857" s="30"/>
      <c r="F857" s="73" t="str">
        <f>+VLOOKUP(PROVEEDORES[[#This Row],[PROVEEDOR]],TERCEROS_INFO[[PROVEEDOR]:[CORREO]],5,FALSE)</f>
        <v>cartera@ienewline.com;andres.arroyave@ienewline.com;girlesa.ruiz@servipilas.com;joriescobar64@gmail.com</v>
      </c>
      <c r="G857" s="111">
        <v>44510</v>
      </c>
      <c r="H857" s="31" t="s">
        <v>1131</v>
      </c>
      <c r="I857" s="111">
        <v>44475</v>
      </c>
      <c r="J857" s="48">
        <v>23081</v>
      </c>
      <c r="K857" s="26">
        <v>1770000</v>
      </c>
      <c r="L857" s="26"/>
      <c r="M857" s="27">
        <v>336300</v>
      </c>
      <c r="N857" s="28"/>
      <c r="O857" s="27">
        <v>0</v>
      </c>
      <c r="P857" s="28">
        <v>2.5000000000000001E-2</v>
      </c>
      <c r="Q857" s="27">
        <v>44250</v>
      </c>
      <c r="R857" s="26">
        <v>2062050</v>
      </c>
      <c r="S857" s="115">
        <f ca="1">IF(PROVEEDORES[[#This Row],[FECHA DE PAGO]]=0,TODAY()-PROVEEDORES[[#This Row],[FECHA DE FACTURACIÓN]]-PROVEEDORES[[#This Row],[PLAZO Días]],0)</f>
        <v>0</v>
      </c>
      <c r="T85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8" spans="1:20" ht="21.9" customHeight="1" x14ac:dyDescent="0.3">
      <c r="A858" s="113" t="str">
        <f>+IF(PROVEEDORES[[#This Row],[FECHA DE PAGO]]=PROVEEDORES[[#This Row],[FECHA DE FACTURACIÓN]],"DE CONTADO","CRÉDITO")</f>
        <v>CRÉDITO</v>
      </c>
      <c r="B858" s="51" t="b">
        <f>+IF((PROVEEDORES[[#This Row],[FECHA DE PAGO]]-PROVEEDORES[[#This Row],[FECHA DE FACTURACIÓN]])&gt;PROVEEDORES[[#This Row],[PLAZO Días]],"PAGO VENCIDO")</f>
        <v>0</v>
      </c>
      <c r="C858" s="25">
        <f>+VLOOKUP(PROVEEDORES[[#This Row],[PROVEEDOR]],TERCEROS_INFO[#All],2,FALSE)</f>
        <v>10</v>
      </c>
      <c r="D858" s="30">
        <f>+SUMIFS(PROVEEDORES[Total],PROVEEDORES[PROVEEDOR],PROVEEDORES[[#This Row],[PROVEEDOR]],PROVEEDORES[FECHA DE PAGO],"")</f>
        <v>0</v>
      </c>
      <c r="E858" s="30"/>
      <c r="F858" s="73" t="str">
        <f>+VLOOKUP(PROVEEDORES[[#This Row],[PROVEEDOR]],TERCEROS_INFO[[PROVEEDOR]:[CORREO]],5,FALSE)</f>
        <v/>
      </c>
      <c r="G858" s="111">
        <v>44484</v>
      </c>
      <c r="H858" s="31" t="s">
        <v>23</v>
      </c>
      <c r="I858" s="111">
        <v>44475</v>
      </c>
      <c r="J858" s="48">
        <v>285759</v>
      </c>
      <c r="K858" s="26">
        <v>7167218</v>
      </c>
      <c r="L858" s="26"/>
      <c r="M858" s="27">
        <v>0</v>
      </c>
      <c r="N858" s="28"/>
      <c r="O858" s="27">
        <v>0</v>
      </c>
      <c r="P858" s="28">
        <v>0</v>
      </c>
      <c r="Q858" s="27">
        <v>0</v>
      </c>
      <c r="R858" s="26">
        <v>7167218</v>
      </c>
      <c r="S858" s="115">
        <f ca="1">IF(PROVEEDORES[[#This Row],[FECHA DE PAGO]]=0,TODAY()-PROVEEDORES[[#This Row],[FECHA DE FACTURACIÓN]]-PROVEEDORES[[#This Row],[PLAZO Días]],0)</f>
        <v>0</v>
      </c>
      <c r="T85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59" spans="1:20" ht="21.9" customHeight="1" x14ac:dyDescent="0.3">
      <c r="A859" s="113" t="str">
        <f>+IF(PROVEEDORES[[#This Row],[FECHA DE PAGO]]=PROVEEDORES[[#This Row],[FECHA DE FACTURACIÓN]],"DE CONTADO","CRÉDITO")</f>
        <v>CRÉDITO</v>
      </c>
      <c r="B859" s="51" t="str">
        <f>+IF((PROVEEDORES[[#This Row],[FECHA DE PAGO]]-PROVEEDORES[[#This Row],[FECHA DE FACTURACIÓN]])&gt;PROVEEDORES[[#This Row],[PLAZO Días]],"PAGO VENCIDO")</f>
        <v>PAGO VENCIDO</v>
      </c>
      <c r="C859" s="25">
        <f>+VLOOKUP(PROVEEDORES[[#This Row],[PROVEEDOR]],TERCEROS_INFO[#All],2,FALSE)</f>
        <v>30</v>
      </c>
      <c r="D859" s="30">
        <f>+SUMIFS(PROVEEDORES[Total],PROVEEDORES[PROVEEDOR],PROVEEDORES[[#This Row],[PROVEEDOR]],PROVEEDORES[FECHA DE PAGO],"")</f>
        <v>3400186.8245000001</v>
      </c>
      <c r="E859" s="30"/>
      <c r="F859" s="73" t="str">
        <f>+VLOOKUP(PROVEEDORES[[#This Row],[PROVEEDOR]],TERCEROS_INFO[[PROVEEDOR]:[CORREO]],5,FALSE)</f>
        <v>contabilidad@amgimportadora.com;mcastellanos@amgimportadora.com;girlesa.ruiz@servipilas.com;joriescobar64@gmail.com</v>
      </c>
      <c r="G859" s="111">
        <v>44517</v>
      </c>
      <c r="H859" s="31" t="s">
        <v>20</v>
      </c>
      <c r="I859" s="111">
        <v>44476</v>
      </c>
      <c r="J859" s="48" t="s">
        <v>847</v>
      </c>
      <c r="K859" s="26">
        <v>-237267</v>
      </c>
      <c r="L859" s="26"/>
      <c r="M859" s="27">
        <v>0</v>
      </c>
      <c r="N859" s="28"/>
      <c r="O859" s="27">
        <v>0</v>
      </c>
      <c r="P859" s="28">
        <v>0</v>
      </c>
      <c r="Q859" s="27">
        <v>0</v>
      </c>
      <c r="R859" s="26">
        <v>-237267</v>
      </c>
      <c r="S859" s="115">
        <f ca="1">IF(PROVEEDORES[[#This Row],[FECHA DE PAGO]]=0,TODAY()-PROVEEDORES[[#This Row],[FECHA DE FACTURACIÓN]]-PROVEEDORES[[#This Row],[PLAZO Días]],0)</f>
        <v>0</v>
      </c>
      <c r="T8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0" spans="1:20" ht="21.9" customHeight="1" x14ac:dyDescent="0.3">
      <c r="A860" s="113" t="str">
        <f>+IF(PROVEEDORES[[#This Row],[FECHA DE PAGO]]=PROVEEDORES[[#This Row],[FECHA DE FACTURACIÓN]],"DE CONTADO","CRÉDITO")</f>
        <v>DE CONTADO</v>
      </c>
      <c r="B860" s="51" t="b">
        <f>+IF((PROVEEDORES[[#This Row],[FECHA DE PAGO]]-PROVEEDORES[[#This Row],[FECHA DE FACTURACIÓN]])&gt;PROVEEDORES[[#This Row],[PLAZO Días]],"PAGO VENCIDO")</f>
        <v>0</v>
      </c>
      <c r="C860" s="25">
        <f>+VLOOKUP(PROVEEDORES[[#This Row],[PROVEEDOR]],TERCEROS_INFO[#All],2,FALSE)</f>
        <v>30</v>
      </c>
      <c r="D860" s="30">
        <f>+SUMIFS(PROVEEDORES[Total],PROVEEDORES[PROVEEDOR],PROVEEDORES[[#This Row],[PROVEEDOR]],PROVEEDORES[FECHA DE PAGO],"")</f>
        <v>0</v>
      </c>
      <c r="E860" s="30"/>
      <c r="F860" s="73" t="str">
        <f>+VLOOKUP(PROVEEDORES[[#This Row],[PROVEEDOR]],TERCEROS_INFO[[PROVEEDOR]:[CORREO]],5,FALSE)</f>
        <v/>
      </c>
      <c r="G860" s="111">
        <v>44476</v>
      </c>
      <c r="H860" s="31" t="s">
        <v>1052</v>
      </c>
      <c r="I860" s="111">
        <v>44476</v>
      </c>
      <c r="J860" s="48"/>
      <c r="K860" s="26">
        <v>1000000</v>
      </c>
      <c r="L860" s="26"/>
      <c r="M860" s="27">
        <v>0</v>
      </c>
      <c r="N860" s="28"/>
      <c r="O860" s="27">
        <v>0</v>
      </c>
      <c r="P860" s="28">
        <v>0</v>
      </c>
      <c r="Q860" s="27">
        <v>0</v>
      </c>
      <c r="R860" s="26">
        <v>1000000</v>
      </c>
      <c r="S860" s="115">
        <f ca="1">IF(PROVEEDORES[[#This Row],[FECHA DE PAGO]]=0,TODAY()-PROVEEDORES[[#This Row],[FECHA DE FACTURACIÓN]]-PROVEEDORES[[#This Row],[PLAZO Días]],0)</f>
        <v>0</v>
      </c>
      <c r="T86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1" spans="1:20" ht="21.9" customHeight="1" x14ac:dyDescent="0.3">
      <c r="A861" s="113" t="str">
        <f>+IF(PROVEEDORES[[#This Row],[FECHA DE PAGO]]=PROVEEDORES[[#This Row],[FECHA DE FACTURACIÓN]],"DE CONTADO","CRÉDITO")</f>
        <v>CRÉDITO</v>
      </c>
      <c r="B861" s="51" t="str">
        <f>+IF((PROVEEDORES[[#This Row],[FECHA DE PAGO]]-PROVEEDORES[[#This Row],[FECHA DE FACTURACIÓN]])&gt;PROVEEDORES[[#This Row],[PLAZO Días]],"PAGO VENCIDO")</f>
        <v>PAGO VENCIDO</v>
      </c>
      <c r="C861" s="25">
        <f>+VLOOKUP(PROVEEDORES[[#This Row],[PROVEEDOR]],TERCEROS_INFO[#All],2,FALSE)</f>
        <v>10</v>
      </c>
      <c r="D861" s="30">
        <f>+SUMIFS(PROVEEDORES[Total],PROVEEDORES[PROVEEDOR],PROVEEDORES[[#This Row],[PROVEEDOR]],PROVEEDORES[FECHA DE PAGO],"")</f>
        <v>0</v>
      </c>
      <c r="E861" s="30"/>
      <c r="F861" s="73" t="str">
        <f>+VLOOKUP(PROVEEDORES[[#This Row],[PROVEEDOR]],TERCEROS_INFO[[PROVEEDOR]:[CORREO]],5,FALSE)</f>
        <v/>
      </c>
      <c r="G861" s="111">
        <v>44487</v>
      </c>
      <c r="H861" s="31" t="s">
        <v>23</v>
      </c>
      <c r="I861" s="111">
        <v>44476</v>
      </c>
      <c r="J861" s="48">
        <v>285851</v>
      </c>
      <c r="K861" s="26">
        <v>18021500</v>
      </c>
      <c r="L861" s="26"/>
      <c r="M861" s="27">
        <v>0</v>
      </c>
      <c r="N861" s="28"/>
      <c r="O861" s="27">
        <v>0</v>
      </c>
      <c r="P861" s="28">
        <v>0</v>
      </c>
      <c r="Q861" s="27">
        <v>0</v>
      </c>
      <c r="R861" s="26">
        <v>18021500</v>
      </c>
      <c r="S861" s="115">
        <f ca="1">IF(PROVEEDORES[[#This Row],[FECHA DE PAGO]]=0,TODAY()-PROVEEDORES[[#This Row],[FECHA DE FACTURACIÓN]]-PROVEEDORES[[#This Row],[PLAZO Días]],0)</f>
        <v>0</v>
      </c>
      <c r="T86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2" spans="1:20" ht="21.9" customHeight="1" x14ac:dyDescent="0.3">
      <c r="A862" s="113" t="str">
        <f>+IF(PROVEEDORES[[#This Row],[FECHA DE PAGO]]=PROVEEDORES[[#This Row],[FECHA DE FACTURACIÓN]],"DE CONTADO","CRÉDITO")</f>
        <v>DE CONTADO</v>
      </c>
      <c r="B862" s="51" t="b">
        <f>+IF((PROVEEDORES[[#This Row],[FECHA DE PAGO]]-PROVEEDORES[[#This Row],[FECHA DE FACTURACIÓN]])&gt;PROVEEDORES[[#This Row],[PLAZO Días]],"PAGO VENCIDO")</f>
        <v>0</v>
      </c>
      <c r="C862" s="25">
        <f>+VLOOKUP(PROVEEDORES[[#This Row],[PROVEEDOR]],TERCEROS_INFO[#All],2,FALSE)</f>
        <v>30</v>
      </c>
      <c r="D862" s="30">
        <f>+SUMIFS(PROVEEDORES[Total],PROVEEDORES[PROVEEDOR],PROVEEDORES[[#This Row],[PROVEEDOR]],PROVEEDORES[FECHA DE PAGO],"")</f>
        <v>0</v>
      </c>
      <c r="E862" s="30"/>
      <c r="F862" s="73">
        <f>+VLOOKUP(PROVEEDORES[[#This Row],[PROVEEDOR]],TERCEROS_INFO[[PROVEEDOR]:[CORREO]],5,FALSE)</f>
        <v>0</v>
      </c>
      <c r="G862" s="111">
        <v>44477</v>
      </c>
      <c r="H862" s="31" t="s">
        <v>1086</v>
      </c>
      <c r="I862" s="111">
        <v>44477</v>
      </c>
      <c r="J862" s="48" t="s">
        <v>848</v>
      </c>
      <c r="K862" s="26">
        <v>468000</v>
      </c>
      <c r="L862" s="26"/>
      <c r="M862" s="27">
        <v>0</v>
      </c>
      <c r="N862" s="28"/>
      <c r="O862" s="27">
        <v>0</v>
      </c>
      <c r="P862" s="28">
        <v>0</v>
      </c>
      <c r="Q862" s="27">
        <v>0</v>
      </c>
      <c r="R862" s="26">
        <v>468000</v>
      </c>
      <c r="S862" s="115">
        <f ca="1">IF(PROVEEDORES[[#This Row],[FECHA DE PAGO]]=0,TODAY()-PROVEEDORES[[#This Row],[FECHA DE FACTURACIÓN]]-PROVEEDORES[[#This Row],[PLAZO Días]],0)</f>
        <v>0</v>
      </c>
      <c r="T8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3" spans="1:20" ht="21.9" customHeight="1" x14ac:dyDescent="0.3">
      <c r="A863" s="113" t="str">
        <f>+IF(PROVEEDORES[[#This Row],[FECHA DE PAGO]]=PROVEEDORES[[#This Row],[FECHA DE FACTURACIÓN]],"DE CONTADO","CRÉDITO")</f>
        <v>CRÉDITO</v>
      </c>
      <c r="B863" s="51" t="str">
        <f>+IF((PROVEEDORES[[#This Row],[FECHA DE PAGO]]-PROVEEDORES[[#This Row],[FECHA DE FACTURACIÓN]])&gt;PROVEEDORES[[#This Row],[PLAZO Días]],"PAGO VENCIDO")</f>
        <v>PAGO VENCIDO</v>
      </c>
      <c r="C863" s="25">
        <f>+VLOOKUP(PROVEEDORES[[#This Row],[PROVEEDOR]],TERCEROS_INFO[#All],2,FALSE)</f>
        <v>30</v>
      </c>
      <c r="D863" s="30">
        <f>+SUMIFS(PROVEEDORES[Total],PROVEEDORES[PROVEEDOR],PROVEEDORES[[#This Row],[PROVEEDOR]],PROVEEDORES[FECHA DE PAGO],"")</f>
        <v>3400186.8245000001</v>
      </c>
      <c r="E863" s="30"/>
      <c r="F863" s="73" t="str">
        <f>+VLOOKUP(PROVEEDORES[[#This Row],[PROVEEDOR]],TERCEROS_INFO[[PROVEEDOR]:[CORREO]],5,FALSE)</f>
        <v>contabilidad@amgimportadora.com;mcastellanos@amgimportadora.com;girlesa.ruiz@servipilas.com;joriescobar64@gmail.com</v>
      </c>
      <c r="G863" s="111">
        <v>44517</v>
      </c>
      <c r="H863" s="31" t="s">
        <v>20</v>
      </c>
      <c r="I863" s="111">
        <v>44477</v>
      </c>
      <c r="J863" s="48">
        <v>5290</v>
      </c>
      <c r="K863" s="26">
        <v>2908629</v>
      </c>
      <c r="L863" s="26"/>
      <c r="M863" s="27">
        <v>552639.51</v>
      </c>
      <c r="N863" s="28"/>
      <c r="O863" s="27">
        <v>0</v>
      </c>
      <c r="P863" s="28">
        <v>2.5000000000000001E-2</v>
      </c>
      <c r="Q863" s="27">
        <v>72715.725000000006</v>
      </c>
      <c r="R863" s="26">
        <v>3388552.7849999997</v>
      </c>
      <c r="S863" s="115">
        <f ca="1">IF(PROVEEDORES[[#This Row],[FECHA DE PAGO]]=0,TODAY()-PROVEEDORES[[#This Row],[FECHA DE FACTURACIÓN]]-PROVEEDORES[[#This Row],[PLAZO Días]],0)</f>
        <v>0</v>
      </c>
      <c r="T8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4" spans="1:20" ht="21.9" customHeight="1" x14ac:dyDescent="0.3">
      <c r="A864" s="113" t="str">
        <f>+IF(PROVEEDORES[[#This Row],[FECHA DE PAGO]]=PROVEEDORES[[#This Row],[FECHA DE FACTURACIÓN]],"DE CONTADO","CRÉDITO")</f>
        <v>CRÉDITO</v>
      </c>
      <c r="B864" s="51" t="str">
        <f>+IF((PROVEEDORES[[#This Row],[FECHA DE PAGO]]-PROVEEDORES[[#This Row],[FECHA DE FACTURACIÓN]])&gt;PROVEEDORES[[#This Row],[PLAZO Días]],"PAGO VENCIDO")</f>
        <v>PAGO VENCIDO</v>
      </c>
      <c r="C864" s="25">
        <f>+VLOOKUP(PROVEEDORES[[#This Row],[PROVEEDOR]],TERCEROS_INFO[#All],2,FALSE)</f>
        <v>30</v>
      </c>
      <c r="D864" s="30">
        <f>+SUMIFS(PROVEEDORES[Total],PROVEEDORES[PROVEEDOR],PROVEEDORES[[#This Row],[PROVEEDOR]],PROVEEDORES[FECHA DE PAGO],"")</f>
        <v>10764600</v>
      </c>
      <c r="E864" s="30"/>
      <c r="F864" s="73" t="str">
        <f>+VLOOKUP(PROVEEDORES[[#This Row],[PROVEEDOR]],TERCEROS_INFO[[PROVEEDOR]:[CORREO]],5,FALSE)</f>
        <v>apresupuesto@widexcolombia.com;girlesa.ruiz@servipilas.com;joriescobar64@gmail.com</v>
      </c>
      <c r="G864" s="111">
        <v>44517</v>
      </c>
      <c r="H864" s="31" t="s">
        <v>11</v>
      </c>
      <c r="I864" s="111">
        <v>44477</v>
      </c>
      <c r="J864" s="48" t="s">
        <v>545</v>
      </c>
      <c r="K864" s="26">
        <v>3300000</v>
      </c>
      <c r="L864" s="26"/>
      <c r="M864" s="27">
        <v>627000</v>
      </c>
      <c r="N864" s="28"/>
      <c r="O864" s="27">
        <v>0</v>
      </c>
      <c r="P864" s="28">
        <v>2.5000000000000001E-2</v>
      </c>
      <c r="Q864" s="27">
        <v>82500</v>
      </c>
      <c r="R864" s="26">
        <v>3844500</v>
      </c>
      <c r="S864" s="115">
        <f ca="1">IF(PROVEEDORES[[#This Row],[FECHA DE PAGO]]=0,TODAY()-PROVEEDORES[[#This Row],[FECHA DE FACTURACIÓN]]-PROVEEDORES[[#This Row],[PLAZO Días]],0)</f>
        <v>0</v>
      </c>
      <c r="T8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5" spans="1:20" ht="21.9" customHeight="1" x14ac:dyDescent="0.3">
      <c r="A865" s="113" t="str">
        <f>+IF(PROVEEDORES[[#This Row],[FECHA DE PAGO]]=PROVEEDORES[[#This Row],[FECHA DE FACTURACIÓN]],"DE CONTADO","CRÉDITO")</f>
        <v>DE CONTADO</v>
      </c>
      <c r="B865" s="51" t="b">
        <f>+IF((PROVEEDORES[[#This Row],[FECHA DE PAGO]]-PROVEEDORES[[#This Row],[FECHA DE FACTURACIÓN]])&gt;PROVEEDORES[[#This Row],[PLAZO Días]],"PAGO VENCIDO")</f>
        <v>0</v>
      </c>
      <c r="C865" s="25">
        <f>+VLOOKUP(PROVEEDORES[[#This Row],[PROVEEDOR]],TERCEROS_INFO[#All],2,FALSE)</f>
        <v>30</v>
      </c>
      <c r="D865" s="30">
        <f>+SUMIFS(PROVEEDORES[Total],PROVEEDORES[PROVEEDOR],PROVEEDORES[[#This Row],[PROVEEDOR]],PROVEEDORES[FECHA DE PAGO],"")</f>
        <v>0</v>
      </c>
      <c r="E865" s="30"/>
      <c r="F865" s="73" t="str">
        <f>+VLOOKUP(PROVEEDORES[[#This Row],[PROVEEDOR]],TERCEROS_INFO[[PROVEEDOR]:[CORREO]],5,FALSE)</f>
        <v/>
      </c>
      <c r="G865" s="111">
        <v>44478</v>
      </c>
      <c r="H865" s="31" t="s">
        <v>1003</v>
      </c>
      <c r="I865" s="111">
        <v>44478</v>
      </c>
      <c r="J865" s="48" t="s">
        <v>849</v>
      </c>
      <c r="K865" s="26">
        <v>485000</v>
      </c>
      <c r="L865" s="26"/>
      <c r="M865" s="27">
        <v>0</v>
      </c>
      <c r="N865" s="28"/>
      <c r="O865" s="27">
        <v>0</v>
      </c>
      <c r="P865" s="28">
        <v>0</v>
      </c>
      <c r="Q865" s="27">
        <v>0</v>
      </c>
      <c r="R865" s="26">
        <v>485000</v>
      </c>
      <c r="S865" s="115">
        <f ca="1">IF(PROVEEDORES[[#This Row],[FECHA DE PAGO]]=0,TODAY()-PROVEEDORES[[#This Row],[FECHA DE FACTURACIÓN]]-PROVEEDORES[[#This Row],[PLAZO Días]],0)</f>
        <v>0</v>
      </c>
      <c r="T8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6" spans="1:20" ht="21.9" customHeight="1" x14ac:dyDescent="0.3">
      <c r="A866" s="113" t="str">
        <f>+IF(PROVEEDORES[[#This Row],[FECHA DE PAGO]]=PROVEEDORES[[#This Row],[FECHA DE FACTURACIÓN]],"DE CONTADO","CRÉDITO")</f>
        <v>DE CONTADO</v>
      </c>
      <c r="B866" s="51" t="b">
        <f>+IF((PROVEEDORES[[#This Row],[FECHA DE PAGO]]-PROVEEDORES[[#This Row],[FECHA DE FACTURACIÓN]])&gt;PROVEEDORES[[#This Row],[PLAZO Días]],"PAGO VENCIDO")</f>
        <v>0</v>
      </c>
      <c r="C866" s="25">
        <f>+VLOOKUP(PROVEEDORES[[#This Row],[PROVEEDOR]],TERCEROS_INFO[#All],2,FALSE)</f>
        <v>30</v>
      </c>
      <c r="D866" s="30">
        <f>+SUMIFS(PROVEEDORES[Total],PROVEEDORES[PROVEEDOR],PROVEEDORES[[#This Row],[PROVEEDOR]],PROVEEDORES[FECHA DE PAGO],"")</f>
        <v>0</v>
      </c>
      <c r="E866" s="30"/>
      <c r="F866" s="73" t="str">
        <f>+VLOOKUP(PROVEEDORES[[#This Row],[PROVEEDOR]],TERCEROS_INFO[[PROVEEDOR]:[CORREO]],5,FALSE)</f>
        <v/>
      </c>
      <c r="G866" s="111">
        <v>44478</v>
      </c>
      <c r="H866" s="31" t="s">
        <v>1037</v>
      </c>
      <c r="I866" s="111">
        <v>44478</v>
      </c>
      <c r="J866" s="48" t="s">
        <v>850</v>
      </c>
      <c r="K866" s="26">
        <v>1576000</v>
      </c>
      <c r="L866" s="26"/>
      <c r="M866" s="27">
        <v>0</v>
      </c>
      <c r="N866" s="28"/>
      <c r="O866" s="27">
        <v>0</v>
      </c>
      <c r="P866" s="28">
        <v>0</v>
      </c>
      <c r="Q866" s="27">
        <v>0</v>
      </c>
      <c r="R866" s="26">
        <v>1576000</v>
      </c>
      <c r="S866" s="115">
        <f ca="1">IF(PROVEEDORES[[#This Row],[FECHA DE PAGO]]=0,TODAY()-PROVEEDORES[[#This Row],[FECHA DE FACTURACIÓN]]-PROVEEDORES[[#This Row],[PLAZO Días]],0)</f>
        <v>0</v>
      </c>
      <c r="T86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7" spans="1:20" ht="21.9" customHeight="1" x14ac:dyDescent="0.3">
      <c r="A867" s="113" t="str">
        <f>+IF(PROVEEDORES[[#This Row],[FECHA DE PAGO]]=PROVEEDORES[[#This Row],[FECHA DE FACTURACIÓN]],"DE CONTADO","CRÉDITO")</f>
        <v>CRÉDITO</v>
      </c>
      <c r="B867" s="51" t="b">
        <f>+IF((PROVEEDORES[[#This Row],[FECHA DE PAGO]]-PROVEEDORES[[#This Row],[FECHA DE FACTURACIÓN]])&gt;PROVEEDORES[[#This Row],[PLAZO Días]],"PAGO VENCIDO")</f>
        <v>0</v>
      </c>
      <c r="C867" s="25">
        <f>+VLOOKUP(PROVEEDORES[[#This Row],[PROVEEDOR]],TERCEROS_INFO[#All],2,FALSE)</f>
        <v>20</v>
      </c>
      <c r="D867" s="30">
        <f>+SUMIFS(PROVEEDORES[Total],PROVEEDORES[PROVEEDOR],PROVEEDORES[[#This Row],[PROVEEDOR]],PROVEEDORES[FECHA DE PAGO],"")</f>
        <v>0</v>
      </c>
      <c r="E867" s="30"/>
      <c r="F867" s="73">
        <f>+VLOOKUP(PROVEEDORES[[#This Row],[PROVEEDOR]],TERCEROS_INFO[[PROVEEDOR]:[CORREO]],5,FALSE)</f>
        <v>0</v>
      </c>
      <c r="G867" s="111">
        <v>44490</v>
      </c>
      <c r="H867" s="31" t="s">
        <v>1078</v>
      </c>
      <c r="I867" s="111">
        <v>44479</v>
      </c>
      <c r="J867" s="48"/>
      <c r="K867" s="26">
        <v>108000</v>
      </c>
      <c r="L867" s="26"/>
      <c r="M867" s="27">
        <v>0</v>
      </c>
      <c r="N867" s="28"/>
      <c r="O867" s="27">
        <v>0</v>
      </c>
      <c r="P867" s="28">
        <v>0</v>
      </c>
      <c r="Q867" s="27">
        <v>0</v>
      </c>
      <c r="R867" s="26">
        <v>108000</v>
      </c>
      <c r="S867" s="115">
        <f ca="1">IF(PROVEEDORES[[#This Row],[FECHA DE PAGO]]=0,TODAY()-PROVEEDORES[[#This Row],[FECHA DE FACTURACIÓN]]-PROVEEDORES[[#This Row],[PLAZO Días]],0)</f>
        <v>0</v>
      </c>
      <c r="T8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8" spans="1:20" ht="21.9" customHeight="1" x14ac:dyDescent="0.3">
      <c r="A868" s="113" t="str">
        <f>+IF(PROVEEDORES[[#This Row],[FECHA DE PAGO]]=PROVEEDORES[[#This Row],[FECHA DE FACTURACIÓN]],"DE CONTADO","CRÉDITO")</f>
        <v>CRÉDITO</v>
      </c>
      <c r="B868" s="51" t="b">
        <f>+IF((PROVEEDORES[[#This Row],[FECHA DE PAGO]]-PROVEEDORES[[#This Row],[FECHA DE FACTURACIÓN]])&gt;PROVEEDORES[[#This Row],[PLAZO Días]],"PAGO VENCIDO")</f>
        <v>0</v>
      </c>
      <c r="C868" s="25">
        <f>+VLOOKUP(PROVEEDORES[[#This Row],[PROVEEDOR]],TERCEROS_INFO[#All],2,FALSE)</f>
        <v>30</v>
      </c>
      <c r="D868" s="30">
        <f>+SUMIFS(PROVEEDORES[Total],PROVEEDORES[PROVEEDOR],PROVEEDORES[[#This Row],[PROVEEDOR]],PROVEEDORES[FECHA DE PAGO],"")</f>
        <v>0</v>
      </c>
      <c r="E868" s="30"/>
      <c r="F868" s="73" t="str">
        <f>+VLOOKUP(PROVEEDORES[[#This Row],[PROVEEDOR]],TERCEROS_INFO[[PROVEEDOR]:[CORREO]],5,FALSE)</f>
        <v>girlesa.ruiz@servipilas.com;joriescobar64@gmail.com</v>
      </c>
      <c r="G868" s="111">
        <v>44496</v>
      </c>
      <c r="H868" s="31" t="s">
        <v>339</v>
      </c>
      <c r="I868" s="111">
        <v>44480</v>
      </c>
      <c r="J868" s="48" t="s">
        <v>934</v>
      </c>
      <c r="K868" s="26">
        <v>756882</v>
      </c>
      <c r="L868" s="26"/>
      <c r="M868" s="27">
        <v>0</v>
      </c>
      <c r="N868" s="28"/>
      <c r="O868" s="27">
        <v>0</v>
      </c>
      <c r="P868" s="28">
        <v>3.5000000000000003E-2</v>
      </c>
      <c r="Q868" s="27">
        <v>26490.870000000003</v>
      </c>
      <c r="R868" s="26">
        <v>730391.13</v>
      </c>
      <c r="S868" s="115">
        <f ca="1">IF(PROVEEDORES[[#This Row],[FECHA DE PAGO]]=0,TODAY()-PROVEEDORES[[#This Row],[FECHA DE FACTURACIÓN]]-PROVEEDORES[[#This Row],[PLAZO Días]],0)</f>
        <v>0</v>
      </c>
      <c r="T8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69" spans="1:20" ht="21.9" customHeight="1" x14ac:dyDescent="0.3">
      <c r="A869" s="113" t="str">
        <f>+IF(PROVEEDORES[[#This Row],[FECHA DE PAGO]]=PROVEEDORES[[#This Row],[FECHA DE FACTURACIÓN]],"DE CONTADO","CRÉDITO")</f>
        <v>CRÉDITO</v>
      </c>
      <c r="B869" s="51" t="b">
        <f>+IF((PROVEEDORES[[#This Row],[FECHA DE PAGO]]-PROVEEDORES[[#This Row],[FECHA DE FACTURACIÓN]])&gt;PROVEEDORES[[#This Row],[PLAZO Días]],"PAGO VENCIDO")</f>
        <v>0</v>
      </c>
      <c r="C869" s="25">
        <f>+VLOOKUP(PROVEEDORES[[#This Row],[PROVEEDOR]],TERCEROS_INFO[#All],2,FALSE)</f>
        <v>30</v>
      </c>
      <c r="D869" s="30">
        <f>+SUMIFS(PROVEEDORES[Total],PROVEEDORES[PROVEEDOR],PROVEEDORES[[#This Row],[PROVEEDOR]],PROVEEDORES[FECHA DE PAGO],"")</f>
        <v>0</v>
      </c>
      <c r="E869" s="30"/>
      <c r="F869" s="73" t="str">
        <f>+VLOOKUP(PROVEEDORES[[#This Row],[PROVEEDOR]],TERCEROS_INFO[[PROVEEDOR]:[CORREO]],5,FALSE)</f>
        <v>globalpowerc2018@gmail.com;girlesa.ruiz@servipilas.com;joriescobar64@gmail.com</v>
      </c>
      <c r="G869" s="111">
        <v>44509</v>
      </c>
      <c r="H869" s="31" t="s">
        <v>1057</v>
      </c>
      <c r="I869" s="111">
        <v>44480</v>
      </c>
      <c r="J869" s="48" t="s">
        <v>851</v>
      </c>
      <c r="K869" s="26">
        <v>1750000</v>
      </c>
      <c r="L869" s="26"/>
      <c r="M869" s="27">
        <v>0</v>
      </c>
      <c r="N869" s="28"/>
      <c r="O869" s="27">
        <v>0</v>
      </c>
      <c r="P869" s="28">
        <v>0</v>
      </c>
      <c r="Q869" s="27">
        <v>0</v>
      </c>
      <c r="R869" s="26">
        <v>1750000</v>
      </c>
      <c r="S869" s="115">
        <f ca="1">IF(PROVEEDORES[[#This Row],[FECHA DE PAGO]]=0,TODAY()-PROVEEDORES[[#This Row],[FECHA DE FACTURACIÓN]]-PROVEEDORES[[#This Row],[PLAZO Días]],0)</f>
        <v>0</v>
      </c>
      <c r="T86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0" spans="1:20" ht="21.9" customHeight="1" x14ac:dyDescent="0.3">
      <c r="A870" s="113" t="str">
        <f>+IF(PROVEEDORES[[#This Row],[FECHA DE PAGO]]=PROVEEDORES[[#This Row],[FECHA DE FACTURACIÓN]],"DE CONTADO","CRÉDITO")</f>
        <v>CRÉDITO</v>
      </c>
      <c r="B870" s="51" t="str">
        <f>+IF((PROVEEDORES[[#This Row],[FECHA DE PAGO]]-PROVEEDORES[[#This Row],[FECHA DE FACTURACIÓN]])&gt;PROVEEDORES[[#This Row],[PLAZO Días]],"PAGO VENCIDO")</f>
        <v>PAGO VENCIDO</v>
      </c>
      <c r="C870" s="25">
        <f>+VLOOKUP(PROVEEDORES[[#This Row],[PROVEEDOR]],TERCEROS_INFO[#All],2,FALSE)</f>
        <v>30</v>
      </c>
      <c r="D870" s="30">
        <f>+SUMIFS(PROVEEDORES[Total],PROVEEDORES[PROVEEDOR],PROVEEDORES[[#This Row],[PROVEEDOR]],PROVEEDORES[FECHA DE PAGO],"")</f>
        <v>452687.9</v>
      </c>
      <c r="E870" s="30"/>
      <c r="F870" s="73" t="str">
        <f>+VLOOKUP(PROVEEDORES[[#This Row],[PROVEEDOR]],TERCEROS_INFO[[PROVEEDOR]:[CORREO]],5,FALSE)</f>
        <v>soluenergiacentro@une.net.co;girlesa.ruiz@servipilas.com;joriescobar64@gmail.com</v>
      </c>
      <c r="G870" s="111">
        <v>44523</v>
      </c>
      <c r="H870" s="31" t="s">
        <v>39</v>
      </c>
      <c r="I870" s="111">
        <v>44481</v>
      </c>
      <c r="J870" s="48">
        <v>876</v>
      </c>
      <c r="K870" s="26">
        <v>305486</v>
      </c>
      <c r="L870" s="26"/>
      <c r="M870" s="27">
        <v>58042.340000000004</v>
      </c>
      <c r="N870" s="28"/>
      <c r="O870" s="27">
        <v>0</v>
      </c>
      <c r="P870" s="28">
        <v>0</v>
      </c>
      <c r="Q870" s="27">
        <v>0</v>
      </c>
      <c r="R870" s="26">
        <v>363528.34</v>
      </c>
      <c r="S870" s="115">
        <f ca="1">IF(PROVEEDORES[[#This Row],[FECHA DE PAGO]]=0,TODAY()-PROVEEDORES[[#This Row],[FECHA DE FACTURACIÓN]]-PROVEEDORES[[#This Row],[PLAZO Días]],0)</f>
        <v>0</v>
      </c>
      <c r="T87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1" spans="1:20" ht="21.9" customHeight="1" x14ac:dyDescent="0.3">
      <c r="A871" s="113" t="str">
        <f>+IF(PROVEEDORES[[#This Row],[FECHA DE PAGO]]=PROVEEDORES[[#This Row],[FECHA DE FACTURACIÓN]],"DE CONTADO","CRÉDITO")</f>
        <v>CRÉDITO</v>
      </c>
      <c r="B871" s="51" t="str">
        <f>+IF((PROVEEDORES[[#This Row],[FECHA DE PAGO]]-PROVEEDORES[[#This Row],[FECHA DE FACTURACIÓN]])&gt;PROVEEDORES[[#This Row],[PLAZO Días]],"PAGO VENCIDO")</f>
        <v>PAGO VENCIDO</v>
      </c>
      <c r="C871" s="25">
        <f>+VLOOKUP(PROVEEDORES[[#This Row],[PROVEEDOR]],TERCEROS_INFO[#All],2,FALSE)</f>
        <v>45</v>
      </c>
      <c r="D871" s="30">
        <f>+SUMIFS(PROVEEDORES[Total],PROVEEDORES[PROVEEDOR],PROVEEDORES[[#This Row],[PROVEEDOR]],PROVEEDORES[FECHA DE PAGO],"")</f>
        <v>17760678.600000001</v>
      </c>
      <c r="E871" s="30"/>
      <c r="F871" s="73" t="str">
        <f>+VLOOKUP(PROVEEDORES[[#This Row],[PROVEEDOR]],TERCEROS_INFO[[PROVEEDOR]:[CORREO]],5,FALSE)</f>
        <v>zully.florez@powest.com;girlesa.ruiz@servipilas.com;joriescobar64@gmail.com</v>
      </c>
      <c r="G871" s="111">
        <v>44537</v>
      </c>
      <c r="H871" s="31" t="s">
        <v>19</v>
      </c>
      <c r="I871" s="111">
        <v>44481</v>
      </c>
      <c r="J871" s="48" t="s">
        <v>551</v>
      </c>
      <c r="K871" s="26">
        <v>2475375</v>
      </c>
      <c r="L871" s="26"/>
      <c r="M871" s="27">
        <v>470321.25</v>
      </c>
      <c r="N871" s="28"/>
      <c r="O871" s="27">
        <v>0</v>
      </c>
      <c r="P871" s="28">
        <v>0</v>
      </c>
      <c r="Q871" s="27">
        <v>0</v>
      </c>
      <c r="R871" s="26">
        <v>2945696.25</v>
      </c>
      <c r="S871" s="115">
        <f ca="1">IF(PROVEEDORES[[#This Row],[FECHA DE PAGO]]=0,TODAY()-PROVEEDORES[[#This Row],[FECHA DE FACTURACIÓN]]-PROVEEDORES[[#This Row],[PLAZO Días]],0)</f>
        <v>0</v>
      </c>
      <c r="T8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2" spans="1:20" ht="21.9" customHeight="1" x14ac:dyDescent="0.3">
      <c r="A872" s="113" t="str">
        <f>+IF(PROVEEDORES[[#This Row],[FECHA DE PAGO]]=PROVEEDORES[[#This Row],[FECHA DE FACTURACIÓN]],"DE CONTADO","CRÉDITO")</f>
        <v>CRÉDITO</v>
      </c>
      <c r="B872" s="51" t="str">
        <f>+IF((PROVEEDORES[[#This Row],[FECHA DE PAGO]]-PROVEEDORES[[#This Row],[FECHA DE FACTURACIÓN]])&gt;PROVEEDORES[[#This Row],[PLAZO Días]],"PAGO VENCIDO")</f>
        <v>PAGO VENCIDO</v>
      </c>
      <c r="C872" s="25">
        <f>+VLOOKUP(PROVEEDORES[[#This Row],[PROVEEDOR]],TERCEROS_INFO[#All],2,FALSE)</f>
        <v>30</v>
      </c>
      <c r="D872" s="30">
        <f>+SUMIFS(PROVEEDORES[Total],PROVEEDORES[PROVEEDOR],PROVEEDORES[[#This Row],[PROVEEDOR]],PROVEEDORES[FECHA DE PAGO],"")</f>
        <v>4078650.6</v>
      </c>
      <c r="E872" s="30"/>
      <c r="F872" s="73" t="str">
        <f>+VLOOKUP(PROVEEDORES[[#This Row],[PROVEEDOR]],TERCEROS_INFO[[PROVEEDOR]:[CORREO]],5,FALSE)</f>
        <v>financiera@nalpicentral.com;girlesa.ruiz@servipilas.com;joriescobar64@gmail.com</v>
      </c>
      <c r="G872" s="111">
        <v>44537</v>
      </c>
      <c r="H872" s="31" t="s">
        <v>1095</v>
      </c>
      <c r="I872" s="111">
        <v>44482</v>
      </c>
      <c r="J872" s="48">
        <v>22907</v>
      </c>
      <c r="K872" s="26">
        <v>300000</v>
      </c>
      <c r="L872" s="26"/>
      <c r="M872" s="27">
        <v>57000</v>
      </c>
      <c r="N872" s="28"/>
      <c r="O872" s="27">
        <v>0</v>
      </c>
      <c r="P872" s="28">
        <v>0</v>
      </c>
      <c r="Q872" s="27">
        <v>0</v>
      </c>
      <c r="R872" s="26">
        <v>357000</v>
      </c>
      <c r="S872" s="115">
        <f ca="1">IF(PROVEEDORES[[#This Row],[FECHA DE PAGO]]=0,TODAY()-PROVEEDORES[[#This Row],[FECHA DE FACTURACIÓN]]-PROVEEDORES[[#This Row],[PLAZO Días]],0)</f>
        <v>0</v>
      </c>
      <c r="T87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3" spans="1:20" ht="21.9" customHeight="1" x14ac:dyDescent="0.3">
      <c r="A873" s="113" t="str">
        <f>+IF(PROVEEDORES[[#This Row],[FECHA DE PAGO]]=PROVEEDORES[[#This Row],[FECHA DE FACTURACIÓN]],"DE CONTADO","CRÉDITO")</f>
        <v>CRÉDITO</v>
      </c>
      <c r="B873" s="51" t="b">
        <f>+IF((PROVEEDORES[[#This Row],[FECHA DE PAGO]]-PROVEEDORES[[#This Row],[FECHA DE FACTURACIÓN]])&gt;PROVEEDORES[[#This Row],[PLAZO Días]],"PAGO VENCIDO")</f>
        <v>0</v>
      </c>
      <c r="C873" s="25">
        <f>+VLOOKUP(PROVEEDORES[[#This Row],[PROVEEDOR]],TERCEROS_INFO[#All],2,FALSE)</f>
        <v>30</v>
      </c>
      <c r="D873" s="30">
        <f>+SUMIFS(PROVEEDORES[Total],PROVEEDORES[PROVEEDOR],PROVEEDORES[[#This Row],[PROVEEDOR]],PROVEEDORES[FECHA DE PAGO],"")</f>
        <v>0</v>
      </c>
      <c r="E873" s="30"/>
      <c r="F873" s="73" t="str">
        <f>+VLOOKUP(PROVEEDORES[[#This Row],[PROVEEDOR]],TERCEROS_INFO[[PROVEEDOR]:[CORREO]],5,FALSE)</f>
        <v>PSE</v>
      </c>
      <c r="G873" s="111">
        <v>44484</v>
      </c>
      <c r="H873" s="31" t="s">
        <v>372</v>
      </c>
      <c r="I873" s="111">
        <v>44483</v>
      </c>
      <c r="J873" s="48" t="s">
        <v>613</v>
      </c>
      <c r="K873" s="26">
        <v>524986</v>
      </c>
      <c r="L873" s="26"/>
      <c r="M873" s="27">
        <v>0</v>
      </c>
      <c r="N873" s="28"/>
      <c r="O873" s="27">
        <v>0</v>
      </c>
      <c r="P873" s="28">
        <v>0</v>
      </c>
      <c r="Q873" s="27">
        <v>0</v>
      </c>
      <c r="R873" s="26">
        <v>524986</v>
      </c>
      <c r="S873" s="115">
        <f ca="1">IF(PROVEEDORES[[#This Row],[FECHA DE PAGO]]=0,TODAY()-PROVEEDORES[[#This Row],[FECHA DE FACTURACIÓN]]-PROVEEDORES[[#This Row],[PLAZO Días]],0)</f>
        <v>0</v>
      </c>
      <c r="T87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4" spans="1:20" ht="21.9" customHeight="1" x14ac:dyDescent="0.3">
      <c r="A874" s="113" t="str">
        <f>+IF(PROVEEDORES[[#This Row],[FECHA DE PAGO]]=PROVEEDORES[[#This Row],[FECHA DE FACTURACIÓN]],"DE CONTADO","CRÉDITO")</f>
        <v>DE CONTADO</v>
      </c>
      <c r="B874" s="51" t="b">
        <f>+IF((PROVEEDORES[[#This Row],[FECHA DE PAGO]]-PROVEEDORES[[#This Row],[FECHA DE FACTURACIÓN]])&gt;PROVEEDORES[[#This Row],[PLAZO Días]],"PAGO VENCIDO")</f>
        <v>0</v>
      </c>
      <c r="C874" s="25">
        <f>+VLOOKUP(PROVEEDORES[[#This Row],[PROVEEDOR]],TERCEROS_INFO[#All],2,FALSE)</f>
        <v>30</v>
      </c>
      <c r="D874" s="30">
        <f>+SUMIFS(PROVEEDORES[Total],PROVEEDORES[PROVEEDOR],PROVEEDORES[[#This Row],[PROVEEDOR]],PROVEEDORES[FECHA DE PAGO],"")</f>
        <v>0</v>
      </c>
      <c r="E874" s="30"/>
      <c r="F874" s="73" t="str">
        <f>+VLOOKUP(PROVEEDORES[[#This Row],[PROVEEDOR]],TERCEROS_INFO[[PROVEEDOR]:[CORREO]],5,FALSE)</f>
        <v/>
      </c>
      <c r="G874" s="111">
        <v>44483</v>
      </c>
      <c r="H874" s="31" t="s">
        <v>1052</v>
      </c>
      <c r="I874" s="111">
        <v>44483</v>
      </c>
      <c r="J874" s="48"/>
      <c r="K874" s="26">
        <v>1000000</v>
      </c>
      <c r="L874" s="26"/>
      <c r="M874" s="27">
        <v>0</v>
      </c>
      <c r="N874" s="28"/>
      <c r="O874" s="27">
        <v>0</v>
      </c>
      <c r="P874" s="28">
        <v>0</v>
      </c>
      <c r="Q874" s="27">
        <v>0</v>
      </c>
      <c r="R874" s="26">
        <v>-289781</v>
      </c>
      <c r="S874" s="115">
        <f ca="1">IF(PROVEEDORES[[#This Row],[FECHA DE PAGO]]=0,TODAY()-PROVEEDORES[[#This Row],[FECHA DE FACTURACIÓN]]-PROVEEDORES[[#This Row],[PLAZO Días]],0)</f>
        <v>0</v>
      </c>
      <c r="T87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5" spans="1:20" ht="21.9" customHeight="1" x14ac:dyDescent="0.3">
      <c r="A875" s="113" t="str">
        <f>+IF(PROVEEDORES[[#This Row],[FECHA DE PAGO]]=PROVEEDORES[[#This Row],[FECHA DE FACTURACIÓN]],"DE CONTADO","CRÉDITO")</f>
        <v>CRÉDITO</v>
      </c>
      <c r="B875" s="51" t="str">
        <f>+IF((PROVEEDORES[[#This Row],[FECHA DE PAGO]]-PROVEEDORES[[#This Row],[FECHA DE FACTURACIÓN]])&gt;PROVEEDORES[[#This Row],[PLAZO Días]],"PAGO VENCIDO")</f>
        <v>PAGO VENCIDO</v>
      </c>
      <c r="C875" s="25">
        <f>+VLOOKUP(PROVEEDORES[[#This Row],[PROVEEDOR]],TERCEROS_INFO[#All],2,FALSE)</f>
        <v>30</v>
      </c>
      <c r="D875" s="30">
        <f>+SUMIFS(PROVEEDORES[Total],PROVEEDORES[PROVEEDOR],PROVEEDORES[[#This Row],[PROVEEDOR]],PROVEEDORES[FECHA DE PAGO],"")</f>
        <v>1119790</v>
      </c>
      <c r="E875" s="30"/>
      <c r="F875" s="73" t="str">
        <f>+VLOOKUP(PROVEEDORES[[#This Row],[PROVEEDOR]],TERCEROS_INFO[[PROVEEDOR]:[CORREO]],5,FALSE)</f>
        <v>MVALENCIA@mps.com.co;girlesa.ruiz@servipilas.com;joriescobar64@gmail.com</v>
      </c>
      <c r="G875" s="111">
        <v>44523</v>
      </c>
      <c r="H875" s="31" t="s">
        <v>17</v>
      </c>
      <c r="I875" s="111">
        <v>44483</v>
      </c>
      <c r="J875" s="48" t="s">
        <v>852</v>
      </c>
      <c r="K875" s="26">
        <v>1753211.05</v>
      </c>
      <c r="L875" s="26"/>
      <c r="M875" s="27">
        <v>14289</v>
      </c>
      <c r="N875" s="28"/>
      <c r="O875" s="27">
        <v>0</v>
      </c>
      <c r="P875" s="28">
        <v>0</v>
      </c>
      <c r="Q875" s="27">
        <v>0</v>
      </c>
      <c r="R875" s="26">
        <v>1767500.05</v>
      </c>
      <c r="S875" s="115">
        <f ca="1">IF(PROVEEDORES[[#This Row],[FECHA DE PAGO]]=0,TODAY()-PROVEEDORES[[#This Row],[FECHA DE FACTURACIÓN]]-PROVEEDORES[[#This Row],[PLAZO Días]],0)</f>
        <v>0</v>
      </c>
      <c r="T87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6" spans="1:20" ht="21.9" customHeight="1" x14ac:dyDescent="0.3">
      <c r="A876" s="113" t="str">
        <f>+IF(PROVEEDORES[[#This Row],[FECHA DE PAGO]]=PROVEEDORES[[#This Row],[FECHA DE FACTURACIÓN]],"DE CONTADO","CRÉDITO")</f>
        <v>CRÉDITO</v>
      </c>
      <c r="B876" s="51" t="str">
        <f>+IF((PROVEEDORES[[#This Row],[FECHA DE PAGO]]-PROVEEDORES[[#This Row],[FECHA DE FACTURACIÓN]])&gt;PROVEEDORES[[#This Row],[PLAZO Días]],"PAGO VENCIDO")</f>
        <v>PAGO VENCIDO</v>
      </c>
      <c r="C876" s="25">
        <f>+VLOOKUP(PROVEEDORES[[#This Row],[PROVEEDOR]],TERCEROS_INFO[#All],2,FALSE)</f>
        <v>30</v>
      </c>
      <c r="D876" s="30">
        <f>+SUMIFS(PROVEEDORES[Total],PROVEEDORES[PROVEEDOR],PROVEEDORES[[#This Row],[PROVEEDOR]],PROVEEDORES[FECHA DE PAGO],"")</f>
        <v>6482443.1751999995</v>
      </c>
      <c r="E876" s="30"/>
      <c r="F876" s="73" t="str">
        <f>+VLOOKUP(PROVEEDORES[[#This Row],[PROVEEDOR]],TERCEROS_INFO[[PROVEEDOR]:[CORREO]],5,FALSE)</f>
        <v>angela.navas@hyrdistribuciones.com;girlesa.ruiz@servipilas.com;joriescobar64@gmail.com</v>
      </c>
      <c r="G876" s="111">
        <v>44523</v>
      </c>
      <c r="H876" s="31" t="s">
        <v>18</v>
      </c>
      <c r="I876" s="111">
        <v>44484</v>
      </c>
      <c r="J876" s="48">
        <v>1044547</v>
      </c>
      <c r="K876" s="26">
        <v>4632580.5599999996</v>
      </c>
      <c r="L876" s="26"/>
      <c r="M876" s="27">
        <v>880190.30639999988</v>
      </c>
      <c r="N876" s="28"/>
      <c r="O876" s="27">
        <v>0</v>
      </c>
      <c r="P876" s="28">
        <v>2.5000000000000001E-2</v>
      </c>
      <c r="Q876" s="27">
        <v>115814.514</v>
      </c>
      <c r="R876" s="26">
        <v>5396956.3523999993</v>
      </c>
      <c r="S876" s="115">
        <f ca="1">IF(PROVEEDORES[[#This Row],[FECHA DE PAGO]]=0,TODAY()-PROVEEDORES[[#This Row],[FECHA DE FACTURACIÓN]]-PROVEEDORES[[#This Row],[PLAZO Días]],0)</f>
        <v>0</v>
      </c>
      <c r="T8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7" spans="1:20" ht="21.9" customHeight="1" x14ac:dyDescent="0.3">
      <c r="A877" s="113" t="str">
        <f>+IF(PROVEEDORES[[#This Row],[FECHA DE PAGO]]=PROVEEDORES[[#This Row],[FECHA DE FACTURACIÓN]],"DE CONTADO","CRÉDITO")</f>
        <v>CRÉDITO</v>
      </c>
      <c r="B877" s="51" t="b">
        <f>+IF((PROVEEDORES[[#This Row],[FECHA DE PAGO]]-PROVEEDORES[[#This Row],[FECHA DE FACTURACIÓN]])&gt;PROVEEDORES[[#This Row],[PLAZO Días]],"PAGO VENCIDO")</f>
        <v>0</v>
      </c>
      <c r="C877" s="25">
        <f>+VLOOKUP(PROVEEDORES[[#This Row],[PROVEEDOR]],TERCEROS_INFO[#All],2,FALSE)</f>
        <v>90</v>
      </c>
      <c r="D877" s="30">
        <f>+SUMIFS(PROVEEDORES[Total],PROVEEDORES[PROVEEDOR],PROVEEDORES[[#This Row],[PROVEEDOR]],PROVEEDORES[FECHA DE PAGO],"")</f>
        <v>39058718</v>
      </c>
      <c r="E877" s="30"/>
      <c r="F877" s="73" t="str">
        <f>+VLOOKUP(PROVEEDORES[[#This Row],[PROVEEDOR]],TERCEROS_INFO[[PROVEEDOR]:[CORREO]],5,FALSE)</f>
        <v>mcastillo@kenextrading.com;agarcia@kenextrading.com;girlesa.ruiz@servipilas.com;joriescobar64@gmail.com</v>
      </c>
      <c r="G877" s="111">
        <v>44531</v>
      </c>
      <c r="H877" s="31" t="s">
        <v>31</v>
      </c>
      <c r="I877" s="111">
        <v>44487</v>
      </c>
      <c r="J877" s="48">
        <v>55161</v>
      </c>
      <c r="K877" s="26">
        <v>31856297.426000003</v>
      </c>
      <c r="L877" s="26"/>
      <c r="M877" s="27">
        <v>0</v>
      </c>
      <c r="N877" s="28"/>
      <c r="O877" s="27">
        <v>0</v>
      </c>
      <c r="P877" s="28">
        <v>0</v>
      </c>
      <c r="Q877" s="27">
        <v>0</v>
      </c>
      <c r="R877" s="26">
        <v>0</v>
      </c>
      <c r="S877" s="115">
        <f ca="1">IF(PROVEEDORES[[#This Row],[FECHA DE PAGO]]=0,TODAY()-PROVEEDORES[[#This Row],[FECHA DE FACTURACIÓN]]-PROVEEDORES[[#This Row],[PLAZO Días]],0)</f>
        <v>0</v>
      </c>
      <c r="T8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8" spans="1:20" ht="21.9" customHeight="1" x14ac:dyDescent="0.3">
      <c r="A878" s="113" t="str">
        <f>+IF(PROVEEDORES[[#This Row],[FECHA DE PAGO]]=PROVEEDORES[[#This Row],[FECHA DE FACTURACIÓN]],"DE CONTADO","CRÉDITO")</f>
        <v>CRÉDITO</v>
      </c>
      <c r="B878" s="51" t="str">
        <f>+IF((PROVEEDORES[[#This Row],[FECHA DE PAGO]]-PROVEEDORES[[#This Row],[FECHA DE FACTURACIÓN]])&gt;PROVEEDORES[[#This Row],[PLAZO Días]],"PAGO VENCIDO")</f>
        <v>PAGO VENCIDO</v>
      </c>
      <c r="C878" s="25">
        <f>+VLOOKUP(PROVEEDORES[[#This Row],[PROVEEDOR]],TERCEROS_INFO[#All],2,FALSE)</f>
        <v>45</v>
      </c>
      <c r="D878" s="30">
        <f>+SUMIFS(PROVEEDORES[Total],PROVEEDORES[PROVEEDOR],PROVEEDORES[[#This Row],[PROVEEDOR]],PROVEEDORES[FECHA DE PAGO],"")</f>
        <v>1070024.2</v>
      </c>
      <c r="E878" s="30"/>
      <c r="F878" s="73" t="str">
        <f>+VLOOKUP(PROVEEDORES[[#This Row],[PROVEEDOR]],TERCEROS_INFO[[PROVEEDOR]:[CORREO]],5,FALSE)</f>
        <v>libardopineda@tronex.com;girlesa.ruiz@servipilas.com;joriescobar64@gmail.com</v>
      </c>
      <c r="G878" s="111">
        <v>44537</v>
      </c>
      <c r="H878" s="31" t="s">
        <v>10</v>
      </c>
      <c r="I878" s="111">
        <v>44488</v>
      </c>
      <c r="J878" s="48" t="s">
        <v>556</v>
      </c>
      <c r="K878" s="26">
        <v>408000</v>
      </c>
      <c r="L878" s="26"/>
      <c r="M878" s="27">
        <v>77520</v>
      </c>
      <c r="N878" s="28"/>
      <c r="O878" s="27">
        <v>0</v>
      </c>
      <c r="P878" s="28">
        <v>0</v>
      </c>
      <c r="Q878" s="27">
        <v>0</v>
      </c>
      <c r="R878" s="26">
        <v>485520</v>
      </c>
      <c r="S878" s="115">
        <f ca="1">IF(PROVEEDORES[[#This Row],[FECHA DE PAGO]]=0,TODAY()-PROVEEDORES[[#This Row],[FECHA DE FACTURACIÓN]]-PROVEEDORES[[#This Row],[PLAZO Días]],0)</f>
        <v>0</v>
      </c>
      <c r="T87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79" spans="1:20" ht="21.9" customHeight="1" x14ac:dyDescent="0.3">
      <c r="A879" s="113" t="str">
        <f>+IF(PROVEEDORES[[#This Row],[FECHA DE PAGO]]=PROVEEDORES[[#This Row],[FECHA DE FACTURACIÓN]],"DE CONTADO","CRÉDITO")</f>
        <v>CRÉDITO</v>
      </c>
      <c r="B879" s="51" t="b">
        <f>+IF((PROVEEDORES[[#This Row],[FECHA DE PAGO]]-PROVEEDORES[[#This Row],[FECHA DE FACTURACIÓN]])&gt;PROVEEDORES[[#This Row],[PLAZO Días]],"PAGO VENCIDO")</f>
        <v>0</v>
      </c>
      <c r="C879" s="25">
        <f>+VLOOKUP(PROVEEDORES[[#This Row],[PROVEEDOR]],TERCEROS_INFO[#All],2,FALSE)</f>
        <v>30</v>
      </c>
      <c r="D879" s="30">
        <f>+SUMIFS(PROVEEDORES[Total],PROVEEDORES[PROVEEDOR],PROVEEDORES[[#This Row],[PROVEEDOR]],PROVEEDORES[FECHA DE PAGO],"")</f>
        <v>0</v>
      </c>
      <c r="E879" s="30"/>
      <c r="F879" s="73" t="str">
        <f>+VLOOKUP(PROVEEDORES[[#This Row],[PROVEEDOR]],TERCEROS_INFO[[PROVEEDOR]:[CORREO]],5,FALSE)</f>
        <v>CARLOSARCILAMENSAJERIA@gmail.com;girlesa.ruiz@servipilas.com;joriescobar64@gmail.com</v>
      </c>
      <c r="G879" s="111">
        <v>44491</v>
      </c>
      <c r="H879" s="31" t="s">
        <v>143</v>
      </c>
      <c r="I879" s="111">
        <v>44488</v>
      </c>
      <c r="J879" s="48">
        <v>151</v>
      </c>
      <c r="K879" s="26">
        <v>740000</v>
      </c>
      <c r="L879" s="26"/>
      <c r="M879" s="27">
        <v>140600</v>
      </c>
      <c r="N879" s="28"/>
      <c r="O879" s="27">
        <v>0</v>
      </c>
      <c r="P879" s="28">
        <v>0.01</v>
      </c>
      <c r="Q879" s="27">
        <v>7400</v>
      </c>
      <c r="R879" s="26">
        <v>873200</v>
      </c>
      <c r="S879" s="115">
        <f ca="1">IF(PROVEEDORES[[#This Row],[FECHA DE PAGO]]=0,TODAY()-PROVEEDORES[[#This Row],[FECHA DE FACTURACIÓN]]-PROVEEDORES[[#This Row],[PLAZO Días]],0)</f>
        <v>0</v>
      </c>
      <c r="T8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0" spans="1:20" ht="21.9" customHeight="1" x14ac:dyDescent="0.3">
      <c r="A880" s="113" t="str">
        <f>+IF(PROVEEDORES[[#This Row],[FECHA DE PAGO]]=PROVEEDORES[[#This Row],[FECHA DE FACTURACIÓN]],"DE CONTADO","CRÉDITO")</f>
        <v>CRÉDITO</v>
      </c>
      <c r="B880" s="51" t="str">
        <f>+IF((PROVEEDORES[[#This Row],[FECHA DE PAGO]]-PROVEEDORES[[#This Row],[FECHA DE FACTURACIÓN]])&gt;PROVEEDORES[[#This Row],[PLAZO Días]],"PAGO VENCIDO")</f>
        <v>PAGO VENCIDO</v>
      </c>
      <c r="C880" s="25">
        <f>+VLOOKUP(PROVEEDORES[[#This Row],[PROVEEDOR]],TERCEROS_INFO[#All],2,FALSE)</f>
        <v>30</v>
      </c>
      <c r="D880" s="30">
        <f>+SUMIFS(PROVEEDORES[Total],PROVEEDORES[PROVEEDOR],PROVEEDORES[[#This Row],[PROVEEDOR]],PROVEEDORES[FECHA DE PAGO],"")</f>
        <v>1451823</v>
      </c>
      <c r="E880" s="30"/>
      <c r="F880" s="73" t="str">
        <f>+VLOOKUP(PROVEEDORES[[#This Row],[PROVEEDOR]],TERCEROS_INFO[[PROVEEDOR]:[CORREO]],5,FALSE)</f>
        <v>cartera@ienewline.com;andres.arroyave@ienewline.com;girlesa.ruiz@servipilas.com;joriescobar64@gmail.com</v>
      </c>
      <c r="G880" s="111">
        <v>44523</v>
      </c>
      <c r="H880" s="31" t="s">
        <v>1131</v>
      </c>
      <c r="I880" s="111">
        <v>44488</v>
      </c>
      <c r="J880" s="48">
        <v>23594</v>
      </c>
      <c r="K880" s="26">
        <v>936200</v>
      </c>
      <c r="L880" s="26"/>
      <c r="M880" s="27">
        <v>177878</v>
      </c>
      <c r="N880" s="28"/>
      <c r="O880" s="27">
        <v>0</v>
      </c>
      <c r="P880" s="28">
        <v>0</v>
      </c>
      <c r="Q880" s="27">
        <v>0</v>
      </c>
      <c r="R880" s="26">
        <v>1114078</v>
      </c>
      <c r="S880" s="115">
        <f ca="1">IF(PROVEEDORES[[#This Row],[FECHA DE PAGO]]=0,TODAY()-PROVEEDORES[[#This Row],[FECHA DE FACTURACIÓN]]-PROVEEDORES[[#This Row],[PLAZO Días]],0)</f>
        <v>0</v>
      </c>
      <c r="T8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1" spans="1:20" ht="21.9" customHeight="1" x14ac:dyDescent="0.3">
      <c r="A881" s="113" t="str">
        <f>+IF(PROVEEDORES[[#This Row],[FECHA DE PAGO]]=PROVEEDORES[[#This Row],[FECHA DE FACTURACIÓN]],"DE CONTADO","CRÉDITO")</f>
        <v>CRÉDITO</v>
      </c>
      <c r="B881" s="51" t="b">
        <f>+IF((PROVEEDORES[[#This Row],[FECHA DE PAGO]]-PROVEEDORES[[#This Row],[FECHA DE FACTURACIÓN]])&gt;PROVEEDORES[[#This Row],[PLAZO Días]],"PAGO VENCIDO")</f>
        <v>0</v>
      </c>
      <c r="C881" s="25">
        <f>+VLOOKUP(PROVEEDORES[[#This Row],[PROVEEDOR]],TERCEROS_INFO[#All],2,FALSE)</f>
        <v>30</v>
      </c>
      <c r="D881" s="30">
        <f>+SUMIFS(PROVEEDORES[Total],PROVEEDORES[PROVEEDOR],PROVEEDORES[[#This Row],[PROVEEDOR]],PROVEEDORES[FECHA DE PAGO],"")</f>
        <v>0</v>
      </c>
      <c r="E881" s="30"/>
      <c r="F881" s="73" t="str">
        <f>+VLOOKUP(PROVEEDORES[[#This Row],[PROVEEDOR]],TERCEROS_INFO[[PROVEEDOR]:[CORREO]],5,FALSE)</f>
        <v/>
      </c>
      <c r="G881" s="111">
        <v>44489</v>
      </c>
      <c r="H881" s="31" t="s">
        <v>54</v>
      </c>
      <c r="I881" s="111">
        <v>44488</v>
      </c>
      <c r="J881" s="48">
        <v>285851</v>
      </c>
      <c r="K881" s="26">
        <v>1531000</v>
      </c>
      <c r="L881" s="26"/>
      <c r="M881" s="27">
        <v>0</v>
      </c>
      <c r="N881" s="28"/>
      <c r="O881" s="27">
        <v>0</v>
      </c>
      <c r="P881" s="28">
        <v>0</v>
      </c>
      <c r="Q881" s="27">
        <v>0</v>
      </c>
      <c r="R881" s="26">
        <v>1531000</v>
      </c>
      <c r="S881" s="115">
        <f ca="1">IF(PROVEEDORES[[#This Row],[FECHA DE PAGO]]=0,TODAY()-PROVEEDORES[[#This Row],[FECHA DE FACTURACIÓN]]-PROVEEDORES[[#This Row],[PLAZO Días]],0)</f>
        <v>0</v>
      </c>
      <c r="T8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2" spans="1:20" ht="21.9" customHeight="1" x14ac:dyDescent="0.3">
      <c r="A882" s="113" t="str">
        <f>+IF(PROVEEDORES[[#This Row],[FECHA DE PAGO]]=PROVEEDORES[[#This Row],[FECHA DE FACTURACIÓN]],"DE CONTADO","CRÉDITO")</f>
        <v>CRÉDITO</v>
      </c>
      <c r="B882" s="51" t="b">
        <f>+IF((PROVEEDORES[[#This Row],[FECHA DE PAGO]]-PROVEEDORES[[#This Row],[FECHA DE FACTURACIÓN]])&gt;PROVEEDORES[[#This Row],[PLAZO Días]],"PAGO VENCIDO")</f>
        <v>0</v>
      </c>
      <c r="C882" s="25">
        <f>+VLOOKUP(PROVEEDORES[[#This Row],[PROVEEDOR]],TERCEROS_INFO[#All],2,FALSE)</f>
        <v>30</v>
      </c>
      <c r="D882" s="30">
        <f>+SUMIFS(PROVEEDORES[Total],PROVEEDORES[PROVEEDOR],PROVEEDORES[[#This Row],[PROVEEDOR]],PROVEEDORES[FECHA DE PAGO],"")</f>
        <v>264406</v>
      </c>
      <c r="E882" s="30"/>
      <c r="F882" s="73" t="str">
        <f>+VLOOKUP(PROVEEDORES[[#This Row],[PROVEEDOR]],TERCEROS_INFO[[PROVEEDOR]:[CORREO]],5,FALSE)</f>
        <v>oswaldo.alvarez@logimexsas.com;girlesa.ruiz@servipilas.com;joriescobar64@gmail.com</v>
      </c>
      <c r="G882" s="111">
        <v>44489</v>
      </c>
      <c r="H882" s="31" t="s">
        <v>393</v>
      </c>
      <c r="I882" s="111">
        <v>44488</v>
      </c>
      <c r="J882" s="48" t="s">
        <v>853</v>
      </c>
      <c r="K882" s="26">
        <v>1781000</v>
      </c>
      <c r="L882" s="26"/>
      <c r="M882" s="27">
        <v>0</v>
      </c>
      <c r="N882" s="28"/>
      <c r="O882" s="27">
        <v>0</v>
      </c>
      <c r="P882" s="28">
        <v>0</v>
      </c>
      <c r="Q882" s="27">
        <v>0</v>
      </c>
      <c r="R882" s="26">
        <v>1781000</v>
      </c>
      <c r="S882" s="115">
        <f ca="1">IF(PROVEEDORES[[#This Row],[FECHA DE PAGO]]=0,TODAY()-PROVEEDORES[[#This Row],[FECHA DE FACTURACIÓN]]-PROVEEDORES[[#This Row],[PLAZO Días]],0)</f>
        <v>0</v>
      </c>
      <c r="T88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3" spans="1:20" ht="21.9" customHeight="1" x14ac:dyDescent="0.3">
      <c r="A883" s="113" t="str">
        <f>+IF(PROVEEDORES[[#This Row],[FECHA DE PAGO]]=PROVEEDORES[[#This Row],[FECHA DE FACTURACIÓN]],"DE CONTADO","CRÉDITO")</f>
        <v>CRÉDITO</v>
      </c>
      <c r="B883" s="51" t="b">
        <f>+IF((PROVEEDORES[[#This Row],[FECHA DE PAGO]]-PROVEEDORES[[#This Row],[FECHA DE FACTURACIÓN]])&gt;PROVEEDORES[[#This Row],[PLAZO Días]],"PAGO VENCIDO")</f>
        <v>0</v>
      </c>
      <c r="C883" s="25">
        <f>+VLOOKUP(PROVEEDORES[[#This Row],[PROVEEDOR]],TERCEROS_INFO[#All],2,FALSE)</f>
        <v>20</v>
      </c>
      <c r="D883" s="30">
        <f>+SUMIFS(PROVEEDORES[Total],PROVEEDORES[PROVEEDOR],PROVEEDORES[[#This Row],[PROVEEDOR]],PROVEEDORES[FECHA DE PAGO],"")</f>
        <v>0</v>
      </c>
      <c r="E883" s="30"/>
      <c r="F883" s="73" t="str">
        <f>+VLOOKUP(PROVEEDORES[[#This Row],[PROVEEDOR]],TERCEROS_INFO[[PROVEEDOR]:[CORREO]],5,FALSE)</f>
        <v>alexenriquez73.ae@gmail.com;girlesa.ruiz@servipilas.com;joriescobar64@gmail.com;info@servipilas.com</v>
      </c>
      <c r="G883" s="111">
        <v>44494</v>
      </c>
      <c r="H883" s="31" t="s">
        <v>557</v>
      </c>
      <c r="I883" s="111">
        <v>44488</v>
      </c>
      <c r="J883" s="48" t="s">
        <v>559</v>
      </c>
      <c r="K883" s="26">
        <v>12000000</v>
      </c>
      <c r="L883" s="26"/>
      <c r="M883" s="27">
        <v>0</v>
      </c>
      <c r="N883" s="28"/>
      <c r="O883" s="27">
        <v>0</v>
      </c>
      <c r="P883" s="28">
        <v>0.04</v>
      </c>
      <c r="Q883" s="27">
        <v>480000</v>
      </c>
      <c r="R883" s="26">
        <v>11520000</v>
      </c>
      <c r="S883" s="115">
        <f ca="1">IF(PROVEEDORES[[#This Row],[FECHA DE PAGO]]=0,TODAY()-PROVEEDORES[[#This Row],[FECHA DE FACTURACIÓN]]-PROVEEDORES[[#This Row],[PLAZO Días]],0)</f>
        <v>0</v>
      </c>
      <c r="T88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4" spans="1:20" ht="21.9" customHeight="1" x14ac:dyDescent="0.3">
      <c r="A884" s="113" t="str">
        <f>+IF(PROVEEDORES[[#This Row],[FECHA DE PAGO]]=PROVEEDORES[[#This Row],[FECHA DE FACTURACIÓN]],"DE CONTADO","CRÉDITO")</f>
        <v>CRÉDITO</v>
      </c>
      <c r="B884" s="51" t="str">
        <f>+IF((PROVEEDORES[[#This Row],[FECHA DE PAGO]]-PROVEEDORES[[#This Row],[FECHA DE FACTURACIÓN]])&gt;PROVEEDORES[[#This Row],[PLAZO Días]],"PAGO VENCIDO")</f>
        <v>PAGO VENCIDO</v>
      </c>
      <c r="C884" s="25">
        <f>+VLOOKUP(PROVEEDORES[[#This Row],[PROVEEDOR]],TERCEROS_INFO[#All],2,FALSE)</f>
        <v>30</v>
      </c>
      <c r="D884" s="30">
        <f>+SUMIFS(PROVEEDORES[Total],PROVEEDORES[PROVEEDOR],PROVEEDORES[[#This Row],[PROVEEDOR]],PROVEEDORES[FECHA DE PAGO],"")</f>
        <v>0</v>
      </c>
      <c r="E884" s="30"/>
      <c r="F884" s="73" t="str">
        <f>+VLOOKUP(PROVEEDORES[[#This Row],[PROVEEDOR]],TERCEROS_INFO[[PROVEEDOR]:[CORREO]],5,FALSE)</f>
        <v>Tuspilas.co@gmail.com;girlesa.ruiz@servipilas.com;joriescobar64@gmail.com</v>
      </c>
      <c r="G884" s="111">
        <v>44524</v>
      </c>
      <c r="H884" s="31" t="s">
        <v>43</v>
      </c>
      <c r="I884" s="111">
        <v>44489</v>
      </c>
      <c r="J884" s="48" t="s">
        <v>561</v>
      </c>
      <c r="K884" s="26">
        <v>137143.20000000001</v>
      </c>
      <c r="L884" s="26"/>
      <c r="M884" s="27">
        <v>26057.208000000002</v>
      </c>
      <c r="N884" s="28"/>
      <c r="O884" s="27">
        <v>0</v>
      </c>
      <c r="P884" s="28">
        <v>0</v>
      </c>
      <c r="Q884" s="27">
        <v>0</v>
      </c>
      <c r="R884" s="26">
        <v>163200.40800000002</v>
      </c>
      <c r="S884" s="115">
        <f ca="1">IF(PROVEEDORES[[#This Row],[FECHA DE PAGO]]=0,TODAY()-PROVEEDORES[[#This Row],[FECHA DE FACTURACIÓN]]-PROVEEDORES[[#This Row],[PLAZO Días]],0)</f>
        <v>0</v>
      </c>
      <c r="T8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5" spans="1:20" ht="21.9" customHeight="1" x14ac:dyDescent="0.3">
      <c r="A885" s="113" t="str">
        <f>+IF(PROVEEDORES[[#This Row],[FECHA DE PAGO]]=PROVEEDORES[[#This Row],[FECHA DE FACTURACIÓN]],"DE CONTADO","CRÉDITO")</f>
        <v>CRÉDITO</v>
      </c>
      <c r="B885" s="51" t="b">
        <f>+IF((PROVEEDORES[[#This Row],[FECHA DE PAGO]]-PROVEEDORES[[#This Row],[FECHA DE FACTURACIÓN]])&gt;PROVEEDORES[[#This Row],[PLAZO Días]],"PAGO VENCIDO")</f>
        <v>0</v>
      </c>
      <c r="C885" s="25">
        <f>+VLOOKUP(PROVEEDORES[[#This Row],[PROVEEDOR]],TERCEROS_INFO[#All],2,FALSE)</f>
        <v>30</v>
      </c>
      <c r="D885" s="30">
        <f>+SUMIFS(PROVEEDORES[Total],PROVEEDORES[PROVEEDOR],PROVEEDORES[[#This Row],[PROVEEDOR]],PROVEEDORES[FECHA DE PAGO],"")</f>
        <v>195500</v>
      </c>
      <c r="E885" s="30"/>
      <c r="F885" s="73" t="str">
        <f>+VLOOKUP(PROVEEDORES[[#This Row],[PROVEEDOR]],TERCEROS_INFO[[PROVEEDOR]:[CORREO]],5,FALSE)</f>
        <v/>
      </c>
      <c r="G885" s="111">
        <v>44498</v>
      </c>
      <c r="H885" s="31" t="s">
        <v>1053</v>
      </c>
      <c r="I885" s="111">
        <v>44489</v>
      </c>
      <c r="J885" s="48" t="s">
        <v>822</v>
      </c>
      <c r="K885" s="26">
        <v>149700</v>
      </c>
      <c r="L885" s="26"/>
      <c r="M885" s="27">
        <v>0</v>
      </c>
      <c r="N885" s="28"/>
      <c r="O885" s="27">
        <v>0</v>
      </c>
      <c r="P885" s="28">
        <v>0</v>
      </c>
      <c r="Q885" s="27">
        <v>0</v>
      </c>
      <c r="R885" s="26">
        <v>149700</v>
      </c>
      <c r="S885" s="115">
        <f ca="1">IF(PROVEEDORES[[#This Row],[FECHA DE PAGO]]=0,TODAY()-PROVEEDORES[[#This Row],[FECHA DE FACTURACIÓN]]-PROVEEDORES[[#This Row],[PLAZO Días]],0)</f>
        <v>0</v>
      </c>
      <c r="T88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6" spans="1:20" ht="21.9" customHeight="1" x14ac:dyDescent="0.3">
      <c r="A886" s="113" t="str">
        <f>+IF(PROVEEDORES[[#This Row],[FECHA DE PAGO]]=PROVEEDORES[[#This Row],[FECHA DE FACTURACIÓN]],"DE CONTADO","CRÉDITO")</f>
        <v>CRÉDITO</v>
      </c>
      <c r="B886" s="51" t="str">
        <f>+IF((PROVEEDORES[[#This Row],[FECHA DE PAGO]]-PROVEEDORES[[#This Row],[FECHA DE FACTURACIÓN]])&gt;PROVEEDORES[[#This Row],[PLAZO Días]],"PAGO VENCIDO")</f>
        <v>PAGO VENCIDO</v>
      </c>
      <c r="C886" s="25">
        <f>+VLOOKUP(PROVEEDORES[[#This Row],[PROVEEDOR]],TERCEROS_INFO[#All],2,FALSE)</f>
        <v>30</v>
      </c>
      <c r="D886" s="30">
        <f>+SUMIFS(PROVEEDORES[Total],PROVEEDORES[PROVEEDOR],PROVEEDORES[[#This Row],[PROVEEDOR]],PROVEEDORES[FECHA DE PAGO],"")</f>
        <v>0</v>
      </c>
      <c r="E886" s="30"/>
      <c r="F886" s="73" t="str">
        <f>+VLOOKUP(PROVEEDORES[[#This Row],[PROVEEDOR]],TERCEROS_INFO[[PROVEEDOR]:[CORREO]],5,FALSE)</f>
        <v>Tuspilas.co@gmail.com;girlesa.ruiz@servipilas.com;joriescobar64@gmail.com</v>
      </c>
      <c r="G886" s="111">
        <v>44524</v>
      </c>
      <c r="H886" s="31" t="s">
        <v>43</v>
      </c>
      <c r="I886" s="111">
        <v>44489</v>
      </c>
      <c r="J886" s="48" t="s">
        <v>560</v>
      </c>
      <c r="K886" s="26">
        <v>475143.2</v>
      </c>
      <c r="L886" s="26"/>
      <c r="M886" s="27">
        <v>90277.207999999999</v>
      </c>
      <c r="N886" s="28"/>
      <c r="O886" s="27">
        <v>0</v>
      </c>
      <c r="P886" s="28">
        <v>0</v>
      </c>
      <c r="Q886" s="27">
        <v>0</v>
      </c>
      <c r="R886" s="26">
        <v>565420.40800000005</v>
      </c>
      <c r="S886" s="115">
        <f ca="1">IF(PROVEEDORES[[#This Row],[FECHA DE PAGO]]=0,TODAY()-PROVEEDORES[[#This Row],[FECHA DE FACTURACIÓN]]-PROVEEDORES[[#This Row],[PLAZO Días]],0)</f>
        <v>0</v>
      </c>
      <c r="T88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7" spans="1:20" ht="21.9" customHeight="1" x14ac:dyDescent="0.3">
      <c r="A887" s="113" t="str">
        <f>+IF(PROVEEDORES[[#This Row],[FECHA DE PAGO]]=PROVEEDORES[[#This Row],[FECHA DE FACTURACIÓN]],"DE CONTADO","CRÉDITO")</f>
        <v>CRÉDITO</v>
      </c>
      <c r="B887" s="51" t="str">
        <f>+IF((PROVEEDORES[[#This Row],[FECHA DE PAGO]]-PROVEEDORES[[#This Row],[FECHA DE FACTURACIÓN]])&gt;PROVEEDORES[[#This Row],[PLAZO Días]],"PAGO VENCIDO")</f>
        <v>PAGO VENCIDO</v>
      </c>
      <c r="C887" s="25">
        <f>+VLOOKUP(PROVEEDORES[[#This Row],[PROVEEDOR]],TERCEROS_INFO[#All],2,FALSE)</f>
        <v>30</v>
      </c>
      <c r="D887" s="30">
        <f>+SUMIFS(PROVEEDORES[Total],PROVEEDORES[PROVEEDOR],PROVEEDORES[[#This Row],[PROVEEDOR]],PROVEEDORES[FECHA DE PAGO],"")</f>
        <v>0</v>
      </c>
      <c r="E887" s="30"/>
      <c r="F887" s="73" t="str">
        <f>+VLOOKUP(PROVEEDORES[[#This Row],[PROVEEDOR]],TERCEROS_INFO[[PROVEEDOR]:[CORREO]],5,FALSE)</f>
        <v>lpena@tbplusenergy.com;girlesa.ruiz@servipilas.com;joriescobar64@gmail.com</v>
      </c>
      <c r="G887" s="111">
        <v>44537</v>
      </c>
      <c r="H887" s="31" t="s">
        <v>474</v>
      </c>
      <c r="I887" s="111">
        <v>44489</v>
      </c>
      <c r="J887" s="48">
        <v>10568</v>
      </c>
      <c r="K887" s="26">
        <v>580000</v>
      </c>
      <c r="L887" s="26"/>
      <c r="M887" s="27">
        <v>110200</v>
      </c>
      <c r="N887" s="28"/>
      <c r="O887" s="27">
        <v>0</v>
      </c>
      <c r="P887" s="28">
        <v>0</v>
      </c>
      <c r="Q887" s="27">
        <v>0</v>
      </c>
      <c r="R887" s="26">
        <v>690200</v>
      </c>
      <c r="S887" s="115">
        <f ca="1">IF(PROVEEDORES[[#This Row],[FECHA DE PAGO]]=0,TODAY()-PROVEEDORES[[#This Row],[FECHA DE FACTURACIÓN]]-PROVEEDORES[[#This Row],[PLAZO Días]],0)</f>
        <v>0</v>
      </c>
      <c r="T8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8" spans="1:20" ht="21.9" customHeight="1" x14ac:dyDescent="0.3">
      <c r="A888" s="113" t="str">
        <f>+IF(PROVEEDORES[[#This Row],[FECHA DE PAGO]]=PROVEEDORES[[#This Row],[FECHA DE FACTURACIÓN]],"DE CONTADO","CRÉDITO")</f>
        <v>CRÉDITO</v>
      </c>
      <c r="B888" s="51" t="b">
        <f>+IF((PROVEEDORES[[#This Row],[FECHA DE PAGO]]-PROVEEDORES[[#This Row],[FECHA DE FACTURACIÓN]])&gt;PROVEEDORES[[#This Row],[PLAZO Días]],"PAGO VENCIDO")</f>
        <v>0</v>
      </c>
      <c r="C888" s="25">
        <f>+VLOOKUP(PROVEEDORES[[#This Row],[PROVEEDOR]],TERCEROS_INFO[#All],2,FALSE)</f>
        <v>45</v>
      </c>
      <c r="D888" s="30">
        <f>+SUMIFS(PROVEEDORES[Total],PROVEEDORES[PROVEEDOR],PROVEEDORES[[#This Row],[PROVEEDOR]],PROVEEDORES[FECHA DE PAGO],"")</f>
        <v>0</v>
      </c>
      <c r="E888" s="30"/>
      <c r="F888" s="73">
        <f>+VLOOKUP(PROVEEDORES[[#This Row],[PROVEEDOR]],TERCEROS_INFO[[PROVEEDOR]:[CORREO]],5,FALSE)</f>
        <v>0</v>
      </c>
      <c r="G888" s="111">
        <v>44504</v>
      </c>
      <c r="H888" s="31" t="s">
        <v>562</v>
      </c>
      <c r="I888" s="111">
        <v>44489</v>
      </c>
      <c r="J888" s="48" t="s">
        <v>854</v>
      </c>
      <c r="K888" s="26">
        <v>800000</v>
      </c>
      <c r="L888" s="26"/>
      <c r="M888" s="27">
        <v>0</v>
      </c>
      <c r="N888" s="28"/>
      <c r="O888" s="27">
        <v>0</v>
      </c>
      <c r="P888" s="28">
        <v>0</v>
      </c>
      <c r="Q888" s="27">
        <v>0</v>
      </c>
      <c r="R888" s="26">
        <v>800000</v>
      </c>
      <c r="S888" s="115">
        <f ca="1">IF(PROVEEDORES[[#This Row],[FECHA DE PAGO]]=0,TODAY()-PROVEEDORES[[#This Row],[FECHA DE FACTURACIÓN]]-PROVEEDORES[[#This Row],[PLAZO Días]],0)</f>
        <v>0</v>
      </c>
      <c r="T8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89" spans="1:20" ht="21.9" customHeight="1" x14ac:dyDescent="0.3">
      <c r="A889" s="113" t="str">
        <f>+IF(PROVEEDORES[[#This Row],[FECHA DE PAGO]]=PROVEEDORES[[#This Row],[FECHA DE FACTURACIÓN]],"DE CONTADO","CRÉDITO")</f>
        <v>CRÉDITO</v>
      </c>
      <c r="B889" s="51" t="str">
        <f>+IF((PROVEEDORES[[#This Row],[FECHA DE PAGO]]-PROVEEDORES[[#This Row],[FECHA DE FACTURACIÓN]])&gt;PROVEEDORES[[#This Row],[PLAZO Días]],"PAGO VENCIDO")</f>
        <v>PAGO VENCIDO</v>
      </c>
      <c r="C889" s="25">
        <f>+VLOOKUP(PROVEEDORES[[#This Row],[PROVEEDOR]],TERCEROS_INFO[#All],2,FALSE)</f>
        <v>30</v>
      </c>
      <c r="D889" s="30">
        <f>+SUMIFS(PROVEEDORES[Total],PROVEEDORES[PROVEEDOR],PROVEEDORES[[#This Row],[PROVEEDOR]],PROVEEDORES[FECHA DE PAGO],"")</f>
        <v>0</v>
      </c>
      <c r="E889" s="30"/>
      <c r="F889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889" s="111">
        <v>44530</v>
      </c>
      <c r="H889" s="31" t="s">
        <v>514</v>
      </c>
      <c r="I889" s="111">
        <v>44489</v>
      </c>
      <c r="J889" s="48" t="s">
        <v>575</v>
      </c>
      <c r="K889" s="26">
        <v>3176062</v>
      </c>
      <c r="L889" s="26"/>
      <c r="M889" s="27">
        <v>603451.78</v>
      </c>
      <c r="N889" s="28"/>
      <c r="O889" s="27">
        <v>0</v>
      </c>
      <c r="P889" s="28">
        <v>0</v>
      </c>
      <c r="Q889" s="27">
        <v>0</v>
      </c>
      <c r="R889" s="26">
        <v>3779513.7800000003</v>
      </c>
      <c r="S889" s="115">
        <f ca="1">IF(PROVEEDORES[[#This Row],[FECHA DE PAGO]]=0,TODAY()-PROVEEDORES[[#This Row],[FECHA DE FACTURACIÓN]]-PROVEEDORES[[#This Row],[PLAZO Días]],0)</f>
        <v>0</v>
      </c>
      <c r="T8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0" spans="1:20" ht="21.9" customHeight="1" x14ac:dyDescent="0.3">
      <c r="A890" s="113" t="str">
        <f>+IF(PROVEEDORES[[#This Row],[FECHA DE PAGO]]=PROVEEDORES[[#This Row],[FECHA DE FACTURACIÓN]],"DE CONTADO","CRÉDITO")</f>
        <v>CRÉDITO</v>
      </c>
      <c r="B890" s="51" t="str">
        <f>+IF((PROVEEDORES[[#This Row],[FECHA DE PAGO]]-PROVEEDORES[[#This Row],[FECHA DE FACTURACIÓN]])&gt;PROVEEDORES[[#This Row],[PLAZO Días]],"PAGO VENCIDO")</f>
        <v>PAGO VENCIDO</v>
      </c>
      <c r="C890" s="25">
        <f>+VLOOKUP(PROVEEDORES[[#This Row],[PROVEEDOR]],TERCEROS_INFO[#All],2,FALSE)</f>
        <v>30</v>
      </c>
      <c r="D890" s="30">
        <f>+SUMIFS(PROVEEDORES[Total],PROVEEDORES[PROVEEDOR],PROVEEDORES[[#This Row],[PROVEEDOR]],PROVEEDORES[FECHA DE PAGO],"")</f>
        <v>0</v>
      </c>
      <c r="E890" s="30"/>
      <c r="F890" s="73" t="str">
        <f>+VLOOKUP(PROVEEDORES[[#This Row],[PROVEEDOR]],TERCEROS_INFO[[PROVEEDOR]:[CORREO]],5,FALSE)</f>
        <v>swizzeraux2@gmail.com;girlesa.ruiz@servipilas.com;joriescobar64@gmail.com</v>
      </c>
      <c r="G890" s="111">
        <v>44536</v>
      </c>
      <c r="H890" s="31" t="s">
        <v>1077</v>
      </c>
      <c r="I890" s="111">
        <v>44490</v>
      </c>
      <c r="J890" s="48" t="s">
        <v>856</v>
      </c>
      <c r="K890" s="26">
        <v>133000</v>
      </c>
      <c r="L890" s="26"/>
      <c r="M890" s="27">
        <v>0</v>
      </c>
      <c r="N890" s="28"/>
      <c r="O890" s="27">
        <v>0</v>
      </c>
      <c r="P890" s="28">
        <v>0</v>
      </c>
      <c r="Q890" s="27">
        <v>0</v>
      </c>
      <c r="R890" s="26">
        <v>133000</v>
      </c>
      <c r="S890" s="115">
        <f ca="1">IF(PROVEEDORES[[#This Row],[FECHA DE PAGO]]=0,TODAY()-PROVEEDORES[[#This Row],[FECHA DE FACTURACIÓN]]-PROVEEDORES[[#This Row],[PLAZO Días]],0)</f>
        <v>0</v>
      </c>
      <c r="T8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1" spans="1:20" ht="21.9" customHeight="1" x14ac:dyDescent="0.3">
      <c r="A891" s="113" t="str">
        <f>+IF(PROVEEDORES[[#This Row],[FECHA DE PAGO]]=PROVEEDORES[[#This Row],[FECHA DE FACTURACIÓN]],"DE CONTADO","CRÉDITO")</f>
        <v>CRÉDITO</v>
      </c>
      <c r="B891" s="51" t="str">
        <f>+IF((PROVEEDORES[[#This Row],[FECHA DE PAGO]]-PROVEEDORES[[#This Row],[FECHA DE FACTURACIÓN]])&gt;PROVEEDORES[[#This Row],[PLAZO Días]],"PAGO VENCIDO")</f>
        <v>PAGO VENCIDO</v>
      </c>
      <c r="C891" s="25">
        <f>+VLOOKUP(PROVEEDORES[[#This Row],[PROVEEDOR]],TERCEROS_INFO[#All],2,FALSE)</f>
        <v>30</v>
      </c>
      <c r="D891" s="30">
        <f>+SUMIFS(PROVEEDORES[Total],PROVEEDORES[PROVEEDOR],PROVEEDORES[[#This Row],[PROVEEDOR]],PROVEEDORES[FECHA DE PAGO],"")</f>
        <v>0</v>
      </c>
      <c r="E891" s="30"/>
      <c r="F891" s="73" t="str">
        <f>+VLOOKUP(PROVEEDORES[[#This Row],[PROVEEDOR]],TERCEROS_INFO[[PROVEEDOR]:[CORREO]],5,FALSE)</f>
        <v>swizzeraux2@gmail.com;girlesa.ruiz@servipilas.com;joriescobar64@gmail.com</v>
      </c>
      <c r="G891" s="111">
        <v>44536</v>
      </c>
      <c r="H891" s="31" t="s">
        <v>1077</v>
      </c>
      <c r="I891" s="111">
        <v>44490</v>
      </c>
      <c r="J891" s="48" t="s">
        <v>855</v>
      </c>
      <c r="K891" s="26">
        <v>712300</v>
      </c>
      <c r="L891" s="26"/>
      <c r="M891" s="27">
        <v>0</v>
      </c>
      <c r="N891" s="28"/>
      <c r="O891" s="27">
        <v>0</v>
      </c>
      <c r="P891" s="28">
        <v>0</v>
      </c>
      <c r="Q891" s="27">
        <v>0</v>
      </c>
      <c r="R891" s="26">
        <v>712300</v>
      </c>
      <c r="S891" s="115">
        <f ca="1">IF(PROVEEDORES[[#This Row],[FECHA DE PAGO]]=0,TODAY()-PROVEEDORES[[#This Row],[FECHA DE FACTURACIÓN]]-PROVEEDORES[[#This Row],[PLAZO Días]],0)</f>
        <v>0</v>
      </c>
      <c r="T8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2" spans="1:20" ht="21.9" customHeight="1" x14ac:dyDescent="0.3">
      <c r="A892" s="113" t="str">
        <f>+IF(PROVEEDORES[[#This Row],[FECHA DE PAGO]]=PROVEEDORES[[#This Row],[FECHA DE FACTURACIÓN]],"DE CONTADO","CRÉDITO")</f>
        <v>DE CONTADO</v>
      </c>
      <c r="B892" s="51" t="b">
        <f>+IF((PROVEEDORES[[#This Row],[FECHA DE PAGO]]-PROVEEDORES[[#This Row],[FECHA DE FACTURACIÓN]])&gt;PROVEEDORES[[#This Row],[PLAZO Días]],"PAGO VENCIDO")</f>
        <v>0</v>
      </c>
      <c r="C892" s="25">
        <f>+VLOOKUP(PROVEEDORES[[#This Row],[PROVEEDOR]],TERCEROS_INFO[#All],2,FALSE)</f>
        <v>30</v>
      </c>
      <c r="D892" s="30">
        <f>+SUMIFS(PROVEEDORES[Total],PROVEEDORES[PROVEEDOR],PROVEEDORES[[#This Row],[PROVEEDOR]],PROVEEDORES[FECHA DE PAGO],"")</f>
        <v>0</v>
      </c>
      <c r="E892" s="30"/>
      <c r="F892" s="73" t="str">
        <f>+VLOOKUP(PROVEEDORES[[#This Row],[PROVEEDOR]],TERCEROS_INFO[[PROVEEDOR]:[CORREO]],5,FALSE)</f>
        <v/>
      </c>
      <c r="G892" s="111">
        <v>44490</v>
      </c>
      <c r="H892" s="31" t="s">
        <v>1052</v>
      </c>
      <c r="I892" s="111">
        <v>44490</v>
      </c>
      <c r="J892" s="48"/>
      <c r="K892" s="26">
        <v>1000000</v>
      </c>
      <c r="L892" s="26"/>
      <c r="M892" s="27">
        <v>0</v>
      </c>
      <c r="N892" s="28"/>
      <c r="O892" s="27">
        <v>0</v>
      </c>
      <c r="P892" s="28">
        <v>0</v>
      </c>
      <c r="Q892" s="27">
        <v>0</v>
      </c>
      <c r="R892" s="26">
        <v>1000000</v>
      </c>
      <c r="S892" s="115">
        <f ca="1">IF(PROVEEDORES[[#This Row],[FECHA DE PAGO]]=0,TODAY()-PROVEEDORES[[#This Row],[FECHA DE FACTURACIÓN]]-PROVEEDORES[[#This Row],[PLAZO Días]],0)</f>
        <v>0</v>
      </c>
      <c r="T8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3" spans="1:20" ht="21.9" customHeight="1" x14ac:dyDescent="0.3">
      <c r="A893" s="113" t="str">
        <f>+IF(PROVEEDORES[[#This Row],[FECHA DE PAGO]]=PROVEEDORES[[#This Row],[FECHA DE FACTURACIÓN]],"DE CONTADO","CRÉDITO")</f>
        <v>CRÉDITO</v>
      </c>
      <c r="B893" s="51" t="b">
        <f>+IF((PROVEEDORES[[#This Row],[FECHA DE PAGO]]-PROVEEDORES[[#This Row],[FECHA DE FACTURACIÓN]])&gt;PROVEEDORES[[#This Row],[PLAZO Días]],"PAGO VENCIDO")</f>
        <v>0</v>
      </c>
      <c r="C893" s="25">
        <f>+VLOOKUP(PROVEEDORES[[#This Row],[PROVEEDOR]],TERCEROS_INFO[#All],2,FALSE)</f>
        <v>45</v>
      </c>
      <c r="D893" s="30">
        <f>+SUMIFS(PROVEEDORES[Total],PROVEEDORES[PROVEEDOR],PROVEEDORES[[#This Row],[PROVEEDOR]],PROVEEDORES[FECHA DE PAGO],"")</f>
        <v>1328100</v>
      </c>
      <c r="E893" s="30"/>
      <c r="F893" s="73" t="str">
        <f>+VLOOKUP(PROVEEDORES[[#This Row],[PROVEEDOR]],TERCEROS_INFO[[PROVEEDOR]:[CORREO]],5,FALSE)</f>
        <v>jessica.barios.com@carpainternacional;girlesa.ruiz@servipilas.com;joriescobar64@gmail.com</v>
      </c>
      <c r="G893" s="111">
        <v>44503</v>
      </c>
      <c r="H893" s="31" t="s">
        <v>609</v>
      </c>
      <c r="I893" s="111">
        <v>44490</v>
      </c>
      <c r="J893" s="48" t="s">
        <v>563</v>
      </c>
      <c r="K893" s="26">
        <v>1636363.8599999999</v>
      </c>
      <c r="L893" s="26"/>
      <c r="M893" s="27">
        <v>0</v>
      </c>
      <c r="N893" s="28"/>
      <c r="O893" s="27">
        <v>0</v>
      </c>
      <c r="P893" s="28">
        <v>0</v>
      </c>
      <c r="Q893" s="27">
        <v>0</v>
      </c>
      <c r="R893" s="26">
        <v>1636363.8599999999</v>
      </c>
      <c r="S893" s="115">
        <f ca="1">IF(PROVEEDORES[[#This Row],[FECHA DE PAGO]]=0,TODAY()-PROVEEDORES[[#This Row],[FECHA DE FACTURACIÓN]]-PROVEEDORES[[#This Row],[PLAZO Días]],0)</f>
        <v>0</v>
      </c>
      <c r="T8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4" spans="1:20" ht="21.9" customHeight="1" x14ac:dyDescent="0.3">
      <c r="A894" s="113" t="str">
        <f>+IF(PROVEEDORES[[#This Row],[FECHA DE PAGO]]=PROVEEDORES[[#This Row],[FECHA DE FACTURACIÓN]],"DE CONTADO","CRÉDITO")</f>
        <v>CRÉDITO</v>
      </c>
      <c r="B894" s="51" t="str">
        <f>+IF((PROVEEDORES[[#This Row],[FECHA DE PAGO]]-PROVEEDORES[[#This Row],[FECHA DE FACTURACIÓN]])&gt;PROVEEDORES[[#This Row],[PLAZO Días]],"PAGO VENCIDO")</f>
        <v>PAGO VENCIDO</v>
      </c>
      <c r="C894" s="25">
        <f>+VLOOKUP(PROVEEDORES[[#This Row],[PROVEEDOR]],TERCEROS_INFO[#All],2,FALSE)</f>
        <v>30</v>
      </c>
      <c r="D894" s="30">
        <f>+SUMIFS(PROVEEDORES[Total],PROVEEDORES[PROVEEDOR],PROVEEDORES[[#This Row],[PROVEEDOR]],PROVEEDORES[FECHA DE PAGO],"")</f>
        <v>4078650.6</v>
      </c>
      <c r="E894" s="30"/>
      <c r="F894" s="73" t="str">
        <f>+VLOOKUP(PROVEEDORES[[#This Row],[PROVEEDOR]],TERCEROS_INFO[[PROVEEDOR]:[CORREO]],5,FALSE)</f>
        <v>financiera@nalpicentral.com;girlesa.ruiz@servipilas.com;joriescobar64@gmail.com</v>
      </c>
      <c r="G894" s="111">
        <v>44537</v>
      </c>
      <c r="H894" s="31" t="s">
        <v>1095</v>
      </c>
      <c r="I894" s="111">
        <v>44490</v>
      </c>
      <c r="J894" s="48">
        <v>23042</v>
      </c>
      <c r="K894" s="26">
        <v>2798870</v>
      </c>
      <c r="L894" s="26">
        <v>110990</v>
      </c>
      <c r="M894" s="27">
        <v>510697.2</v>
      </c>
      <c r="N894" s="28"/>
      <c r="O894" s="27">
        <v>0</v>
      </c>
      <c r="P894" s="28">
        <v>2.5000000000000001E-2</v>
      </c>
      <c r="Q894" s="27">
        <v>67197</v>
      </c>
      <c r="R894" s="26">
        <v>3131380.2</v>
      </c>
      <c r="S894" s="115">
        <f ca="1">IF(PROVEEDORES[[#This Row],[FECHA DE PAGO]]=0,TODAY()-PROVEEDORES[[#This Row],[FECHA DE FACTURACIÓN]]-PROVEEDORES[[#This Row],[PLAZO Días]],0)</f>
        <v>0</v>
      </c>
      <c r="T8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5" spans="1:20" ht="21.9" customHeight="1" x14ac:dyDescent="0.3">
      <c r="A895" s="113" t="str">
        <f>+IF(PROVEEDORES[[#This Row],[FECHA DE PAGO]]=PROVEEDORES[[#This Row],[FECHA DE FACTURACIÓN]],"DE CONTADO","CRÉDITO")</f>
        <v>CRÉDITO</v>
      </c>
      <c r="B895" s="51" t="str">
        <f>+IF((PROVEEDORES[[#This Row],[FECHA DE PAGO]]-PROVEEDORES[[#This Row],[FECHA DE FACTURACIÓN]])&gt;PROVEEDORES[[#This Row],[PLAZO Días]],"PAGO VENCIDO")</f>
        <v>PAGO VENCIDO</v>
      </c>
      <c r="C895" s="25">
        <f>+VLOOKUP(PROVEEDORES[[#This Row],[PROVEEDOR]],TERCEROS_INFO[#All],2,FALSE)</f>
        <v>30</v>
      </c>
      <c r="D895" s="30">
        <f>+SUMIFS(PROVEEDORES[Total],PROVEEDORES[PROVEEDOR],PROVEEDORES[[#This Row],[PROVEEDOR]],PROVEEDORES[FECHA DE PAGO],"")</f>
        <v>1064947.47</v>
      </c>
      <c r="E895" s="30"/>
      <c r="F895" s="73" t="str">
        <f>+VLOOKUP(PROVEEDORES[[#This Row],[PROVEEDOR]],TERCEROS_INFO[[PROVEEDOR]:[CORREO]],5,FALSE)</f>
        <v>supervisorventasbridge@gmail.com;newtimewatches1@gmail.com;girlesa.ruiz@servipilas.com;joriescobar64@gmail.com</v>
      </c>
      <c r="G895" s="111">
        <v>44537</v>
      </c>
      <c r="H895" s="31" t="s">
        <v>137</v>
      </c>
      <c r="I895" s="111">
        <v>44491</v>
      </c>
      <c r="J895" s="48">
        <v>43</v>
      </c>
      <c r="K895" s="26">
        <v>522353</v>
      </c>
      <c r="L895" s="26"/>
      <c r="M895" s="27">
        <v>99247.07</v>
      </c>
      <c r="N895" s="28"/>
      <c r="O895" s="27">
        <v>0</v>
      </c>
      <c r="P895" s="28">
        <v>0</v>
      </c>
      <c r="Q895" s="27">
        <v>0</v>
      </c>
      <c r="R895" s="26">
        <v>621600.07000000007</v>
      </c>
      <c r="S895" s="115">
        <f ca="1">IF(PROVEEDORES[[#This Row],[FECHA DE PAGO]]=0,TODAY()-PROVEEDORES[[#This Row],[FECHA DE FACTURACIÓN]]-PROVEEDORES[[#This Row],[PLAZO Días]],0)</f>
        <v>0</v>
      </c>
      <c r="T8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6" spans="1:20" ht="21.9" customHeight="1" x14ac:dyDescent="0.3">
      <c r="A896" s="113" t="str">
        <f>+IF(PROVEEDORES[[#This Row],[FECHA DE PAGO]]=PROVEEDORES[[#This Row],[FECHA DE FACTURACIÓN]],"DE CONTADO","CRÉDITO")</f>
        <v>CRÉDITO</v>
      </c>
      <c r="B896" s="51" t="b">
        <f>+IF((PROVEEDORES[[#This Row],[FECHA DE PAGO]]-PROVEEDORES[[#This Row],[FECHA DE FACTURACIÓN]])&gt;PROVEEDORES[[#This Row],[PLAZO Días]],"PAGO VENCIDO")</f>
        <v>0</v>
      </c>
      <c r="C896" s="25">
        <f>+VLOOKUP(PROVEEDORES[[#This Row],[PROVEEDOR]],TERCEROS_INFO[#All],2,FALSE)</f>
        <v>30</v>
      </c>
      <c r="D896" s="30">
        <f>+SUMIFS(PROVEEDORES[Total],PROVEEDORES[PROVEEDOR],PROVEEDORES[[#This Row],[PROVEEDOR]],PROVEEDORES[FECHA DE PAGO],"")</f>
        <v>0</v>
      </c>
      <c r="E896" s="30"/>
      <c r="F896" s="73" t="str">
        <f>+VLOOKUP(PROVEEDORES[[#This Row],[PROVEEDOR]],TERCEROS_INFO[[PROVEEDOR]:[CORREO]],5,FALSE)</f>
        <v/>
      </c>
      <c r="G896" s="111">
        <v>44492</v>
      </c>
      <c r="H896" s="31" t="s">
        <v>1075</v>
      </c>
      <c r="I896" s="111">
        <v>44491</v>
      </c>
      <c r="J896" s="48" t="s">
        <v>857</v>
      </c>
      <c r="K896" s="26">
        <v>1327986</v>
      </c>
      <c r="L896" s="26"/>
      <c r="M896" s="27">
        <v>0</v>
      </c>
      <c r="N896" s="28"/>
      <c r="O896" s="27">
        <v>0</v>
      </c>
      <c r="P896" s="28">
        <v>0</v>
      </c>
      <c r="Q896" s="27">
        <v>0</v>
      </c>
      <c r="R896" s="26">
        <v>1327986</v>
      </c>
      <c r="S896" s="115">
        <f ca="1">IF(PROVEEDORES[[#This Row],[FECHA DE PAGO]]=0,TODAY()-PROVEEDORES[[#This Row],[FECHA DE FACTURACIÓN]]-PROVEEDORES[[#This Row],[PLAZO Días]],0)</f>
        <v>0</v>
      </c>
      <c r="T89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7" spans="1:20" ht="21.9" customHeight="1" x14ac:dyDescent="0.3">
      <c r="A897" s="113" t="str">
        <f>+IF(PROVEEDORES[[#This Row],[FECHA DE PAGO]]=PROVEEDORES[[#This Row],[FECHA DE FACTURACIÓN]],"DE CONTADO","CRÉDITO")</f>
        <v>CRÉDITO</v>
      </c>
      <c r="B897" s="51" t="b">
        <f>+IF((PROVEEDORES[[#This Row],[FECHA DE PAGO]]-PROVEEDORES[[#This Row],[FECHA DE FACTURACIÓN]])&gt;PROVEEDORES[[#This Row],[PLAZO Días]],"PAGO VENCIDO")</f>
        <v>0</v>
      </c>
      <c r="C897" s="25">
        <f>+VLOOKUP(PROVEEDORES[[#This Row],[PROVEEDOR]],TERCEROS_INFO[#All],2,FALSE)</f>
        <v>10</v>
      </c>
      <c r="D897" s="30">
        <f>+SUMIFS(PROVEEDORES[Total],PROVEEDORES[PROVEEDOR],PROVEEDORES[[#This Row],[PROVEEDOR]],PROVEEDORES[FECHA DE PAGO],"")</f>
        <v>0</v>
      </c>
      <c r="E897" s="30"/>
      <c r="F897" s="73" t="str">
        <f>+VLOOKUP(PROVEEDORES[[#This Row],[PROVEEDOR]],TERCEROS_INFO[[PROVEEDOR]:[CORREO]],5,FALSE)</f>
        <v>ventasonline@disantioquia.com.co;girlesa.ruiz@servipilas.com;joriescobar64@gmail.com</v>
      </c>
      <c r="G897" s="111">
        <v>44498</v>
      </c>
      <c r="H897" s="31" t="s">
        <v>569</v>
      </c>
      <c r="I897" s="111">
        <v>44492</v>
      </c>
      <c r="J897" s="48">
        <v>273100</v>
      </c>
      <c r="K897" s="26">
        <v>440292</v>
      </c>
      <c r="L897" s="26"/>
      <c r="M897" s="27">
        <v>83655.48</v>
      </c>
      <c r="N897" s="28"/>
      <c r="O897" s="27">
        <v>0</v>
      </c>
      <c r="P897" s="28">
        <v>0</v>
      </c>
      <c r="Q897" s="27">
        <v>0</v>
      </c>
      <c r="R897" s="26">
        <v>523947.48</v>
      </c>
      <c r="S897" s="115">
        <f ca="1">IF(PROVEEDORES[[#This Row],[FECHA DE PAGO]]=0,TODAY()-PROVEEDORES[[#This Row],[FECHA DE FACTURACIÓN]]-PROVEEDORES[[#This Row],[PLAZO Días]],0)</f>
        <v>0</v>
      </c>
      <c r="T89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8" spans="1:20" ht="21.9" customHeight="1" x14ac:dyDescent="0.3">
      <c r="A898" s="113" t="str">
        <f>+IF(PROVEEDORES[[#This Row],[FECHA DE PAGO]]=PROVEEDORES[[#This Row],[FECHA DE FACTURACIÓN]],"DE CONTADO","CRÉDITO")</f>
        <v>CRÉDITO</v>
      </c>
      <c r="B898" s="51" t="str">
        <f>+IF((PROVEEDORES[[#This Row],[FECHA DE PAGO]]-PROVEEDORES[[#This Row],[FECHA DE FACTURACIÓN]])&gt;PROVEEDORES[[#This Row],[PLAZO Días]],"PAGO VENCIDO")</f>
        <v>PAGO VENCIDO</v>
      </c>
      <c r="C898" s="25">
        <f>+VLOOKUP(PROVEEDORES[[#This Row],[PROVEEDOR]],TERCEROS_INFO[#All],2,FALSE)</f>
        <v>30</v>
      </c>
      <c r="D898" s="30">
        <f>+SUMIFS(PROVEEDORES[Total],PROVEEDORES[PROVEEDOR],PROVEEDORES[[#This Row],[PROVEEDOR]],PROVEEDORES[FECHA DE PAGO],"")</f>
        <v>2719966.6375000002</v>
      </c>
      <c r="E898" s="30"/>
      <c r="F898" s="73" t="str">
        <f>+VLOOKUP(PROVEEDORES[[#This Row],[PROVEEDOR]],TERCEROS_INFO[[PROVEEDOR]:[CORREO]],5,FALSE)</f>
        <v>aleja-1305agudelo@hotmail.com;provecol@une.net.co;girlesa.ruiz@servipilas.com;joriescobar64@gmail.com</v>
      </c>
      <c r="G898" s="111">
        <v>44533</v>
      </c>
      <c r="H898" s="31" t="s">
        <v>460</v>
      </c>
      <c r="I898" s="111">
        <v>44492</v>
      </c>
      <c r="J898" s="48">
        <v>147039</v>
      </c>
      <c r="K898" s="26">
        <v>3784145</v>
      </c>
      <c r="L898" s="26"/>
      <c r="M898" s="27">
        <v>718987.55</v>
      </c>
      <c r="N898" s="28"/>
      <c r="O898" s="27">
        <v>0</v>
      </c>
      <c r="P898" s="28">
        <v>0</v>
      </c>
      <c r="Q898" s="27">
        <v>0</v>
      </c>
      <c r="R898" s="26">
        <v>4503132.55</v>
      </c>
      <c r="S898" s="115">
        <f ca="1">IF(PROVEEDORES[[#This Row],[FECHA DE PAGO]]=0,TODAY()-PROVEEDORES[[#This Row],[FECHA DE FACTURACIÓN]]-PROVEEDORES[[#This Row],[PLAZO Días]],0)</f>
        <v>0</v>
      </c>
      <c r="T8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899" spans="1:20" ht="21.9" customHeight="1" x14ac:dyDescent="0.3">
      <c r="A899" s="113" t="str">
        <f>+IF(PROVEEDORES[[#This Row],[FECHA DE PAGO]]=PROVEEDORES[[#This Row],[FECHA DE FACTURACIÓN]],"DE CONTADO","CRÉDITO")</f>
        <v>CRÉDITO</v>
      </c>
      <c r="B899" s="51" t="b">
        <f>+IF((PROVEEDORES[[#This Row],[FECHA DE PAGO]]-PROVEEDORES[[#This Row],[FECHA DE FACTURACIÓN]])&gt;PROVEEDORES[[#This Row],[PLAZO Días]],"PAGO VENCIDO")</f>
        <v>0</v>
      </c>
      <c r="C899" s="25">
        <f>+VLOOKUP(PROVEEDORES[[#This Row],[PROVEEDOR]],TERCEROS_INFO[#All],2,FALSE)</f>
        <v>30</v>
      </c>
      <c r="D899" s="30">
        <f>+SUMIFS(PROVEEDORES[Total],PROVEEDORES[PROVEEDOR],PROVEEDORES[[#This Row],[PROVEEDOR]],PROVEEDORES[FECHA DE PAGO],"")</f>
        <v>264406</v>
      </c>
      <c r="E899" s="30"/>
      <c r="F899" s="73" t="str">
        <f>+VLOOKUP(PROVEEDORES[[#This Row],[PROVEEDOR]],TERCEROS_INFO[[PROVEEDOR]:[CORREO]],5,FALSE)</f>
        <v>oswaldo.alvarez@logimexsas.com;girlesa.ruiz@servipilas.com;joriescobar64@gmail.com</v>
      </c>
      <c r="G899" s="111">
        <v>44494</v>
      </c>
      <c r="H899" s="31" t="s">
        <v>393</v>
      </c>
      <c r="I899" s="111">
        <v>44493</v>
      </c>
      <c r="J899" s="48" t="s">
        <v>599</v>
      </c>
      <c r="K899" s="26">
        <v>1141000</v>
      </c>
      <c r="L899" s="26"/>
      <c r="M899" s="27">
        <v>0</v>
      </c>
      <c r="N899" s="28"/>
      <c r="O899" s="27">
        <v>0</v>
      </c>
      <c r="P899" s="28">
        <v>0</v>
      </c>
      <c r="Q899" s="27">
        <v>0</v>
      </c>
      <c r="R899" s="26">
        <v>1141000</v>
      </c>
      <c r="S899" s="115">
        <f ca="1">IF(PROVEEDORES[[#This Row],[FECHA DE PAGO]]=0,TODAY()-PROVEEDORES[[#This Row],[FECHA DE FACTURACIÓN]]-PROVEEDORES[[#This Row],[PLAZO Días]],0)</f>
        <v>0</v>
      </c>
      <c r="T8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0" spans="1:20" ht="21.9" customHeight="1" x14ac:dyDescent="0.3">
      <c r="A900" s="113" t="str">
        <f>+IF(PROVEEDORES[[#This Row],[FECHA DE PAGO]]=PROVEEDORES[[#This Row],[FECHA DE FACTURACIÓN]],"DE CONTADO","CRÉDITO")</f>
        <v>CRÉDITO</v>
      </c>
      <c r="B900" s="51" t="b">
        <f>+IF((PROVEEDORES[[#This Row],[FECHA DE PAGO]]-PROVEEDORES[[#This Row],[FECHA DE FACTURACIÓN]])&gt;PROVEEDORES[[#This Row],[PLAZO Días]],"PAGO VENCIDO")</f>
        <v>0</v>
      </c>
      <c r="C900" s="25">
        <f>+VLOOKUP(PROVEEDORES[[#This Row],[PROVEEDOR]],TERCEROS_INFO[#All],2,FALSE)</f>
        <v>30</v>
      </c>
      <c r="D900" s="30">
        <f>+SUMIFS(PROVEEDORES[Total],PROVEEDORES[PROVEEDOR],PROVEEDORES[[#This Row],[PROVEEDOR]],PROVEEDORES[FECHA DE PAGO],"")</f>
        <v>0</v>
      </c>
      <c r="E900" s="30"/>
      <c r="F900" s="73" t="str">
        <f>+VLOOKUP(PROVEEDORES[[#This Row],[PROVEEDOR]],TERCEROS_INFO[[PROVEEDOR]:[CORREO]],5,FALSE)</f>
        <v/>
      </c>
      <c r="G900" s="111">
        <v>44494</v>
      </c>
      <c r="H900" s="31" t="s">
        <v>54</v>
      </c>
      <c r="I900" s="111">
        <v>44493</v>
      </c>
      <c r="J900" s="48">
        <v>285759</v>
      </c>
      <c r="K900" s="26">
        <v>4847000</v>
      </c>
      <c r="L900" s="26"/>
      <c r="M900" s="27">
        <v>0</v>
      </c>
      <c r="N900" s="28"/>
      <c r="O900" s="27">
        <v>0</v>
      </c>
      <c r="P900" s="28">
        <v>0</v>
      </c>
      <c r="Q900" s="27">
        <v>0</v>
      </c>
      <c r="R900" s="26">
        <v>4847000</v>
      </c>
      <c r="S900" s="115">
        <f ca="1">IF(PROVEEDORES[[#This Row],[FECHA DE PAGO]]=0,TODAY()-PROVEEDORES[[#This Row],[FECHA DE FACTURACIÓN]]-PROVEEDORES[[#This Row],[PLAZO Días]],0)</f>
        <v>0</v>
      </c>
      <c r="T90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1" spans="1:20" ht="21.9" customHeight="1" x14ac:dyDescent="0.3">
      <c r="A901" s="113" t="str">
        <f>+IF(PROVEEDORES[[#This Row],[FECHA DE PAGO]]=PROVEEDORES[[#This Row],[FECHA DE FACTURACIÓN]],"DE CONTADO","CRÉDITO")</f>
        <v>CRÉDITO</v>
      </c>
      <c r="B901" s="51" t="str">
        <f>+IF((PROVEEDORES[[#This Row],[FECHA DE PAGO]]-PROVEEDORES[[#This Row],[FECHA DE FACTURACIÓN]])&gt;PROVEEDORES[[#This Row],[PLAZO Días]],"PAGO VENCIDO")</f>
        <v>PAGO VENCIDO</v>
      </c>
      <c r="C901" s="25">
        <f>+VLOOKUP(PROVEEDORES[[#This Row],[PROVEEDOR]],TERCEROS_INFO[#All],2,FALSE)</f>
        <v>30</v>
      </c>
      <c r="D901" s="30">
        <f>+SUMIFS(PROVEEDORES[Total],PROVEEDORES[PROVEEDOR],PROVEEDORES[[#This Row],[PROVEEDOR]],PROVEEDORES[FECHA DE PAGO],"")</f>
        <v>2719966.6375000002</v>
      </c>
      <c r="E901" s="30"/>
      <c r="F901" s="73" t="str">
        <f>+VLOOKUP(PROVEEDORES[[#This Row],[PROVEEDOR]],TERCEROS_INFO[[PROVEEDOR]:[CORREO]],5,FALSE)</f>
        <v>aleja-1305agudelo@hotmail.com;provecol@une.net.co;girlesa.ruiz@servipilas.com;joriescobar64@gmail.com</v>
      </c>
      <c r="G901" s="111">
        <v>44533</v>
      </c>
      <c r="H901" s="31" t="s">
        <v>460</v>
      </c>
      <c r="I901" s="111">
        <v>44494</v>
      </c>
      <c r="J901" s="48">
        <v>147279</v>
      </c>
      <c r="K901" s="26">
        <v>370237</v>
      </c>
      <c r="L901" s="26"/>
      <c r="M901" s="27">
        <v>70345.03</v>
      </c>
      <c r="N901" s="28"/>
      <c r="O901" s="27">
        <v>0</v>
      </c>
      <c r="P901" s="28">
        <v>0</v>
      </c>
      <c r="Q901" s="27">
        <v>0</v>
      </c>
      <c r="R901" s="26">
        <v>440582.03</v>
      </c>
      <c r="S901" s="115">
        <f ca="1">IF(PROVEEDORES[[#This Row],[FECHA DE PAGO]]=0,TODAY()-PROVEEDORES[[#This Row],[FECHA DE FACTURACIÓN]]-PROVEEDORES[[#This Row],[PLAZO Días]],0)</f>
        <v>0</v>
      </c>
      <c r="T9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2" spans="1:20" ht="21.9" customHeight="1" x14ac:dyDescent="0.3">
      <c r="A902" s="113" t="str">
        <f>+IF(PROVEEDORES[[#This Row],[FECHA DE PAGO]]=PROVEEDORES[[#This Row],[FECHA DE FACTURACIÓN]],"DE CONTADO","CRÉDITO")</f>
        <v>CRÉDITO</v>
      </c>
      <c r="B902" s="51" t="str">
        <f>+IF((PROVEEDORES[[#This Row],[FECHA DE PAGO]]-PROVEEDORES[[#This Row],[FECHA DE FACTURACIÓN]])&gt;PROVEEDORES[[#This Row],[PLAZO Días]],"PAGO VENCIDO")</f>
        <v>PAGO VENCIDO</v>
      </c>
      <c r="C902" s="25">
        <f>+VLOOKUP(PROVEEDORES[[#This Row],[PROVEEDOR]],TERCEROS_INFO[#All],2,FALSE)</f>
        <v>30</v>
      </c>
      <c r="D902" s="30">
        <f>+SUMIFS(PROVEEDORES[Total],PROVEEDORES[PROVEEDOR],PROVEEDORES[[#This Row],[PROVEEDOR]],PROVEEDORES[FECHA DE PAGO],"")</f>
        <v>0</v>
      </c>
      <c r="E902" s="30"/>
      <c r="F902" s="73" t="str">
        <f>+VLOOKUP(PROVEEDORES[[#This Row],[PROVEEDOR]],TERCEROS_INFO[[PROVEEDOR]:[CORREO]],5,FALSE)</f>
        <v>juan.suarez@cosostenible.com;girlesa.ruiz@servipilas.com;joriescobar64@gmail.com</v>
      </c>
      <c r="G902" s="111">
        <v>44533</v>
      </c>
      <c r="H902" s="31" t="s">
        <v>50</v>
      </c>
      <c r="I902" s="111">
        <v>44494</v>
      </c>
      <c r="J902" s="48">
        <v>4554</v>
      </c>
      <c r="K902" s="26">
        <v>617646.41</v>
      </c>
      <c r="L902" s="26"/>
      <c r="M902" s="27">
        <v>117352.81790000001</v>
      </c>
      <c r="N902" s="28"/>
      <c r="O902" s="27">
        <v>0</v>
      </c>
      <c r="P902" s="28">
        <v>0</v>
      </c>
      <c r="Q902" s="27">
        <v>0</v>
      </c>
      <c r="R902" s="26">
        <v>734999.22790000006</v>
      </c>
      <c r="S902" s="115">
        <f ca="1">IF(PROVEEDORES[[#This Row],[FECHA DE PAGO]]=0,TODAY()-PROVEEDORES[[#This Row],[FECHA DE FACTURACIÓN]]-PROVEEDORES[[#This Row],[PLAZO Días]],0)</f>
        <v>0</v>
      </c>
      <c r="T9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3" spans="1:20" ht="21.9" customHeight="1" x14ac:dyDescent="0.3">
      <c r="A903" s="113" t="str">
        <f>+IF(PROVEEDORES[[#This Row],[FECHA DE PAGO]]=PROVEEDORES[[#This Row],[FECHA DE FACTURACIÓN]],"DE CONTADO","CRÉDITO")</f>
        <v>CRÉDITO</v>
      </c>
      <c r="B903" s="51" t="str">
        <f>+IF((PROVEEDORES[[#This Row],[FECHA DE PAGO]]-PROVEEDORES[[#This Row],[FECHA DE FACTURACIÓN]])&gt;PROVEEDORES[[#This Row],[PLAZO Días]],"PAGO VENCIDO")</f>
        <v>PAGO VENCIDO</v>
      </c>
      <c r="C903" s="25">
        <f>+VLOOKUP(PROVEEDORES[[#This Row],[PROVEEDOR]],TERCEROS_INFO[#All],2,FALSE)</f>
        <v>30</v>
      </c>
      <c r="D903" s="30">
        <f>+SUMIFS(PROVEEDORES[Total],PROVEEDORES[PROVEEDOR],PROVEEDORES[[#This Row],[PROVEEDOR]],PROVEEDORES[FECHA DE PAGO],"")</f>
        <v>0</v>
      </c>
      <c r="E903" s="30"/>
      <c r="F903" s="73" t="str">
        <f>+VLOOKUP(PROVEEDORES[[#This Row],[PROVEEDOR]],TERCEROS_INFO[[PROVEEDOR]:[CORREO]],5,FALSE)</f>
        <v>avelinacomer@gmail.com;girlesa.ruiz@servipilas.com;joriescobar64@gmail.com</v>
      </c>
      <c r="G903" s="111">
        <v>44546</v>
      </c>
      <c r="H903" s="31" t="s">
        <v>1000</v>
      </c>
      <c r="I903" s="111">
        <v>44494</v>
      </c>
      <c r="J903" s="48" t="s">
        <v>861</v>
      </c>
      <c r="K903" s="26">
        <v>740200</v>
      </c>
      <c r="L903" s="26"/>
      <c r="M903" s="27">
        <v>0</v>
      </c>
      <c r="N903" s="28"/>
      <c r="O903" s="27">
        <v>0</v>
      </c>
      <c r="P903" s="28">
        <v>0</v>
      </c>
      <c r="Q903" s="27">
        <v>0</v>
      </c>
      <c r="R903" s="26">
        <v>740200</v>
      </c>
      <c r="S903" s="115">
        <f ca="1">IF(PROVEEDORES[[#This Row],[FECHA DE PAGO]]=0,TODAY()-PROVEEDORES[[#This Row],[FECHA DE FACTURACIÓN]]-PROVEEDORES[[#This Row],[PLAZO Días]],0)</f>
        <v>0</v>
      </c>
      <c r="T9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4" spans="1:20" ht="21.9" customHeight="1" x14ac:dyDescent="0.3">
      <c r="A904" s="113" t="str">
        <f>+IF(PROVEEDORES[[#This Row],[FECHA DE PAGO]]=PROVEEDORES[[#This Row],[FECHA DE FACTURACIÓN]],"DE CONTADO","CRÉDITO")</f>
        <v>CRÉDITO</v>
      </c>
      <c r="B904" s="51" t="str">
        <f>+IF((PROVEEDORES[[#This Row],[FECHA DE PAGO]]-PROVEEDORES[[#This Row],[FECHA DE FACTURACIÓN]])&gt;PROVEEDORES[[#This Row],[PLAZO Días]],"PAGO VENCIDO")</f>
        <v>PAGO VENCIDO</v>
      </c>
      <c r="C904" s="25">
        <f>+VLOOKUP(PROVEEDORES[[#This Row],[PROVEEDOR]],TERCEROS_INFO[#All],2,FALSE)</f>
        <v>30</v>
      </c>
      <c r="D904" s="30">
        <f>+SUMIFS(PROVEEDORES[Total],PROVEEDORES[PROVEEDOR],PROVEEDORES[[#This Row],[PROVEEDOR]],PROVEEDORES[FECHA DE PAGO],"")</f>
        <v>0</v>
      </c>
      <c r="E904" s="30"/>
      <c r="F904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904" s="111">
        <v>44530</v>
      </c>
      <c r="H904" s="31" t="s">
        <v>572</v>
      </c>
      <c r="I904" s="111">
        <v>44494</v>
      </c>
      <c r="J904" s="48" t="s">
        <v>573</v>
      </c>
      <c r="K904" s="26">
        <v>1152264</v>
      </c>
      <c r="L904" s="26"/>
      <c r="M904" s="27">
        <v>218930.16</v>
      </c>
      <c r="N904" s="28"/>
      <c r="O904" s="27">
        <v>0</v>
      </c>
      <c r="P904" s="28">
        <v>0</v>
      </c>
      <c r="Q904" s="27">
        <v>0</v>
      </c>
      <c r="R904" s="26">
        <v>1371194.16</v>
      </c>
      <c r="S904" s="115">
        <f ca="1">IF(PROVEEDORES[[#This Row],[FECHA DE PAGO]]=0,TODAY()-PROVEEDORES[[#This Row],[FECHA DE FACTURACIÓN]]-PROVEEDORES[[#This Row],[PLAZO Días]],0)</f>
        <v>0</v>
      </c>
      <c r="T9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5" spans="1:20" ht="21.9" customHeight="1" x14ac:dyDescent="0.3">
      <c r="A905" s="113" t="str">
        <f>+IF(PROVEEDORES[[#This Row],[FECHA DE PAGO]]=PROVEEDORES[[#This Row],[FECHA DE FACTURACIÓN]],"DE CONTADO","CRÉDITO")</f>
        <v>CRÉDITO</v>
      </c>
      <c r="B905" s="51" t="str">
        <f>+IF((PROVEEDORES[[#This Row],[FECHA DE PAGO]]-PROVEEDORES[[#This Row],[FECHA DE FACTURACIÓN]])&gt;PROVEEDORES[[#This Row],[PLAZO Días]],"PAGO VENCIDO")</f>
        <v>PAGO VENCIDO</v>
      </c>
      <c r="C905" s="25">
        <f>+VLOOKUP(PROVEEDORES[[#This Row],[PROVEEDOR]],TERCEROS_INFO[#All],2,FALSE)</f>
        <v>30</v>
      </c>
      <c r="D905" s="30">
        <f>+SUMIFS(PROVEEDORES[Total],PROVEEDORES[PROVEEDOR],PROVEEDORES[[#This Row],[PROVEEDOR]],PROVEEDORES[FECHA DE PAGO],"")</f>
        <v>0</v>
      </c>
      <c r="E905" s="30"/>
      <c r="F905" s="73" t="str">
        <f>+VLOOKUP(PROVEEDORES[[#This Row],[PROVEEDOR]],TERCEROS_INFO[[PROVEEDOR]:[CORREO]],5,FALSE)</f>
        <v/>
      </c>
      <c r="G905" s="111">
        <v>44552</v>
      </c>
      <c r="H905" s="31" t="s">
        <v>992</v>
      </c>
      <c r="I905" s="111">
        <v>44494</v>
      </c>
      <c r="J905" s="48" t="s">
        <v>860</v>
      </c>
      <c r="K905" s="26">
        <v>1255000</v>
      </c>
      <c r="L905" s="26"/>
      <c r="M905" s="27">
        <v>0</v>
      </c>
      <c r="N905" s="28">
        <v>0.05</v>
      </c>
      <c r="O905" s="27">
        <v>62750</v>
      </c>
      <c r="P905" s="28">
        <v>0</v>
      </c>
      <c r="Q905" s="27">
        <v>0</v>
      </c>
      <c r="R905" s="26">
        <v>1192250</v>
      </c>
      <c r="S905" s="115">
        <f ca="1">IF(PROVEEDORES[[#This Row],[FECHA DE PAGO]]=0,TODAY()-PROVEEDORES[[#This Row],[FECHA DE FACTURACIÓN]]-PROVEEDORES[[#This Row],[PLAZO Días]],0)</f>
        <v>0</v>
      </c>
      <c r="T90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6" spans="1:20" ht="21.9" customHeight="1" x14ac:dyDescent="0.3">
      <c r="A906" s="113" t="str">
        <f>+IF(PROVEEDORES[[#This Row],[FECHA DE PAGO]]=PROVEEDORES[[#This Row],[FECHA DE FACTURACIÓN]],"DE CONTADO","CRÉDITO")</f>
        <v>CRÉDITO</v>
      </c>
      <c r="B906" s="51" t="str">
        <f>+IF((PROVEEDORES[[#This Row],[FECHA DE PAGO]]-PROVEEDORES[[#This Row],[FECHA DE FACTURACIÓN]])&gt;PROVEEDORES[[#This Row],[PLAZO Días]],"PAGO VENCIDO")</f>
        <v>PAGO VENCIDO</v>
      </c>
      <c r="C906" s="25">
        <f>+VLOOKUP(PROVEEDORES[[#This Row],[PROVEEDOR]],TERCEROS_INFO[#All],2,FALSE)</f>
        <v>30</v>
      </c>
      <c r="D906" s="30">
        <f>+SUMIFS(PROVEEDORES[Total],PROVEEDORES[PROVEEDOR],PROVEEDORES[[#This Row],[PROVEEDOR]],PROVEEDORES[FECHA DE PAGO],"")</f>
        <v>3355018.0749999997</v>
      </c>
      <c r="E906" s="30"/>
      <c r="F906" s="73" t="str">
        <f>+VLOOKUP(PROVEEDORES[[#This Row],[PROVEEDOR]],TERCEROS_INFO[[PROVEEDOR]:[CORREO]],5,FALSE)</f>
        <v>yermingg@hotmail.com;girlesa.ruiz@servipilas.com;joriescobar64@gmail.com</v>
      </c>
      <c r="G906" s="111">
        <v>44552</v>
      </c>
      <c r="H906" s="31" t="s">
        <v>224</v>
      </c>
      <c r="I906" s="111">
        <v>44494</v>
      </c>
      <c r="J906" s="48">
        <v>410</v>
      </c>
      <c r="K906" s="26">
        <v>1807563</v>
      </c>
      <c r="L906" s="26"/>
      <c r="M906" s="27">
        <v>343436.97000000003</v>
      </c>
      <c r="N906" s="28"/>
      <c r="O906" s="27">
        <v>0</v>
      </c>
      <c r="P906" s="28">
        <v>2.5000000000000001E-2</v>
      </c>
      <c r="Q906" s="27">
        <v>45189.075000000004</v>
      </c>
      <c r="R906" s="26">
        <v>2105810.895</v>
      </c>
      <c r="S906" s="115">
        <f ca="1">IF(PROVEEDORES[[#This Row],[FECHA DE PAGO]]=0,TODAY()-PROVEEDORES[[#This Row],[FECHA DE FACTURACIÓN]]-PROVEEDORES[[#This Row],[PLAZO Días]],0)</f>
        <v>0</v>
      </c>
      <c r="T90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7" spans="1:20" ht="21.9" customHeight="1" x14ac:dyDescent="0.3">
      <c r="A907" s="113" t="str">
        <f>+IF(PROVEEDORES[[#This Row],[FECHA DE PAGO]]=PROVEEDORES[[#This Row],[FECHA DE FACTURACIÓN]],"DE CONTADO","CRÉDITO")</f>
        <v>CRÉDITO</v>
      </c>
      <c r="B907" s="51" t="b">
        <f>+IF((PROVEEDORES[[#This Row],[FECHA DE PAGO]]-PROVEEDORES[[#This Row],[FECHA DE FACTURACIÓN]])&gt;PROVEEDORES[[#This Row],[PLAZO Días]],"PAGO VENCIDO")</f>
        <v>0</v>
      </c>
      <c r="C907" s="25">
        <f>+VLOOKUP(PROVEEDORES[[#This Row],[PROVEEDOR]],TERCEROS_INFO[#All],2,FALSE)</f>
        <v>30</v>
      </c>
      <c r="D907" s="30">
        <f>+SUMIFS(PROVEEDORES[Total],PROVEEDORES[PROVEEDOR],PROVEEDORES[[#This Row],[PROVEEDOR]],PROVEEDORES[FECHA DE PAGO],"")</f>
        <v>0</v>
      </c>
      <c r="E907" s="30"/>
      <c r="F907" s="73" t="str">
        <f>+VLOOKUP(PROVEEDORES[[#This Row],[PROVEEDOR]],TERCEROS_INFO[[PROVEEDOR]:[CORREO]],5,FALSE)</f>
        <v>cartera@aerosan.com;girlesa.ruiz@servipilas.com;joriescobar64@gmail.com</v>
      </c>
      <c r="G907" s="111">
        <v>44495</v>
      </c>
      <c r="H907" s="31" t="s">
        <v>57</v>
      </c>
      <c r="I907" s="111">
        <v>44494</v>
      </c>
      <c r="J907" s="48" t="s">
        <v>568</v>
      </c>
      <c r="K907" s="26">
        <v>3584000</v>
      </c>
      <c r="L907" s="26"/>
      <c r="M907" s="27">
        <v>32254</v>
      </c>
      <c r="N907" s="28"/>
      <c r="O907" s="27">
        <v>0</v>
      </c>
      <c r="P907" s="28">
        <v>0</v>
      </c>
      <c r="Q907" s="27">
        <v>0</v>
      </c>
      <c r="R907" s="26">
        <v>3616254</v>
      </c>
      <c r="S907" s="115">
        <f ca="1">IF(PROVEEDORES[[#This Row],[FECHA DE PAGO]]=0,TODAY()-PROVEEDORES[[#This Row],[FECHA DE FACTURACIÓN]]-PROVEEDORES[[#This Row],[PLAZO Días]],0)</f>
        <v>0</v>
      </c>
      <c r="T90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8" spans="1:20" ht="21.9" customHeight="1" x14ac:dyDescent="0.3">
      <c r="A908" s="113" t="str">
        <f>+IF(PROVEEDORES[[#This Row],[FECHA DE PAGO]]=PROVEEDORES[[#This Row],[FECHA DE FACTURACIÓN]],"DE CONTADO","CRÉDITO")</f>
        <v>CRÉDITO</v>
      </c>
      <c r="B908" s="51" t="str">
        <f>+IF((PROVEEDORES[[#This Row],[FECHA DE PAGO]]-PROVEEDORES[[#This Row],[FECHA DE FACTURACIÓN]])&gt;PROVEEDORES[[#This Row],[PLAZO Días]],"PAGO VENCIDO")</f>
        <v>PAGO VENCIDO</v>
      </c>
      <c r="C908" s="25">
        <f>+VLOOKUP(PROVEEDORES[[#This Row],[PROVEEDOR]],TERCEROS_INFO[#All],2,FALSE)</f>
        <v>30</v>
      </c>
      <c r="D908" s="30">
        <f>+SUMIFS(PROVEEDORES[Total],PROVEEDORES[PROVEEDOR],PROVEEDORES[[#This Row],[PROVEEDOR]],PROVEEDORES[FECHA DE PAGO],"")</f>
        <v>0</v>
      </c>
      <c r="E908" s="30"/>
      <c r="F908" s="73" t="str">
        <f>+VLOOKUP(PROVEEDORES[[#This Row],[PROVEEDOR]],TERCEROS_INFO[[PROVEEDOR]:[CORREO]],5,FALSE)</f>
        <v/>
      </c>
      <c r="G908" s="111">
        <v>44552</v>
      </c>
      <c r="H908" s="31" t="s">
        <v>992</v>
      </c>
      <c r="I908" s="111">
        <v>44494</v>
      </c>
      <c r="J908" s="48" t="s">
        <v>859</v>
      </c>
      <c r="K908" s="26">
        <v>4715000</v>
      </c>
      <c r="L908" s="26"/>
      <c r="M908" s="27">
        <v>0</v>
      </c>
      <c r="N908" s="28">
        <v>0.1</v>
      </c>
      <c r="O908" s="27">
        <v>471500</v>
      </c>
      <c r="P908" s="28">
        <v>0</v>
      </c>
      <c r="Q908" s="27">
        <v>0</v>
      </c>
      <c r="R908" s="26">
        <v>4243500</v>
      </c>
      <c r="S908" s="115">
        <f ca="1">IF(PROVEEDORES[[#This Row],[FECHA DE PAGO]]=0,TODAY()-PROVEEDORES[[#This Row],[FECHA DE FACTURACIÓN]]-PROVEEDORES[[#This Row],[PLAZO Días]],0)</f>
        <v>0</v>
      </c>
      <c r="T9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09" spans="1:20" ht="21.9" customHeight="1" x14ac:dyDescent="0.3">
      <c r="A909" s="113" t="str">
        <f>+IF(PROVEEDORES[[#This Row],[FECHA DE PAGO]]=PROVEEDORES[[#This Row],[FECHA DE FACTURACIÓN]],"DE CONTADO","CRÉDITO")</f>
        <v>CRÉDITO</v>
      </c>
      <c r="B909" s="51" t="str">
        <f>+IF((PROVEEDORES[[#This Row],[FECHA DE PAGO]]-PROVEEDORES[[#This Row],[FECHA DE FACTURACIÓN]])&gt;PROVEEDORES[[#This Row],[PLAZO Días]],"PAGO VENCIDO")</f>
        <v>PAGO VENCIDO</v>
      </c>
      <c r="C909" s="25">
        <f>+VLOOKUP(PROVEEDORES[[#This Row],[PROVEEDOR]],TERCEROS_INFO[#All],2,FALSE)</f>
        <v>30</v>
      </c>
      <c r="D909" s="30">
        <f>+SUMIFS(PROVEEDORES[Total],PROVEEDORES[PROVEEDOR],PROVEEDORES[[#This Row],[PROVEEDOR]],PROVEEDORES[FECHA DE PAGO],"")</f>
        <v>0</v>
      </c>
      <c r="E909" s="30"/>
      <c r="F909" s="73" t="str">
        <f>+VLOOKUP(PROVEEDORES[[#This Row],[PROVEEDOR]],TERCEROS_INFO[[PROVEEDOR]:[CORREO]],5,FALSE)</f>
        <v/>
      </c>
      <c r="G909" s="111">
        <v>44552</v>
      </c>
      <c r="H909" s="31" t="s">
        <v>992</v>
      </c>
      <c r="I909" s="111">
        <v>44494</v>
      </c>
      <c r="J909" s="48" t="s">
        <v>858</v>
      </c>
      <c r="K909" s="26">
        <v>5036000</v>
      </c>
      <c r="L909" s="26"/>
      <c r="M909" s="27">
        <v>0</v>
      </c>
      <c r="N909" s="28">
        <v>0.04</v>
      </c>
      <c r="O909" s="27">
        <v>201440</v>
      </c>
      <c r="P909" s="28">
        <v>0</v>
      </c>
      <c r="Q909" s="27">
        <v>0</v>
      </c>
      <c r="R909" s="26">
        <v>4834560</v>
      </c>
      <c r="S909" s="115">
        <f ca="1">IF(PROVEEDORES[[#This Row],[FECHA DE PAGO]]=0,TODAY()-PROVEEDORES[[#This Row],[FECHA DE FACTURACIÓN]]-PROVEEDORES[[#This Row],[PLAZO Días]],0)</f>
        <v>0</v>
      </c>
      <c r="T90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0" spans="1:20" ht="21.9" customHeight="1" x14ac:dyDescent="0.3">
      <c r="A910" s="113" t="str">
        <f>+IF(PROVEEDORES[[#This Row],[FECHA DE PAGO]]=PROVEEDORES[[#This Row],[FECHA DE FACTURACIÓN]],"DE CONTADO","CRÉDITO")</f>
        <v>CRÉDITO</v>
      </c>
      <c r="B910" s="51" t="b">
        <f>+IF((PROVEEDORES[[#This Row],[FECHA DE PAGO]]-PROVEEDORES[[#This Row],[FECHA DE FACTURACIÓN]])&gt;PROVEEDORES[[#This Row],[PLAZO Días]],"PAGO VENCIDO")</f>
        <v>0</v>
      </c>
      <c r="C910" s="25">
        <f>+VLOOKUP(PROVEEDORES[[#This Row],[PROVEEDOR]],TERCEROS_INFO[#All],2,FALSE)</f>
        <v>90</v>
      </c>
      <c r="D910" s="30">
        <f>+SUMIFS(PROVEEDORES[Total],PROVEEDORES[PROVEEDOR],PROVEEDORES[[#This Row],[PROVEEDOR]],PROVEEDORES[FECHA DE PAGO],"")</f>
        <v>26364243.66155</v>
      </c>
      <c r="E910" s="30"/>
      <c r="F910" s="73" t="str">
        <f>+VLOOKUP(PROVEEDORES[[#This Row],[PROVEEDOR]],TERCEROS_INFO[[PROVEEDOR]:[CORREO]],5,FALSE)</f>
        <v>javiergomez_72@hotmail.com ;girlesa.ruiz@servipilas.com;joriescobar64@gmail.com</v>
      </c>
      <c r="G910" s="111">
        <v>44568</v>
      </c>
      <c r="H910" s="31" t="s">
        <v>12</v>
      </c>
      <c r="I910" s="111">
        <v>44495</v>
      </c>
      <c r="J910" s="48" t="s">
        <v>917</v>
      </c>
      <c r="K910" s="26">
        <v>-124370</v>
      </c>
      <c r="L910" s="26"/>
      <c r="M910" s="27">
        <v>-23630.3</v>
      </c>
      <c r="N910" s="28"/>
      <c r="O910" s="27">
        <v>0</v>
      </c>
      <c r="P910" s="28">
        <v>0</v>
      </c>
      <c r="Q910" s="27">
        <v>0</v>
      </c>
      <c r="R910" s="26">
        <v>-148000.29999999999</v>
      </c>
      <c r="S910" s="115">
        <f ca="1">IF(PROVEEDORES[[#This Row],[FECHA DE PAGO]]=0,TODAY()-PROVEEDORES[[#This Row],[FECHA DE FACTURACIÓN]]-PROVEEDORES[[#This Row],[PLAZO Días]],0)</f>
        <v>0</v>
      </c>
      <c r="T9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1" spans="1:20" ht="21.9" customHeight="1" x14ac:dyDescent="0.3">
      <c r="A911" s="113" t="str">
        <f>+IF(PROVEEDORES[[#This Row],[FECHA DE PAGO]]=PROVEEDORES[[#This Row],[FECHA DE FACTURACIÓN]],"DE CONTADO","CRÉDITO")</f>
        <v>CRÉDITO</v>
      </c>
      <c r="B911" s="51" t="str">
        <f>+IF((PROVEEDORES[[#This Row],[FECHA DE PAGO]]-PROVEEDORES[[#This Row],[FECHA DE FACTURACIÓN]])&gt;PROVEEDORES[[#This Row],[PLAZO Días]],"PAGO VENCIDO")</f>
        <v>PAGO VENCIDO</v>
      </c>
      <c r="C911" s="25">
        <f>+VLOOKUP(PROVEEDORES[[#This Row],[PROVEEDOR]],TERCEROS_INFO[#All],2,FALSE)</f>
        <v>30</v>
      </c>
      <c r="D911" s="30">
        <f>+SUMIFS(PROVEEDORES[Total],PROVEEDORES[PROVEEDOR],PROVEEDORES[[#This Row],[PROVEEDOR]],PROVEEDORES[FECHA DE PAGO],"")</f>
        <v>0</v>
      </c>
      <c r="E911" s="30"/>
      <c r="F911" s="73" t="str">
        <f>+VLOOKUP(PROVEEDORES[[#This Row],[PROVEEDOR]],TERCEROS_INFO[[PROVEEDOR]:[CORREO]],5,FALSE)</f>
        <v>ventasmegamundo@yahoo.es;girlesa.ruiz@servipilas.com;joriescobar64@gmail.com</v>
      </c>
      <c r="G911" s="111">
        <v>44543</v>
      </c>
      <c r="H911" s="31" t="s">
        <v>574</v>
      </c>
      <c r="I911" s="111">
        <v>44495</v>
      </c>
      <c r="J911" s="48">
        <v>144</v>
      </c>
      <c r="K911" s="26">
        <v>1340840.3400000001</v>
      </c>
      <c r="L911" s="26"/>
      <c r="M911" s="27">
        <v>254759.66460000002</v>
      </c>
      <c r="N911" s="28"/>
      <c r="O911" s="27">
        <v>0</v>
      </c>
      <c r="P911" s="28">
        <v>2.5000000000000001E-2</v>
      </c>
      <c r="Q911" s="27">
        <v>33521.008500000004</v>
      </c>
      <c r="R911" s="26">
        <v>1562078.9961000001</v>
      </c>
      <c r="S911" s="115">
        <f ca="1">IF(PROVEEDORES[[#This Row],[FECHA DE PAGO]]=0,TODAY()-PROVEEDORES[[#This Row],[FECHA DE FACTURACIÓN]]-PROVEEDORES[[#This Row],[PLAZO Días]],0)</f>
        <v>0</v>
      </c>
      <c r="T9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2" spans="1:20" ht="21.9" customHeight="1" x14ac:dyDescent="0.3">
      <c r="A912" s="113" t="str">
        <f>+IF(PROVEEDORES[[#This Row],[FECHA DE PAGO]]=PROVEEDORES[[#This Row],[FECHA DE FACTURACIÓN]],"DE CONTADO","CRÉDITO")</f>
        <v>CRÉDITO</v>
      </c>
      <c r="B912" s="51" t="b">
        <f>+IF((PROVEEDORES[[#This Row],[FECHA DE PAGO]]-PROVEEDORES[[#This Row],[FECHA DE FACTURACIÓN]])&gt;PROVEEDORES[[#This Row],[PLAZO Días]],"PAGO VENCIDO")</f>
        <v>0</v>
      </c>
      <c r="C912" s="25">
        <f>+VLOOKUP(PROVEEDORES[[#This Row],[PROVEEDOR]],TERCEROS_INFO[#All],2,FALSE)</f>
        <v>45</v>
      </c>
      <c r="D912" s="30">
        <f>+SUMIFS(PROVEEDORES[Total],PROVEEDORES[PROVEEDOR],PROVEEDORES[[#This Row],[PROVEEDOR]],PROVEEDORES[FECHA DE PAGO],"")</f>
        <v>1328100</v>
      </c>
      <c r="E912" s="30"/>
      <c r="F912" s="73" t="str">
        <f>+VLOOKUP(PROVEEDORES[[#This Row],[PROVEEDOR]],TERCEROS_INFO[[PROVEEDOR]:[CORREO]],5,FALSE)</f>
        <v>jessica.barios.com@carpainternacional;girlesa.ruiz@servipilas.com;joriescobar64@gmail.com</v>
      </c>
      <c r="G912" s="111">
        <v>44503</v>
      </c>
      <c r="H912" s="31" t="s">
        <v>609</v>
      </c>
      <c r="I912" s="111">
        <v>44495</v>
      </c>
      <c r="J912" s="48" t="s">
        <v>567</v>
      </c>
      <c r="K912" s="26">
        <v>2424870</v>
      </c>
      <c r="L912" s="26"/>
      <c r="M912" s="27">
        <v>0</v>
      </c>
      <c r="N912" s="28"/>
      <c r="O912" s="27">
        <v>0</v>
      </c>
      <c r="P912" s="28">
        <v>0</v>
      </c>
      <c r="Q912" s="27">
        <v>0</v>
      </c>
      <c r="R912" s="26">
        <v>2424870</v>
      </c>
      <c r="S912" s="115">
        <f ca="1">IF(PROVEEDORES[[#This Row],[FECHA DE PAGO]]=0,TODAY()-PROVEEDORES[[#This Row],[FECHA DE FACTURACIÓN]]-PROVEEDORES[[#This Row],[PLAZO Días]],0)</f>
        <v>0</v>
      </c>
      <c r="T9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3" spans="1:20" ht="21.9" customHeight="1" x14ac:dyDescent="0.3">
      <c r="A913" s="113" t="str">
        <f>+IF(PROVEEDORES[[#This Row],[FECHA DE PAGO]]=PROVEEDORES[[#This Row],[FECHA DE FACTURACIÓN]],"DE CONTADO","CRÉDITO")</f>
        <v>CRÉDITO</v>
      </c>
      <c r="B913" s="51" t="str">
        <f>+IF((PROVEEDORES[[#This Row],[FECHA DE PAGO]]-PROVEEDORES[[#This Row],[FECHA DE FACTURACIÓN]])&gt;PROVEEDORES[[#This Row],[PLAZO Días]],"PAGO VENCIDO")</f>
        <v>PAGO VENCIDO</v>
      </c>
      <c r="C913" s="25">
        <f>+VLOOKUP(PROVEEDORES[[#This Row],[PROVEEDOR]],TERCEROS_INFO[#All],2,FALSE)</f>
        <v>30</v>
      </c>
      <c r="D913" s="30">
        <f>+SUMIFS(PROVEEDORES[Total],PROVEEDORES[PROVEEDOR],PROVEEDORES[[#This Row],[PROVEEDOR]],PROVEEDORES[FECHA DE PAGO],"")</f>
        <v>0</v>
      </c>
      <c r="E913" s="30"/>
      <c r="F913" s="73" t="str">
        <f>+VLOOKUP(PROVEEDORES[[#This Row],[PROVEEDOR]],TERCEROS_INFO[[PROVEEDOR]:[CORREO]],5,FALSE)</f>
        <v>variedades.sfg@gmail.com;girlesa.ruiz@servipilas.com;joriescobar64@gmail.com</v>
      </c>
      <c r="G913" s="111">
        <v>44551</v>
      </c>
      <c r="H913" s="31" t="s">
        <v>988</v>
      </c>
      <c r="I913" s="111">
        <v>44495</v>
      </c>
      <c r="J913" s="48" t="s">
        <v>862</v>
      </c>
      <c r="K913" s="26">
        <v>3345300</v>
      </c>
      <c r="L913" s="26"/>
      <c r="M913" s="27">
        <v>0</v>
      </c>
      <c r="N913" s="28"/>
      <c r="O913" s="27">
        <v>0</v>
      </c>
      <c r="P913" s="28">
        <v>0</v>
      </c>
      <c r="Q913" s="27">
        <v>0</v>
      </c>
      <c r="R913" s="26">
        <v>3345300</v>
      </c>
      <c r="S913" s="115">
        <f ca="1">IF(PROVEEDORES[[#This Row],[FECHA DE PAGO]]=0,TODAY()-PROVEEDORES[[#This Row],[FECHA DE FACTURACIÓN]]-PROVEEDORES[[#This Row],[PLAZO Días]],0)</f>
        <v>0</v>
      </c>
      <c r="T9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4" spans="1:20" ht="21.9" customHeight="1" x14ac:dyDescent="0.3">
      <c r="A914" s="113" t="str">
        <f>+IF(PROVEEDORES[[#This Row],[FECHA DE PAGO]]=PROVEEDORES[[#This Row],[FECHA DE FACTURACIÓN]],"DE CONTADO","CRÉDITO")</f>
        <v>CRÉDITO</v>
      </c>
      <c r="B914" s="51" t="b">
        <f>+IF((PROVEEDORES[[#This Row],[FECHA DE PAGO]]-PROVEEDORES[[#This Row],[FECHA DE FACTURACIÓN]])&gt;PROVEEDORES[[#This Row],[PLAZO Días]],"PAGO VENCIDO")</f>
        <v>0</v>
      </c>
      <c r="C914" s="25">
        <f>+VLOOKUP(PROVEEDORES[[#This Row],[PROVEEDOR]],TERCEROS_INFO[#All],2,FALSE)</f>
        <v>90</v>
      </c>
      <c r="D914" s="30">
        <f>+SUMIFS(PROVEEDORES[Total],PROVEEDORES[PROVEEDOR],PROVEEDORES[[#This Row],[PROVEEDOR]],PROVEEDORES[FECHA DE PAGO],"")</f>
        <v>26364243.66155</v>
      </c>
      <c r="E914" s="30"/>
      <c r="F914" s="73" t="str">
        <f>+VLOOKUP(PROVEEDORES[[#This Row],[PROVEEDOR]],TERCEROS_INFO[[PROVEEDOR]:[CORREO]],5,FALSE)</f>
        <v>javiergomez_72@hotmail.com ;girlesa.ruiz@servipilas.com;joriescobar64@gmail.com</v>
      </c>
      <c r="G914" s="111">
        <v>44568</v>
      </c>
      <c r="H914" s="31" t="s">
        <v>12</v>
      </c>
      <c r="I914" s="111">
        <v>44495</v>
      </c>
      <c r="J914" s="48" t="s">
        <v>576</v>
      </c>
      <c r="K914" s="26">
        <v>12134469</v>
      </c>
      <c r="L914" s="26"/>
      <c r="M914" s="27">
        <v>2305549.11</v>
      </c>
      <c r="N914" s="28"/>
      <c r="O914" s="27">
        <v>0</v>
      </c>
      <c r="P914" s="28">
        <v>2.5000000000000001E-2</v>
      </c>
      <c r="Q914" s="27">
        <v>303361.72500000003</v>
      </c>
      <c r="R914" s="26">
        <v>14136656.385</v>
      </c>
      <c r="S914" s="115">
        <f ca="1">IF(PROVEEDORES[[#This Row],[FECHA DE PAGO]]=0,TODAY()-PROVEEDORES[[#This Row],[FECHA DE FACTURACIÓN]]-PROVEEDORES[[#This Row],[PLAZO Días]],0)</f>
        <v>0</v>
      </c>
      <c r="T9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5" spans="1:20" ht="21.9" customHeight="1" x14ac:dyDescent="0.3">
      <c r="A915" s="113" t="str">
        <f>+IF(PROVEEDORES[[#This Row],[FECHA DE PAGO]]=PROVEEDORES[[#This Row],[FECHA DE FACTURACIÓN]],"DE CONTADO","CRÉDITO")</f>
        <v>DE CONTADO</v>
      </c>
      <c r="B915" s="51" t="b">
        <f>+IF((PROVEEDORES[[#This Row],[FECHA DE PAGO]]-PROVEEDORES[[#This Row],[FECHA DE FACTURACIÓN]])&gt;PROVEEDORES[[#This Row],[PLAZO Días]],"PAGO VENCIDO")</f>
        <v>0</v>
      </c>
      <c r="C915" s="25">
        <f>+VLOOKUP(PROVEEDORES[[#This Row],[PROVEEDOR]],TERCEROS_INFO[#All],2,FALSE)</f>
        <v>30</v>
      </c>
      <c r="D915" s="30">
        <f>+SUMIFS(PROVEEDORES[Total],PROVEEDORES[PROVEEDOR],PROVEEDORES[[#This Row],[PROVEEDOR]],PROVEEDORES[FECHA DE PAGO],"")</f>
        <v>5060410.5999999996</v>
      </c>
      <c r="E915" s="30"/>
      <c r="F915" s="73" t="str">
        <f>+VLOOKUP(PROVEEDORES[[#This Row],[PROVEEDOR]],TERCEROS_INFO[[PROVEEDOR]:[CORREO]],5,FALSE)</f>
        <v>CBastidas@vyp.com.co;girlesa.ruiz@servipilas.com;joriescobar64@gmail.com</v>
      </c>
      <c r="G915" s="111">
        <v>44496</v>
      </c>
      <c r="H915" s="31" t="s">
        <v>347</v>
      </c>
      <c r="I915" s="111">
        <v>44496</v>
      </c>
      <c r="J915" s="48" t="s">
        <v>937</v>
      </c>
      <c r="K915" s="26">
        <v>-956806</v>
      </c>
      <c r="L915" s="26"/>
      <c r="M915" s="27">
        <v>-181793.14</v>
      </c>
      <c r="N915" s="28"/>
      <c r="O915" s="27">
        <v>0</v>
      </c>
      <c r="P915" s="28">
        <v>0</v>
      </c>
      <c r="Q915" s="27">
        <v>0</v>
      </c>
      <c r="R915" s="26">
        <v>-1138599.1400000001</v>
      </c>
      <c r="S915" s="115">
        <f ca="1">IF(PROVEEDORES[[#This Row],[FECHA DE PAGO]]=0,TODAY()-PROVEEDORES[[#This Row],[FECHA DE FACTURACIÓN]]-PROVEEDORES[[#This Row],[PLAZO Días]],0)</f>
        <v>0</v>
      </c>
      <c r="T9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6" spans="1:20" ht="21.9" customHeight="1" x14ac:dyDescent="0.3">
      <c r="A916" s="113" t="str">
        <f>+IF(PROVEEDORES[[#This Row],[FECHA DE PAGO]]=PROVEEDORES[[#This Row],[FECHA DE FACTURACIÓN]],"DE CONTADO","CRÉDITO")</f>
        <v>DE CONTADO</v>
      </c>
      <c r="B916" s="51" t="b">
        <f>+IF((PROVEEDORES[[#This Row],[FECHA DE PAGO]]-PROVEEDORES[[#This Row],[FECHA DE FACTURACIÓN]])&gt;PROVEEDORES[[#This Row],[PLAZO Días]],"PAGO VENCIDO")</f>
        <v>0</v>
      </c>
      <c r="C916" s="25">
        <f>+VLOOKUP(PROVEEDORES[[#This Row],[PROVEEDOR]],TERCEROS_INFO[#All],2,FALSE)</f>
        <v>30</v>
      </c>
      <c r="D916" s="30">
        <f>+SUMIFS(PROVEEDORES[Total],PROVEEDORES[PROVEEDOR],PROVEEDORES[[#This Row],[PROVEEDOR]],PROVEEDORES[FECHA DE PAGO],"")</f>
        <v>0</v>
      </c>
      <c r="E916" s="30"/>
      <c r="F916" s="73" t="str">
        <f>+VLOOKUP(PROVEEDORES[[#This Row],[PROVEEDOR]],TERCEROS_INFO[[PROVEEDOR]:[CORREO]],5,FALSE)</f>
        <v/>
      </c>
      <c r="G916" s="111">
        <v>44496</v>
      </c>
      <c r="H916" s="31" t="s">
        <v>1016</v>
      </c>
      <c r="I916" s="111">
        <v>44496</v>
      </c>
      <c r="J916" s="48" t="s">
        <v>864</v>
      </c>
      <c r="K916" s="26">
        <v>18000</v>
      </c>
      <c r="L916" s="26"/>
      <c r="M916" s="27">
        <v>0</v>
      </c>
      <c r="N916" s="28"/>
      <c r="O916" s="27">
        <v>0</v>
      </c>
      <c r="P916" s="28">
        <v>0</v>
      </c>
      <c r="Q916" s="27">
        <v>0</v>
      </c>
      <c r="R916" s="26">
        <v>18000</v>
      </c>
      <c r="S916" s="115">
        <f ca="1">IF(PROVEEDORES[[#This Row],[FECHA DE PAGO]]=0,TODAY()-PROVEEDORES[[#This Row],[FECHA DE FACTURACIÓN]]-PROVEEDORES[[#This Row],[PLAZO Días]],0)</f>
        <v>0</v>
      </c>
      <c r="T9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7" spans="1:20" ht="21.9" customHeight="1" x14ac:dyDescent="0.3">
      <c r="A917" s="113" t="str">
        <f>+IF(PROVEEDORES[[#This Row],[FECHA DE PAGO]]=PROVEEDORES[[#This Row],[FECHA DE FACTURACIÓN]],"DE CONTADO","CRÉDITO")</f>
        <v>CRÉDITO</v>
      </c>
      <c r="B917" s="51" t="str">
        <f>+IF((PROVEEDORES[[#This Row],[FECHA DE PAGO]]-PROVEEDORES[[#This Row],[FECHA DE FACTURACIÓN]])&gt;PROVEEDORES[[#This Row],[PLAZO Días]],"PAGO VENCIDO")</f>
        <v>PAGO VENCIDO</v>
      </c>
      <c r="C917" s="25">
        <f>+VLOOKUP(PROVEEDORES[[#This Row],[PROVEEDOR]],TERCEROS_INFO[#All],2,FALSE)</f>
        <v>30</v>
      </c>
      <c r="D917" s="30">
        <f>+SUMIFS(PROVEEDORES[Total],PROVEEDORES[PROVEEDOR],PROVEEDORES[[#This Row],[PROVEEDOR]],PROVEEDORES[FECHA DE PAGO],"")</f>
        <v>3750700</v>
      </c>
      <c r="E917" s="30"/>
      <c r="F917" s="73" t="str">
        <f>+VLOOKUP(PROVEEDORES[[#This Row],[PROVEEDOR]],TERCEROS_INFO[[PROVEEDOR]:[CORREO]],5,FALSE)</f>
        <v/>
      </c>
      <c r="G917" s="111">
        <v>44539</v>
      </c>
      <c r="H917" s="31" t="s">
        <v>996</v>
      </c>
      <c r="I917" s="111">
        <v>44496</v>
      </c>
      <c r="J917" s="48" t="s">
        <v>863</v>
      </c>
      <c r="K917" s="26">
        <v>3265000</v>
      </c>
      <c r="L917" s="26"/>
      <c r="M917" s="27">
        <v>0</v>
      </c>
      <c r="N917" s="28"/>
      <c r="O917" s="27">
        <v>0</v>
      </c>
      <c r="P917" s="28">
        <v>0</v>
      </c>
      <c r="Q917" s="27">
        <v>0</v>
      </c>
      <c r="R917" s="26">
        <v>3265000</v>
      </c>
      <c r="S917" s="115">
        <f ca="1">IF(PROVEEDORES[[#This Row],[FECHA DE PAGO]]=0,TODAY()-PROVEEDORES[[#This Row],[FECHA DE FACTURACIÓN]]-PROVEEDORES[[#This Row],[PLAZO Días]],0)</f>
        <v>0</v>
      </c>
      <c r="T9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8" spans="1:20" ht="21.9" customHeight="1" x14ac:dyDescent="0.3">
      <c r="A918" s="113" t="str">
        <f>+IF(PROVEEDORES[[#This Row],[FECHA DE PAGO]]=PROVEEDORES[[#This Row],[FECHA DE FACTURACIÓN]],"DE CONTADO","CRÉDITO")</f>
        <v>CRÉDITO</v>
      </c>
      <c r="B918" s="51" t="str">
        <f>+IF((PROVEEDORES[[#This Row],[FECHA DE PAGO]]-PROVEEDORES[[#This Row],[FECHA DE FACTURACIÓN]])&gt;PROVEEDORES[[#This Row],[PLAZO Días]],"PAGO VENCIDO")</f>
        <v>PAGO VENCIDO</v>
      </c>
      <c r="C918" s="25">
        <f>+VLOOKUP(PROVEEDORES[[#This Row],[PROVEEDOR]],TERCEROS_INFO[#All],2,FALSE)</f>
        <v>30</v>
      </c>
      <c r="D918" s="30">
        <f>+SUMIFS(PROVEEDORES[Total],PROVEEDORES[PROVEEDOR],PROVEEDORES[[#This Row],[PROVEEDOR]],PROVEEDORES[FECHA DE PAGO],"")</f>
        <v>0</v>
      </c>
      <c r="E918" s="30"/>
      <c r="F918" s="73" t="str">
        <f>+VLOOKUP(PROVEEDORES[[#This Row],[PROVEEDOR]],TERCEROS_INFO[[PROVEEDOR]:[CORREO]],5,FALSE)</f>
        <v/>
      </c>
      <c r="G918" s="111">
        <v>44557</v>
      </c>
      <c r="H918" s="31" t="s">
        <v>989</v>
      </c>
      <c r="I918" s="111">
        <v>44497</v>
      </c>
      <c r="J918" s="48" t="s">
        <v>865</v>
      </c>
      <c r="K918" s="26">
        <v>264000</v>
      </c>
      <c r="L918" s="26"/>
      <c r="M918" s="27">
        <v>0</v>
      </c>
      <c r="N918" s="28"/>
      <c r="O918" s="27">
        <v>0</v>
      </c>
      <c r="P918" s="28">
        <v>0</v>
      </c>
      <c r="Q918" s="27">
        <v>0</v>
      </c>
      <c r="R918" s="26">
        <v>264000</v>
      </c>
      <c r="S918" s="115">
        <f ca="1">IF(PROVEEDORES[[#This Row],[FECHA DE PAGO]]=0,TODAY()-PROVEEDORES[[#This Row],[FECHA DE FACTURACIÓN]]-PROVEEDORES[[#This Row],[PLAZO Días]],0)</f>
        <v>0</v>
      </c>
      <c r="T9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19" spans="1:20" ht="21.9" customHeight="1" x14ac:dyDescent="0.3">
      <c r="A919" s="113" t="str">
        <f>+IF(PROVEEDORES[[#This Row],[FECHA DE PAGO]]=PROVEEDORES[[#This Row],[FECHA DE FACTURACIÓN]],"DE CONTADO","CRÉDITO")</f>
        <v>CRÉDITO</v>
      </c>
      <c r="B919" s="51" t="str">
        <f>+IF((PROVEEDORES[[#This Row],[FECHA DE PAGO]]-PROVEEDORES[[#This Row],[FECHA DE FACTURACIÓN]])&gt;PROVEEDORES[[#This Row],[PLAZO Días]],"PAGO VENCIDO")</f>
        <v>PAGO VENCIDO</v>
      </c>
      <c r="C919" s="25">
        <f>+VLOOKUP(PROVEEDORES[[#This Row],[PROVEEDOR]],TERCEROS_INFO[#All],2,FALSE)</f>
        <v>30</v>
      </c>
      <c r="D919" s="30">
        <f>+SUMIFS(PROVEEDORES[Total],PROVEEDORES[PROVEEDOR],PROVEEDORES[[#This Row],[PROVEEDOR]],PROVEEDORES[FECHA DE PAGO],"")</f>
        <v>0</v>
      </c>
      <c r="E919" s="30"/>
      <c r="F919" s="73" t="str">
        <f>+VLOOKUP(PROVEEDORES[[#This Row],[PROVEEDOR]],TERCEROS_INFO[[PROVEEDOR]:[CORREO]],5,FALSE)</f>
        <v>lpena@tbplusenergy.com;girlesa.ruiz@servipilas.com;joriescobar64@gmail.com</v>
      </c>
      <c r="G919" s="111">
        <v>44537</v>
      </c>
      <c r="H919" s="31" t="s">
        <v>474</v>
      </c>
      <c r="I919" s="111">
        <v>44497</v>
      </c>
      <c r="J919" s="48">
        <v>10615</v>
      </c>
      <c r="K919" s="26">
        <v>1380000</v>
      </c>
      <c r="L919" s="26"/>
      <c r="M919" s="27">
        <v>262200</v>
      </c>
      <c r="N919" s="28"/>
      <c r="O919" s="27">
        <v>0</v>
      </c>
      <c r="P919" s="28">
        <v>2.5000000000000001E-2</v>
      </c>
      <c r="Q919" s="27">
        <v>34500</v>
      </c>
      <c r="R919" s="26">
        <v>1607700</v>
      </c>
      <c r="S919" s="115">
        <f ca="1">IF(PROVEEDORES[[#This Row],[FECHA DE PAGO]]=0,TODAY()-PROVEEDORES[[#This Row],[FECHA DE FACTURACIÓN]]-PROVEEDORES[[#This Row],[PLAZO Días]],0)</f>
        <v>0</v>
      </c>
      <c r="T9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0" spans="1:20" ht="21.9" customHeight="1" x14ac:dyDescent="0.3">
      <c r="A920" s="113" t="str">
        <f>+IF(PROVEEDORES[[#This Row],[FECHA DE PAGO]]=PROVEEDORES[[#This Row],[FECHA DE FACTURACIÓN]],"DE CONTADO","CRÉDITO")</f>
        <v>CRÉDITO</v>
      </c>
      <c r="B920" s="51" t="b">
        <f>+IF((PROVEEDORES[[#This Row],[FECHA DE PAGO]]-PROVEEDORES[[#This Row],[FECHA DE FACTURACIÓN]])&gt;PROVEEDORES[[#This Row],[PLAZO Días]],"PAGO VENCIDO")</f>
        <v>0</v>
      </c>
      <c r="C920" s="25">
        <f>+VLOOKUP(PROVEEDORES[[#This Row],[PROVEEDOR]],TERCEROS_INFO[#All],2,FALSE)</f>
        <v>30</v>
      </c>
      <c r="D920" s="30">
        <f>+SUMIFS(PROVEEDORES[Total],PROVEEDORES[PROVEEDOR],PROVEEDORES[[#This Row],[PROVEEDOR]],PROVEEDORES[FECHA DE PAGO],"")</f>
        <v>0</v>
      </c>
      <c r="E920" s="30"/>
      <c r="F920" s="73" t="str">
        <f>+VLOOKUP(PROVEEDORES[[#This Row],[PROVEEDOR]],TERCEROS_INFO[[PROVEEDOR]:[CORREO]],5,FALSE)</f>
        <v/>
      </c>
      <c r="G920" s="111">
        <v>44498</v>
      </c>
      <c r="H920" s="31" t="s">
        <v>1007</v>
      </c>
      <c r="I920" s="111">
        <v>44497</v>
      </c>
      <c r="J920" s="48" t="s">
        <v>866</v>
      </c>
      <c r="K920" s="26">
        <v>3984500</v>
      </c>
      <c r="L920" s="26"/>
      <c r="M920" s="27">
        <v>0</v>
      </c>
      <c r="N920" s="28"/>
      <c r="O920" s="27">
        <v>0</v>
      </c>
      <c r="P920" s="28">
        <v>0</v>
      </c>
      <c r="Q920" s="27">
        <v>0</v>
      </c>
      <c r="R920" s="26">
        <v>3984500</v>
      </c>
      <c r="S920" s="115">
        <f ca="1">IF(PROVEEDORES[[#This Row],[FECHA DE PAGO]]=0,TODAY()-PROVEEDORES[[#This Row],[FECHA DE FACTURACIÓN]]-PROVEEDORES[[#This Row],[PLAZO Días]],0)</f>
        <v>0</v>
      </c>
      <c r="T9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1" spans="1:20" ht="21.9" customHeight="1" x14ac:dyDescent="0.3">
      <c r="A921" s="113" t="str">
        <f>+IF(PROVEEDORES[[#This Row],[FECHA DE PAGO]]=PROVEEDORES[[#This Row],[FECHA DE FACTURACIÓN]],"DE CONTADO","CRÉDITO")</f>
        <v>CRÉDITO</v>
      </c>
      <c r="B921" s="51" t="str">
        <f>+IF((PROVEEDORES[[#This Row],[FECHA DE PAGO]]-PROVEEDORES[[#This Row],[FECHA DE FACTURACIÓN]])&gt;PROVEEDORES[[#This Row],[PLAZO Días]],"PAGO VENCIDO")</f>
        <v>PAGO VENCIDO</v>
      </c>
      <c r="C921" s="25">
        <f>+VLOOKUP(PROVEEDORES[[#This Row],[PROVEEDOR]],TERCEROS_INFO[#All],2,FALSE)</f>
        <v>30</v>
      </c>
      <c r="D921" s="30">
        <f>+SUMIFS(PROVEEDORES[Total],PROVEEDORES[PROVEEDOR],PROVEEDORES[[#This Row],[PROVEEDOR]],PROVEEDORES[FECHA DE PAGO],"")</f>
        <v>6482443.1751999995</v>
      </c>
      <c r="E921" s="30"/>
      <c r="F921" s="73" t="str">
        <f>+VLOOKUP(PROVEEDORES[[#This Row],[PROVEEDOR]],TERCEROS_INFO[[PROVEEDOR]:[CORREO]],5,FALSE)</f>
        <v>angela.navas@hyrdistribuciones.com;girlesa.ruiz@servipilas.com;joriescobar64@gmail.com</v>
      </c>
      <c r="G921" s="111">
        <v>44543</v>
      </c>
      <c r="H921" s="31" t="s">
        <v>18</v>
      </c>
      <c r="I921" s="111">
        <v>44497</v>
      </c>
      <c r="J921" s="48">
        <v>1045170</v>
      </c>
      <c r="K921" s="26">
        <v>4549510.08</v>
      </c>
      <c r="L921" s="26"/>
      <c r="M921" s="27">
        <v>864406.91520000005</v>
      </c>
      <c r="N921" s="28"/>
      <c r="O921" s="27">
        <v>0</v>
      </c>
      <c r="P921" s="28">
        <v>2.5000000000000001E-2</v>
      </c>
      <c r="Q921" s="27">
        <v>113737.75200000001</v>
      </c>
      <c r="R921" s="26">
        <v>5300179.2431999994</v>
      </c>
      <c r="S921" s="115">
        <f ca="1">IF(PROVEEDORES[[#This Row],[FECHA DE PAGO]]=0,TODAY()-PROVEEDORES[[#This Row],[FECHA DE FACTURACIÓN]]-PROVEEDORES[[#This Row],[PLAZO Días]],0)</f>
        <v>0</v>
      </c>
      <c r="T9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2" spans="1:20" ht="21.9" customHeight="1" x14ac:dyDescent="0.3">
      <c r="A922" s="113" t="str">
        <f>+IF(PROVEEDORES[[#This Row],[FECHA DE PAGO]]=PROVEEDORES[[#This Row],[FECHA DE FACTURACIÓN]],"DE CONTADO","CRÉDITO")</f>
        <v>CRÉDITO</v>
      </c>
      <c r="B922" s="51" t="str">
        <f>+IF((PROVEEDORES[[#This Row],[FECHA DE PAGO]]-PROVEEDORES[[#This Row],[FECHA DE FACTURACIÓN]])&gt;PROVEEDORES[[#This Row],[PLAZO Días]],"PAGO VENCIDO")</f>
        <v>PAGO VENCIDO</v>
      </c>
      <c r="C922" s="25">
        <f>+VLOOKUP(PROVEEDORES[[#This Row],[PROVEEDOR]],TERCEROS_INFO[#All],2,FALSE)</f>
        <v>30</v>
      </c>
      <c r="D922" s="30">
        <f>+SUMIFS(PROVEEDORES[Total],PROVEEDORES[PROVEEDOR],PROVEEDORES[[#This Row],[PROVEEDOR]],PROVEEDORES[FECHA DE PAGO],"")</f>
        <v>21832129.73</v>
      </c>
      <c r="E922" s="30"/>
      <c r="F922" s="73" t="str">
        <f>+VLOOKUP(PROVEEDORES[[#This Row],[PROVEEDOR]],TERCEROS_INFO[[PROVEEDOR]:[CORREO]],5,FALSE)</f>
        <v>cartera1@grupostatur.com;girlesa.ruiz@servipilas.com;joriescobar64@gmail.com</v>
      </c>
      <c r="G922" s="111">
        <v>44533</v>
      </c>
      <c r="H922" s="31" t="s">
        <v>9</v>
      </c>
      <c r="I922" s="111">
        <v>44498</v>
      </c>
      <c r="J922" s="48" t="s">
        <v>870</v>
      </c>
      <c r="K922" s="26">
        <v>-5000000</v>
      </c>
      <c r="L922" s="26"/>
      <c r="M922" s="27">
        <v>0</v>
      </c>
      <c r="N922" s="28"/>
      <c r="O922" s="27">
        <v>0</v>
      </c>
      <c r="P922" s="28">
        <v>0</v>
      </c>
      <c r="Q922" s="27">
        <v>0</v>
      </c>
      <c r="R922" s="26">
        <v>-5000000</v>
      </c>
      <c r="S922" s="115">
        <f ca="1">IF(PROVEEDORES[[#This Row],[FECHA DE PAGO]]=0,TODAY()-PROVEEDORES[[#This Row],[FECHA DE FACTURACIÓN]]-PROVEEDORES[[#This Row],[PLAZO Días]],0)</f>
        <v>0</v>
      </c>
      <c r="T9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3" spans="1:20" ht="21.9" customHeight="1" x14ac:dyDescent="0.3">
      <c r="A923" s="113" t="str">
        <f>+IF(PROVEEDORES[[#This Row],[FECHA DE PAGO]]=PROVEEDORES[[#This Row],[FECHA DE FACTURACIÓN]],"DE CONTADO","CRÉDITO")</f>
        <v>DE CONTADO</v>
      </c>
      <c r="B923" s="51" t="b">
        <f>+IF((PROVEEDORES[[#This Row],[FECHA DE PAGO]]-PROVEEDORES[[#This Row],[FECHA DE FACTURACIÓN]])&gt;PROVEEDORES[[#This Row],[PLAZO Días]],"PAGO VENCIDO")</f>
        <v>0</v>
      </c>
      <c r="C923" s="25">
        <f>+VLOOKUP(PROVEEDORES[[#This Row],[PROVEEDOR]],TERCEROS_INFO[#All],2,FALSE)</f>
        <v>30</v>
      </c>
      <c r="D923" s="30">
        <f>+SUMIFS(PROVEEDORES[Total],PROVEEDORES[PROVEEDOR],PROVEEDORES[[#This Row],[PROVEEDOR]],PROVEEDORES[FECHA DE PAGO],"")</f>
        <v>0</v>
      </c>
      <c r="E923" s="30"/>
      <c r="F923" s="73" t="str">
        <f>+VLOOKUP(PROVEEDORES[[#This Row],[PROVEEDOR]],TERCEROS_INFO[[PROVEEDOR]:[CORREO]],5,FALSE)</f>
        <v/>
      </c>
      <c r="G923" s="111">
        <v>44498</v>
      </c>
      <c r="H923" s="31" t="s">
        <v>1016</v>
      </c>
      <c r="I923" s="111">
        <v>44498</v>
      </c>
      <c r="J923" s="48" t="s">
        <v>869</v>
      </c>
      <c r="K923" s="26">
        <v>35000</v>
      </c>
      <c r="L923" s="26"/>
      <c r="M923" s="27">
        <v>0</v>
      </c>
      <c r="N923" s="28"/>
      <c r="O923" s="27">
        <v>0</v>
      </c>
      <c r="P923" s="28">
        <v>0</v>
      </c>
      <c r="Q923" s="27">
        <v>0</v>
      </c>
      <c r="R923" s="26">
        <v>35000</v>
      </c>
      <c r="S923" s="115">
        <f ca="1">IF(PROVEEDORES[[#This Row],[FECHA DE PAGO]]=0,TODAY()-PROVEEDORES[[#This Row],[FECHA DE FACTURACIÓN]]-PROVEEDORES[[#This Row],[PLAZO Días]],0)</f>
        <v>0</v>
      </c>
      <c r="T9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4" spans="1:20" ht="21.9" customHeight="1" x14ac:dyDescent="0.3">
      <c r="A924" s="113" t="str">
        <f>+IF(PROVEEDORES[[#This Row],[FECHA DE PAGO]]=PROVEEDORES[[#This Row],[FECHA DE FACTURACIÓN]],"DE CONTADO","CRÉDITO")</f>
        <v>CRÉDITO</v>
      </c>
      <c r="B924" s="51" t="str">
        <f>+IF((PROVEEDORES[[#This Row],[FECHA DE PAGO]]-PROVEEDORES[[#This Row],[FECHA DE FACTURACIÓN]])&gt;PROVEEDORES[[#This Row],[PLAZO Días]],"PAGO VENCIDO")</f>
        <v>PAGO VENCIDO</v>
      </c>
      <c r="C924" s="25">
        <f>+VLOOKUP(PROVEEDORES[[#This Row],[PROVEEDOR]],TERCEROS_INFO[#All],2,FALSE)</f>
        <v>30</v>
      </c>
      <c r="D924" s="30">
        <f>+SUMIFS(PROVEEDORES[Total],PROVEEDORES[PROVEEDOR],PROVEEDORES[[#This Row],[PROVEEDOR]],PROVEEDORES[FECHA DE PAGO],"")</f>
        <v>0</v>
      </c>
      <c r="E924" s="30"/>
      <c r="F924" s="73" t="str">
        <f>+VLOOKUP(PROVEEDORES[[#This Row],[PROVEEDOR]],TERCEROS_INFO[[PROVEEDOR]:[CORREO]],5,FALSE)</f>
        <v/>
      </c>
      <c r="G924" s="111">
        <v>44557</v>
      </c>
      <c r="H924" s="31" t="s">
        <v>989</v>
      </c>
      <c r="I924" s="111">
        <v>44498</v>
      </c>
      <c r="J924" s="48" t="s">
        <v>867</v>
      </c>
      <c r="K924" s="26">
        <v>168000</v>
      </c>
      <c r="L924" s="26"/>
      <c r="M924" s="27">
        <v>0</v>
      </c>
      <c r="N924" s="28"/>
      <c r="O924" s="27">
        <v>0</v>
      </c>
      <c r="P924" s="28">
        <v>0</v>
      </c>
      <c r="Q924" s="27">
        <v>0</v>
      </c>
      <c r="R924" s="26">
        <v>168000</v>
      </c>
      <c r="S924" s="115">
        <f ca="1">IF(PROVEEDORES[[#This Row],[FECHA DE PAGO]]=0,TODAY()-PROVEEDORES[[#This Row],[FECHA DE FACTURACIÓN]]-PROVEEDORES[[#This Row],[PLAZO Días]],0)</f>
        <v>0</v>
      </c>
      <c r="T9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5" spans="1:20" ht="21.9" customHeight="1" x14ac:dyDescent="0.3">
      <c r="A925" s="113" t="str">
        <f>+IF(PROVEEDORES[[#This Row],[FECHA DE PAGO]]=PROVEEDORES[[#This Row],[FECHA DE FACTURACIÓN]],"DE CONTADO","CRÉDITO")</f>
        <v>CRÉDITO</v>
      </c>
      <c r="B925" s="51" t="str">
        <f>+IF((PROVEEDORES[[#This Row],[FECHA DE PAGO]]-PROVEEDORES[[#This Row],[FECHA DE FACTURACIÓN]])&gt;PROVEEDORES[[#This Row],[PLAZO Días]],"PAGO VENCIDO")</f>
        <v>PAGO VENCIDO</v>
      </c>
      <c r="C925" s="25">
        <f>+VLOOKUP(PROVEEDORES[[#This Row],[PROVEEDOR]],TERCEROS_INFO[#All],2,FALSE)</f>
        <v>30</v>
      </c>
      <c r="D925" s="30">
        <f>+SUMIFS(PROVEEDORES[Total],PROVEEDORES[PROVEEDOR],PROVEEDORES[[#This Row],[PROVEEDOR]],PROVEEDORES[FECHA DE PAGO],"")</f>
        <v>0</v>
      </c>
      <c r="E925" s="30"/>
      <c r="F925" s="73" t="str">
        <f>+VLOOKUP(PROVEEDORES[[#This Row],[PROVEEDOR]],TERCEROS_INFO[[PROVEEDOR]:[CORREO]],5,FALSE)</f>
        <v>avelinacomer@gmail.com;girlesa.ruiz@servipilas.com;joriescobar64@gmail.com</v>
      </c>
      <c r="G925" s="111">
        <v>44546</v>
      </c>
      <c r="H925" s="31" t="s">
        <v>1000</v>
      </c>
      <c r="I925" s="111">
        <v>44498</v>
      </c>
      <c r="J925" s="48" t="s">
        <v>868</v>
      </c>
      <c r="K925" s="26">
        <v>180800</v>
      </c>
      <c r="L925" s="26"/>
      <c r="M925" s="27">
        <v>0</v>
      </c>
      <c r="N925" s="28"/>
      <c r="O925" s="27">
        <v>0</v>
      </c>
      <c r="P925" s="28">
        <v>0</v>
      </c>
      <c r="Q925" s="27">
        <v>0</v>
      </c>
      <c r="R925" s="26">
        <v>180800</v>
      </c>
      <c r="S925" s="115">
        <f ca="1">IF(PROVEEDORES[[#This Row],[FECHA DE PAGO]]=0,TODAY()-PROVEEDORES[[#This Row],[FECHA DE FACTURACIÓN]]-PROVEEDORES[[#This Row],[PLAZO Días]],0)</f>
        <v>0</v>
      </c>
      <c r="T92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6" spans="1:20" ht="21.9" customHeight="1" x14ac:dyDescent="0.3">
      <c r="A926" s="113" t="str">
        <f>+IF(PROVEEDORES[[#This Row],[FECHA DE PAGO]]=PROVEEDORES[[#This Row],[FECHA DE FACTURACIÓN]],"DE CONTADO","CRÉDITO")</f>
        <v>DE CONTADO</v>
      </c>
      <c r="B926" s="51" t="b">
        <f>+IF((PROVEEDORES[[#This Row],[FECHA DE PAGO]]-PROVEEDORES[[#This Row],[FECHA DE FACTURACIÓN]])&gt;PROVEEDORES[[#This Row],[PLAZO Días]],"PAGO VENCIDO")</f>
        <v>0</v>
      </c>
      <c r="C926" s="25">
        <f>+VLOOKUP(PROVEEDORES[[#This Row],[PROVEEDOR]],TERCEROS_INFO[#All],2,FALSE)</f>
        <v>30</v>
      </c>
      <c r="D926" s="30">
        <f>+SUMIFS(PROVEEDORES[Total],PROVEEDORES[PROVEEDOR],PROVEEDORES[[#This Row],[PROVEEDOR]],PROVEEDORES[FECHA DE PAGO],"")</f>
        <v>0</v>
      </c>
      <c r="E926" s="30"/>
      <c r="F926" s="73" t="str">
        <f>+VLOOKUP(PROVEEDORES[[#This Row],[PROVEEDOR]],TERCEROS_INFO[[PROVEEDOR]:[CORREO]],5,FALSE)</f>
        <v/>
      </c>
      <c r="G926" s="111">
        <v>44498</v>
      </c>
      <c r="H926" s="31" t="s">
        <v>1052</v>
      </c>
      <c r="I926" s="111">
        <v>44498</v>
      </c>
      <c r="J926" s="48"/>
      <c r="K926" s="26">
        <v>1000000</v>
      </c>
      <c r="L926" s="26"/>
      <c r="M926" s="27">
        <v>0</v>
      </c>
      <c r="N926" s="28"/>
      <c r="O926" s="27">
        <v>0</v>
      </c>
      <c r="P926" s="28">
        <v>0</v>
      </c>
      <c r="Q926" s="27">
        <v>0</v>
      </c>
      <c r="R926" s="26">
        <v>1000000</v>
      </c>
      <c r="S926" s="115">
        <f ca="1">IF(PROVEEDORES[[#This Row],[FECHA DE PAGO]]=0,TODAY()-PROVEEDORES[[#This Row],[FECHA DE FACTURACIÓN]]-PROVEEDORES[[#This Row],[PLAZO Días]],0)</f>
        <v>0</v>
      </c>
      <c r="T92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7" spans="1:20" ht="21.9" customHeight="1" x14ac:dyDescent="0.3">
      <c r="A927" s="113" t="str">
        <f>+IF(PROVEEDORES[[#This Row],[FECHA DE PAGO]]=PROVEEDORES[[#This Row],[FECHA DE FACTURACIÓN]],"DE CONTADO","CRÉDITO")</f>
        <v>DE CONTADO</v>
      </c>
      <c r="B927" s="51" t="b">
        <f>+IF((PROVEEDORES[[#This Row],[FECHA DE PAGO]]-PROVEEDORES[[#This Row],[FECHA DE FACTURACIÓN]])&gt;PROVEEDORES[[#This Row],[PLAZO Días]],"PAGO VENCIDO")</f>
        <v>0</v>
      </c>
      <c r="C927" s="25">
        <f>+VLOOKUP(PROVEEDORES[[#This Row],[PROVEEDOR]],TERCEROS_INFO[#All],2,FALSE)</f>
        <v>30</v>
      </c>
      <c r="D927" s="30">
        <f>+SUMIFS(PROVEEDORES[Total],PROVEEDORES[PROVEEDOR],PROVEEDORES[[#This Row],[PROVEEDOR]],PROVEEDORES[FECHA DE PAGO],"")</f>
        <v>0</v>
      </c>
      <c r="E927" s="30"/>
      <c r="F927" s="73" t="str">
        <f>+VLOOKUP(PROVEEDORES[[#This Row],[PROVEEDOR]],TERCEROS_INFO[[PROVEEDOR]:[CORREO]],5,FALSE)</f>
        <v/>
      </c>
      <c r="G927" s="111">
        <v>44500</v>
      </c>
      <c r="H927" s="31" t="s">
        <v>1016</v>
      </c>
      <c r="I927" s="111">
        <v>44500</v>
      </c>
      <c r="J927" s="48" t="s">
        <v>667</v>
      </c>
      <c r="K927" s="26">
        <v>101500</v>
      </c>
      <c r="L927" s="26"/>
      <c r="M927" s="27">
        <v>0</v>
      </c>
      <c r="N927" s="28"/>
      <c r="O927" s="27">
        <v>0</v>
      </c>
      <c r="P927" s="28">
        <v>0</v>
      </c>
      <c r="Q927" s="27">
        <v>0</v>
      </c>
      <c r="R927" s="26">
        <v>101500</v>
      </c>
      <c r="S927" s="115">
        <f ca="1">IF(PROVEEDORES[[#This Row],[FECHA DE PAGO]]=0,TODAY()-PROVEEDORES[[#This Row],[FECHA DE FACTURACIÓN]]-PROVEEDORES[[#This Row],[PLAZO Días]],0)</f>
        <v>0</v>
      </c>
      <c r="T9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8" spans="1:20" ht="21.9" customHeight="1" x14ac:dyDescent="0.3">
      <c r="A928" s="113" t="str">
        <f>+IF(PROVEEDORES[[#This Row],[FECHA DE PAGO]]=PROVEEDORES[[#This Row],[FECHA DE FACTURACIÓN]],"DE CONTADO","CRÉDITO")</f>
        <v>DE CONTADO</v>
      </c>
      <c r="B928" s="51" t="b">
        <f>+IF((PROVEEDORES[[#This Row],[FECHA DE PAGO]]-PROVEEDORES[[#This Row],[FECHA DE FACTURACIÓN]])&gt;PROVEEDORES[[#This Row],[PLAZO Días]],"PAGO VENCIDO")</f>
        <v>0</v>
      </c>
      <c r="C928" s="25">
        <f>+VLOOKUP(PROVEEDORES[[#This Row],[PROVEEDOR]],TERCEROS_INFO[#All],2,FALSE)</f>
        <v>30</v>
      </c>
      <c r="D928" s="30">
        <f>+SUMIFS(PROVEEDORES[Total],PROVEEDORES[PROVEEDOR],PROVEEDORES[[#This Row],[PROVEEDOR]],PROVEEDORES[FECHA DE PAGO],"")</f>
        <v>0</v>
      </c>
      <c r="E928" s="30"/>
      <c r="F928" s="73" t="str">
        <f>+VLOOKUP(PROVEEDORES[[#This Row],[PROVEEDOR]],TERCEROS_INFO[[PROVEEDOR]:[CORREO]],5,FALSE)</f>
        <v/>
      </c>
      <c r="G928" s="111">
        <v>44500</v>
      </c>
      <c r="H928" s="31" t="s">
        <v>1016</v>
      </c>
      <c r="I928" s="111">
        <v>44500</v>
      </c>
      <c r="J928" s="48" t="s">
        <v>666</v>
      </c>
      <c r="K928" s="26">
        <v>213000</v>
      </c>
      <c r="L928" s="26"/>
      <c r="M928" s="27">
        <v>0</v>
      </c>
      <c r="N928" s="28"/>
      <c r="O928" s="27">
        <v>0</v>
      </c>
      <c r="P928" s="28">
        <v>0</v>
      </c>
      <c r="Q928" s="27">
        <v>0</v>
      </c>
      <c r="R928" s="26">
        <v>213000</v>
      </c>
      <c r="S928" s="115">
        <f ca="1">IF(PROVEEDORES[[#This Row],[FECHA DE PAGO]]=0,TODAY()-PROVEEDORES[[#This Row],[FECHA DE FACTURACIÓN]]-PROVEEDORES[[#This Row],[PLAZO Días]],0)</f>
        <v>0</v>
      </c>
      <c r="T92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29" spans="1:20" ht="21.9" customHeight="1" x14ac:dyDescent="0.3">
      <c r="A929" s="113" t="str">
        <f>+IF(PROVEEDORES[[#This Row],[FECHA DE PAGO]]=PROVEEDORES[[#This Row],[FECHA DE FACTURACIÓN]],"DE CONTADO","CRÉDITO")</f>
        <v>DE CONTADO</v>
      </c>
      <c r="B929" s="51" t="b">
        <f>+IF((PROVEEDORES[[#This Row],[FECHA DE PAGO]]-PROVEEDORES[[#This Row],[FECHA DE FACTURACIÓN]])&gt;PROVEEDORES[[#This Row],[PLAZO Días]],"PAGO VENCIDO")</f>
        <v>0</v>
      </c>
      <c r="C929" s="25">
        <f>+VLOOKUP(PROVEEDORES[[#This Row],[PROVEEDOR]],TERCEROS_INFO[#All],2,FALSE)</f>
        <v>30</v>
      </c>
      <c r="D929" s="30">
        <f>+SUMIFS(PROVEEDORES[Total],PROVEEDORES[PROVEEDOR],PROVEEDORES[[#This Row],[PROVEEDOR]],PROVEEDORES[FECHA DE PAGO],"")</f>
        <v>0</v>
      </c>
      <c r="E929" s="30"/>
      <c r="F929" s="73" t="str">
        <f>+VLOOKUP(PROVEEDORES[[#This Row],[PROVEEDOR]],TERCEROS_INFO[[PROVEEDOR]:[CORREO]],5,FALSE)</f>
        <v/>
      </c>
      <c r="G929" s="111">
        <v>44500</v>
      </c>
      <c r="H929" s="31" t="s">
        <v>1016</v>
      </c>
      <c r="I929" s="111">
        <v>44500</v>
      </c>
      <c r="J929" s="48" t="s">
        <v>806</v>
      </c>
      <c r="K929" s="26">
        <v>244000</v>
      </c>
      <c r="L929" s="26"/>
      <c r="M929" s="27">
        <v>0</v>
      </c>
      <c r="N929" s="28"/>
      <c r="O929" s="27">
        <v>0</v>
      </c>
      <c r="P929" s="28">
        <v>0</v>
      </c>
      <c r="Q929" s="27">
        <v>0</v>
      </c>
      <c r="R929" s="26">
        <v>244000</v>
      </c>
      <c r="S929" s="115">
        <f ca="1">IF(PROVEEDORES[[#This Row],[FECHA DE PAGO]]=0,TODAY()-PROVEEDORES[[#This Row],[FECHA DE FACTURACIÓN]]-PROVEEDORES[[#This Row],[PLAZO Días]],0)</f>
        <v>0</v>
      </c>
      <c r="T92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0" spans="1:20" ht="21.9" customHeight="1" x14ac:dyDescent="0.3">
      <c r="A930" s="113" t="str">
        <f>+IF(PROVEEDORES[[#This Row],[FECHA DE PAGO]]=PROVEEDORES[[#This Row],[FECHA DE FACTURACIÓN]],"DE CONTADO","CRÉDITO")</f>
        <v>DE CONTADO</v>
      </c>
      <c r="B930" s="51" t="b">
        <f>+IF((PROVEEDORES[[#This Row],[FECHA DE PAGO]]-PROVEEDORES[[#This Row],[FECHA DE FACTURACIÓN]])&gt;PROVEEDORES[[#This Row],[PLAZO Días]],"PAGO VENCIDO")</f>
        <v>0</v>
      </c>
      <c r="C930" s="25">
        <f>+VLOOKUP(PROVEEDORES[[#This Row],[PROVEEDOR]],TERCEROS_INFO[#All],2,FALSE)</f>
        <v>30</v>
      </c>
      <c r="D930" s="30">
        <f>+SUMIFS(PROVEEDORES[Total],PROVEEDORES[PROVEEDOR],PROVEEDORES[[#This Row],[PROVEEDOR]],PROVEEDORES[FECHA DE PAGO],"")</f>
        <v>0</v>
      </c>
      <c r="E930" s="30"/>
      <c r="F930" s="73" t="str">
        <f>+VLOOKUP(PROVEEDORES[[#This Row],[PROVEEDOR]],TERCEROS_INFO[[PROVEEDOR]:[CORREO]],5,FALSE)</f>
        <v/>
      </c>
      <c r="G930" s="111">
        <v>44500</v>
      </c>
      <c r="H930" s="31" t="s">
        <v>1016</v>
      </c>
      <c r="I930" s="111">
        <v>44500</v>
      </c>
      <c r="J930" s="48" t="s">
        <v>76</v>
      </c>
      <c r="K930" s="26">
        <v>440400</v>
      </c>
      <c r="L930" s="26"/>
      <c r="M930" s="27">
        <v>0</v>
      </c>
      <c r="N930" s="28"/>
      <c r="O930" s="27">
        <v>0</v>
      </c>
      <c r="P930" s="28">
        <v>0</v>
      </c>
      <c r="Q930" s="27">
        <v>0</v>
      </c>
      <c r="R930" s="26">
        <v>440400</v>
      </c>
      <c r="S930" s="115">
        <f ca="1">IF(PROVEEDORES[[#This Row],[FECHA DE PAGO]]=0,TODAY()-PROVEEDORES[[#This Row],[FECHA DE FACTURACIÓN]]-PROVEEDORES[[#This Row],[PLAZO Días]],0)</f>
        <v>0</v>
      </c>
      <c r="T93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1" spans="1:20" ht="21.9" customHeight="1" x14ac:dyDescent="0.3">
      <c r="A931" s="113" t="str">
        <f>+IF(PROVEEDORES[[#This Row],[FECHA DE PAGO]]=PROVEEDORES[[#This Row],[FECHA DE FACTURACIÓN]],"DE CONTADO","CRÉDITO")</f>
        <v>DE CONTADO</v>
      </c>
      <c r="B931" s="51" t="b">
        <f>+IF((PROVEEDORES[[#This Row],[FECHA DE PAGO]]-PROVEEDORES[[#This Row],[FECHA DE FACTURACIÓN]])&gt;PROVEEDORES[[#This Row],[PLAZO Días]],"PAGO VENCIDO")</f>
        <v>0</v>
      </c>
      <c r="C931" s="25">
        <f>+VLOOKUP(PROVEEDORES[[#This Row],[PROVEEDOR]],TERCEROS_INFO[#All],2,FALSE)</f>
        <v>30</v>
      </c>
      <c r="D931" s="30">
        <f>+SUMIFS(PROVEEDORES[Total],PROVEEDORES[PROVEEDOR],PROVEEDORES[[#This Row],[PROVEEDOR]],PROVEEDORES[FECHA DE PAGO],"")</f>
        <v>0</v>
      </c>
      <c r="E931" s="30"/>
      <c r="F931" s="73" t="str">
        <f>+VLOOKUP(PROVEEDORES[[#This Row],[PROVEEDOR]],TERCEROS_INFO[[PROVEEDOR]:[CORREO]],5,FALSE)</f>
        <v/>
      </c>
      <c r="G931" s="111">
        <v>44500</v>
      </c>
      <c r="H931" s="31" t="s">
        <v>1016</v>
      </c>
      <c r="I931" s="111">
        <v>44500</v>
      </c>
      <c r="J931" s="48" t="s">
        <v>837</v>
      </c>
      <c r="K931" s="26">
        <v>453200</v>
      </c>
      <c r="L931" s="26"/>
      <c r="M931" s="27">
        <v>0</v>
      </c>
      <c r="N931" s="28"/>
      <c r="O931" s="27">
        <v>0</v>
      </c>
      <c r="P931" s="28">
        <v>0</v>
      </c>
      <c r="Q931" s="27">
        <v>0</v>
      </c>
      <c r="R931" s="26">
        <v>453200</v>
      </c>
      <c r="S931" s="115">
        <f ca="1">IF(PROVEEDORES[[#This Row],[FECHA DE PAGO]]=0,TODAY()-PROVEEDORES[[#This Row],[FECHA DE FACTURACIÓN]]-PROVEEDORES[[#This Row],[PLAZO Días]],0)</f>
        <v>0</v>
      </c>
      <c r="T9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2" spans="1:20" ht="21.9" customHeight="1" x14ac:dyDescent="0.3">
      <c r="A932" s="113" t="str">
        <f>+IF(PROVEEDORES[[#This Row],[FECHA DE PAGO]]=PROVEEDORES[[#This Row],[FECHA DE FACTURACIÓN]],"DE CONTADO","CRÉDITO")</f>
        <v>CRÉDITO</v>
      </c>
      <c r="B932" s="51" t="b">
        <f>+IF((PROVEEDORES[[#This Row],[FECHA DE PAGO]]-PROVEEDORES[[#This Row],[FECHA DE FACTURACIÓN]])&gt;PROVEEDORES[[#This Row],[PLAZO Días]],"PAGO VENCIDO")</f>
        <v>0</v>
      </c>
      <c r="C932" s="25">
        <f>+VLOOKUP(PROVEEDORES[[#This Row],[PROVEEDOR]],TERCEROS_INFO[#All],2,FALSE)</f>
        <v>60</v>
      </c>
      <c r="D932" s="30">
        <f>+SUMIFS(PROVEEDORES[Total],PROVEEDORES[PROVEEDOR],PROVEEDORES[[#This Row],[PROVEEDOR]],PROVEEDORES[FECHA DE PAGO],"")</f>
        <v>602800</v>
      </c>
      <c r="E932" s="30"/>
      <c r="F932" s="73" t="str">
        <f>+VLOOKUP(PROVEEDORES[[#This Row],[PROVEEDOR]],TERCEROS_INFO[[PROVEEDOR]:[CORREO]],5,FALSE)</f>
        <v>jessica.barios.com@carpainternacional;girlesa.ruiz@servipilas.com;joriescobar64@gmail.com</v>
      </c>
      <c r="G932" s="111">
        <v>44503</v>
      </c>
      <c r="H932" s="31" t="s">
        <v>607</v>
      </c>
      <c r="I932" s="111">
        <v>44500</v>
      </c>
      <c r="J932" s="48" t="s">
        <v>577</v>
      </c>
      <c r="K932" s="26">
        <v>571961.4</v>
      </c>
      <c r="L932" s="26"/>
      <c r="M932" s="27">
        <v>0</v>
      </c>
      <c r="N932" s="28"/>
      <c r="O932" s="27">
        <v>0</v>
      </c>
      <c r="P932" s="28">
        <v>0</v>
      </c>
      <c r="Q932" s="27">
        <v>0</v>
      </c>
      <c r="R932" s="26">
        <v>571961.4</v>
      </c>
      <c r="S932" s="115">
        <f ca="1">IF(PROVEEDORES[[#This Row],[FECHA DE PAGO]]=0,TODAY()-PROVEEDORES[[#This Row],[FECHA DE FACTURACIÓN]]-PROVEEDORES[[#This Row],[PLAZO Días]],0)</f>
        <v>0</v>
      </c>
      <c r="T9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3" spans="1:20" ht="21.9" customHeight="1" x14ac:dyDescent="0.3">
      <c r="A933" s="113" t="str">
        <f>+IF(PROVEEDORES[[#This Row],[FECHA DE PAGO]]=PROVEEDORES[[#This Row],[FECHA DE FACTURACIÓN]],"DE CONTADO","CRÉDITO")</f>
        <v>DE CONTADO</v>
      </c>
      <c r="B933" s="51" t="b">
        <f>+IF((PROVEEDORES[[#This Row],[FECHA DE PAGO]]-PROVEEDORES[[#This Row],[FECHA DE FACTURACIÓN]])&gt;PROVEEDORES[[#This Row],[PLAZO Días]],"PAGO VENCIDO")</f>
        <v>0</v>
      </c>
      <c r="C933" s="25">
        <f>+VLOOKUP(PROVEEDORES[[#This Row],[PROVEEDOR]],TERCEROS_INFO[#All],2,FALSE)</f>
        <v>30</v>
      </c>
      <c r="D933" s="30">
        <f>+SUMIFS(PROVEEDORES[Total],PROVEEDORES[PROVEEDOR],PROVEEDORES[[#This Row],[PROVEEDOR]],PROVEEDORES[FECHA DE PAGO],"")</f>
        <v>0</v>
      </c>
      <c r="E933" s="30"/>
      <c r="F933" s="73" t="str">
        <f>+VLOOKUP(PROVEEDORES[[#This Row],[PROVEEDOR]],TERCEROS_INFO[[PROVEEDOR]:[CORREO]],5,FALSE)</f>
        <v/>
      </c>
      <c r="G933" s="111">
        <v>44500</v>
      </c>
      <c r="H933" s="31" t="s">
        <v>1016</v>
      </c>
      <c r="I933" s="111">
        <v>44500</v>
      </c>
      <c r="J933" s="48" t="s">
        <v>668</v>
      </c>
      <c r="K933" s="26">
        <v>2991750</v>
      </c>
      <c r="L933" s="26"/>
      <c r="M933" s="27">
        <v>0</v>
      </c>
      <c r="N933" s="28"/>
      <c r="O933" s="27">
        <v>0</v>
      </c>
      <c r="P933" s="28">
        <v>0</v>
      </c>
      <c r="Q933" s="27">
        <v>0</v>
      </c>
      <c r="R933" s="26">
        <v>2991750</v>
      </c>
      <c r="S933" s="115">
        <f ca="1">IF(PROVEEDORES[[#This Row],[FECHA DE PAGO]]=0,TODAY()-PROVEEDORES[[#This Row],[FECHA DE FACTURACIÓN]]-PROVEEDORES[[#This Row],[PLAZO Días]],0)</f>
        <v>0</v>
      </c>
      <c r="T9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4" spans="1:20" ht="21.9" customHeight="1" x14ac:dyDescent="0.3">
      <c r="A934" s="113" t="str">
        <f>+IF(PROVEEDORES[[#This Row],[FECHA DE PAGO]]=PROVEEDORES[[#This Row],[FECHA DE FACTURACIÓN]],"DE CONTADO","CRÉDITO")</f>
        <v>CRÉDITO</v>
      </c>
      <c r="B934" s="51" t="b">
        <f>+IF((PROVEEDORES[[#This Row],[FECHA DE PAGO]]-PROVEEDORES[[#This Row],[FECHA DE FACTURACIÓN]])&gt;PROVEEDORES[[#This Row],[PLAZO Días]],"PAGO VENCIDO")</f>
        <v>0</v>
      </c>
      <c r="C934" s="25">
        <f>+VLOOKUP(PROVEEDORES[[#This Row],[PROVEEDOR]],TERCEROS_INFO[#All],2,FALSE)</f>
        <v>30</v>
      </c>
      <c r="D934" s="30">
        <f>+SUMIFS(PROVEEDORES[Total],PROVEEDORES[PROVEEDOR],PROVEEDORES[[#This Row],[PROVEEDOR]],PROVEEDORES[FECHA DE PAGO],"")</f>
        <v>248736.18000000002</v>
      </c>
      <c r="E934" s="30"/>
      <c r="F934" s="73" t="str">
        <f>+VLOOKUP(PROVEEDORES[[#This Row],[PROVEEDOR]],TERCEROS_INFO[[PROVEEDOR]:[CORREO]],5,FALSE)</f>
        <v>administracion@sapian.com.co;girlesa.ruiz@servipilas.com;joriescobar64@gmail.com</v>
      </c>
      <c r="G934" s="111">
        <v>44527</v>
      </c>
      <c r="H934" s="31" t="s">
        <v>346</v>
      </c>
      <c r="I934" s="111">
        <v>44501</v>
      </c>
      <c r="J934" s="48" t="s">
        <v>592</v>
      </c>
      <c r="K934" s="26">
        <v>203897</v>
      </c>
      <c r="L934" s="26"/>
      <c r="M934" s="27">
        <v>38740.43</v>
      </c>
      <c r="N934" s="28"/>
      <c r="O934" s="27">
        <v>0</v>
      </c>
      <c r="P934" s="28">
        <v>3.5000000000000003E-2</v>
      </c>
      <c r="Q934" s="27">
        <v>7136.3950000000004</v>
      </c>
      <c r="R934" s="26">
        <v>235501.035</v>
      </c>
      <c r="S934" s="115">
        <f ca="1">IF(PROVEEDORES[[#This Row],[FECHA DE PAGO]]=0,TODAY()-PROVEEDORES[[#This Row],[FECHA DE FACTURACIÓN]]-PROVEEDORES[[#This Row],[PLAZO Días]],0)</f>
        <v>0</v>
      </c>
      <c r="T9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5" spans="1:20" ht="21.9" customHeight="1" x14ac:dyDescent="0.3">
      <c r="A935" s="113" t="str">
        <f>+IF(PROVEEDORES[[#This Row],[FECHA DE PAGO]]=PROVEEDORES[[#This Row],[FECHA DE FACTURACIÓN]],"DE CONTADO","CRÉDITO")</f>
        <v>CRÉDITO</v>
      </c>
      <c r="B935" s="51" t="str">
        <f>+IF((PROVEEDORES[[#This Row],[FECHA DE PAGO]]-PROVEEDORES[[#This Row],[FECHA DE FACTURACIÓN]])&gt;PROVEEDORES[[#This Row],[PLAZO Días]],"PAGO VENCIDO")</f>
        <v>PAGO VENCIDO</v>
      </c>
      <c r="C935" s="25">
        <f>+VLOOKUP(PROVEEDORES[[#This Row],[PROVEEDOR]],TERCEROS_INFO[#All],2,FALSE)</f>
        <v>60</v>
      </c>
      <c r="D935" s="30">
        <f>+SUMIFS(PROVEEDORES[Total],PROVEEDORES[PROVEEDOR],PROVEEDORES[[#This Row],[PROVEEDOR]],PROVEEDORES[FECHA DE PAGO],"")</f>
        <v>602800</v>
      </c>
      <c r="E935" s="30"/>
      <c r="F935" s="73" t="str">
        <f>+VLOOKUP(PROVEEDORES[[#This Row],[PROVEEDOR]],TERCEROS_INFO[[PROVEEDOR]:[CORREO]],5,FALSE)</f>
        <v>jessica.barios.com@carpainternacional;girlesa.ruiz@servipilas.com;joriescobar64@gmail.com</v>
      </c>
      <c r="G935" s="111">
        <v>44586</v>
      </c>
      <c r="H935" s="31" t="s">
        <v>607</v>
      </c>
      <c r="I935" s="111">
        <v>44501</v>
      </c>
      <c r="J935" s="48" t="s">
        <v>871</v>
      </c>
      <c r="K935" s="26">
        <v>235200</v>
      </c>
      <c r="L935" s="26"/>
      <c r="M935" s="27">
        <v>0</v>
      </c>
      <c r="N935" s="28"/>
      <c r="O935" s="27">
        <v>0</v>
      </c>
      <c r="P935" s="28">
        <v>0</v>
      </c>
      <c r="Q935" s="27">
        <v>0</v>
      </c>
      <c r="R935" s="26">
        <v>235200</v>
      </c>
      <c r="S935" s="115">
        <f ca="1">IF(PROVEEDORES[[#This Row],[FECHA DE PAGO]]=0,TODAY()-PROVEEDORES[[#This Row],[FECHA DE FACTURACIÓN]]-PROVEEDORES[[#This Row],[PLAZO Días]],0)</f>
        <v>0</v>
      </c>
      <c r="T9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6" spans="1:20" ht="21.9" customHeight="1" x14ac:dyDescent="0.3">
      <c r="A936" s="113" t="str">
        <f>+IF(PROVEEDORES[[#This Row],[FECHA DE PAGO]]=PROVEEDORES[[#This Row],[FECHA DE FACTURACIÓN]],"DE CONTADO","CRÉDITO")</f>
        <v>CRÉDITO</v>
      </c>
      <c r="B936" s="51" t="str">
        <f>+IF((PROVEEDORES[[#This Row],[FECHA DE PAGO]]-PROVEEDORES[[#This Row],[FECHA DE FACTURACIÓN]])&gt;PROVEEDORES[[#This Row],[PLAZO Días]],"PAGO VENCIDO")</f>
        <v>PAGO VENCIDO</v>
      </c>
      <c r="C936" s="25">
        <f>+VLOOKUP(PROVEEDORES[[#This Row],[PROVEEDOR]],TERCEROS_INFO[#All],2,FALSE)</f>
        <v>13</v>
      </c>
      <c r="D936" s="30">
        <f>+SUMIFS(PROVEEDORES[Total],PROVEEDORES[PROVEEDOR],PROVEEDORES[[#This Row],[PROVEEDOR]],PROVEEDORES[FECHA DE PAGO],"")</f>
        <v>0</v>
      </c>
      <c r="E936" s="30"/>
      <c r="F936" s="73">
        <f>+VLOOKUP(PROVEEDORES[[#This Row],[PROVEEDOR]],TERCEROS_INFO[[PROVEEDOR]:[CORREO]],5,FALSE)</f>
        <v>0</v>
      </c>
      <c r="G936" s="111">
        <v>44516</v>
      </c>
      <c r="H936" s="31" t="s">
        <v>329</v>
      </c>
      <c r="I936" s="111">
        <v>44501</v>
      </c>
      <c r="J936" s="48" t="s">
        <v>923</v>
      </c>
      <c r="K936" s="26">
        <v>268209</v>
      </c>
      <c r="L936" s="26"/>
      <c r="M936" s="27">
        <v>0</v>
      </c>
      <c r="N936" s="28"/>
      <c r="O936" s="27">
        <v>0</v>
      </c>
      <c r="P936" s="28">
        <v>0</v>
      </c>
      <c r="Q936" s="27">
        <v>0</v>
      </c>
      <c r="R936" s="26">
        <v>268209</v>
      </c>
      <c r="S936" s="115">
        <f ca="1">IF(PROVEEDORES[[#This Row],[FECHA DE PAGO]]=0,TODAY()-PROVEEDORES[[#This Row],[FECHA DE FACTURACIÓN]]-PROVEEDORES[[#This Row],[PLAZO Días]],0)</f>
        <v>0</v>
      </c>
      <c r="T9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7" spans="1:20" ht="21.9" customHeight="1" x14ac:dyDescent="0.3">
      <c r="A937" s="113" t="str">
        <f>+IF(PROVEEDORES[[#This Row],[FECHA DE PAGO]]=PROVEEDORES[[#This Row],[FECHA DE FACTURACIÓN]],"DE CONTADO","CRÉDITO")</f>
        <v>CRÉDITO</v>
      </c>
      <c r="B937" s="51" t="b">
        <f>+IF((PROVEEDORES[[#This Row],[FECHA DE PAGO]]-PROVEEDORES[[#This Row],[FECHA DE FACTURACIÓN]])&gt;PROVEEDORES[[#This Row],[PLAZO Días]],"PAGO VENCIDO")</f>
        <v>0</v>
      </c>
      <c r="C937" s="25">
        <f>+VLOOKUP(PROVEEDORES[[#This Row],[PROVEEDOR]],TERCEROS_INFO[#All],2,FALSE)</f>
        <v>30</v>
      </c>
      <c r="D937" s="30">
        <f>+SUMIFS(PROVEEDORES[Total],PROVEEDORES[PROVEEDOR],PROVEEDORES[[#This Row],[PROVEEDOR]],PROVEEDORES[FECHA DE PAGO],"")</f>
        <v>0</v>
      </c>
      <c r="E937" s="30"/>
      <c r="F937" s="73" t="str">
        <f>+VLOOKUP(PROVEEDORES[[#This Row],[PROVEEDOR]],TERCEROS_INFO[[PROVEEDOR]:[CORREO]],5,FALSE)</f>
        <v>facturacion@losmolinos.com.co</v>
      </c>
      <c r="G937" s="111">
        <v>44516</v>
      </c>
      <c r="H937" s="31" t="s">
        <v>345</v>
      </c>
      <c r="I937" s="111">
        <v>44501</v>
      </c>
      <c r="J937" s="48">
        <v>64995</v>
      </c>
      <c r="K937" s="26">
        <v>302624.74</v>
      </c>
      <c r="L937" s="26"/>
      <c r="M937" s="27">
        <v>0</v>
      </c>
      <c r="N937" s="28"/>
      <c r="O937" s="27">
        <v>49511.08</v>
      </c>
      <c r="P937" s="28">
        <v>0</v>
      </c>
      <c r="Q937" s="27">
        <v>0</v>
      </c>
      <c r="R937" s="26">
        <v>253113.65999999997</v>
      </c>
      <c r="S937" s="115">
        <f ca="1">IF(PROVEEDORES[[#This Row],[FECHA DE PAGO]]=0,TODAY()-PROVEEDORES[[#This Row],[FECHA DE FACTURACIÓN]]-PROVEEDORES[[#This Row],[PLAZO Días]],0)</f>
        <v>0</v>
      </c>
      <c r="T9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8" spans="1:20" ht="21.9" customHeight="1" x14ac:dyDescent="0.3">
      <c r="A938" s="113" t="str">
        <f>+IF(PROVEEDORES[[#This Row],[FECHA DE PAGO]]=PROVEEDORES[[#This Row],[FECHA DE FACTURACIÓN]],"DE CONTADO","CRÉDITO")</f>
        <v>CRÉDITO</v>
      </c>
      <c r="B938" s="51" t="str">
        <f>+IF((PROVEEDORES[[#This Row],[FECHA DE PAGO]]-PROVEEDORES[[#This Row],[FECHA DE FACTURACIÓN]])&gt;PROVEEDORES[[#This Row],[PLAZO Días]],"PAGO VENCIDO")</f>
        <v>PAGO VENCIDO</v>
      </c>
      <c r="C938" s="25">
        <f>+VLOOKUP(PROVEEDORES[[#This Row],[PROVEEDOR]],TERCEROS_INFO[#All],2,FALSE)</f>
        <v>13</v>
      </c>
      <c r="D938" s="30">
        <f>+SUMIFS(PROVEEDORES[Total],PROVEEDORES[PROVEEDOR],PROVEEDORES[[#This Row],[PROVEEDOR]],PROVEEDORES[FECHA DE PAGO],"")</f>
        <v>0</v>
      </c>
      <c r="E938" s="30"/>
      <c r="F938" s="73">
        <f>+VLOOKUP(PROVEEDORES[[#This Row],[PROVEEDOR]],TERCEROS_INFO[[PROVEEDOR]:[CORREO]],5,FALSE)</f>
        <v>0</v>
      </c>
      <c r="G938" s="111">
        <v>44516</v>
      </c>
      <c r="H938" s="31" t="s">
        <v>329</v>
      </c>
      <c r="I938" s="111">
        <v>44501</v>
      </c>
      <c r="J938" s="48" t="s">
        <v>331</v>
      </c>
      <c r="K938" s="26">
        <v>313385</v>
      </c>
      <c r="L938" s="26"/>
      <c r="M938" s="27">
        <v>0</v>
      </c>
      <c r="N938" s="28"/>
      <c r="O938" s="27">
        <v>0</v>
      </c>
      <c r="P938" s="28">
        <v>0</v>
      </c>
      <c r="Q938" s="27">
        <v>0</v>
      </c>
      <c r="R938" s="26">
        <v>313385</v>
      </c>
      <c r="S938" s="115">
        <f ca="1">IF(PROVEEDORES[[#This Row],[FECHA DE PAGO]]=0,TODAY()-PROVEEDORES[[#This Row],[FECHA DE FACTURACIÓN]]-PROVEEDORES[[#This Row],[PLAZO Días]],0)</f>
        <v>0</v>
      </c>
      <c r="T93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39" spans="1:20" ht="21.9" customHeight="1" x14ac:dyDescent="0.3">
      <c r="A939" s="113" t="str">
        <f>+IF(PROVEEDORES[[#This Row],[FECHA DE PAGO]]=PROVEEDORES[[#This Row],[FECHA DE FACTURACIÓN]],"DE CONTADO","CRÉDITO")</f>
        <v>CRÉDITO</v>
      </c>
      <c r="B939" s="51" t="b">
        <f>+IF((PROVEEDORES[[#This Row],[FECHA DE PAGO]]-PROVEEDORES[[#This Row],[FECHA DE FACTURACIÓN]])&gt;PROVEEDORES[[#This Row],[PLAZO Días]],"PAGO VENCIDO")</f>
        <v>0</v>
      </c>
      <c r="C939" s="25">
        <f>+VLOOKUP(PROVEEDORES[[#This Row],[PROVEEDOR]],TERCEROS_INFO[#All],2,FALSE)</f>
        <v>20</v>
      </c>
      <c r="D939" s="30">
        <f>+SUMIFS(PROVEEDORES[Total],PROVEEDORES[PROVEEDOR],PROVEEDORES[[#This Row],[PROVEEDOR]],PROVEEDORES[FECHA DE PAGO],"")</f>
        <v>0</v>
      </c>
      <c r="E939" s="30"/>
      <c r="F939" s="73" t="str">
        <f>+VLOOKUP(PROVEEDORES[[#This Row],[PROVEEDOR]],TERCEROS_INFO[[PROVEEDOR]:[CORREO]],5,FALSE)</f>
        <v>pse</v>
      </c>
      <c r="G939" s="111">
        <v>44516</v>
      </c>
      <c r="H939" s="31" t="s">
        <v>373</v>
      </c>
      <c r="I939" s="111">
        <v>44501</v>
      </c>
      <c r="J939" s="48"/>
      <c r="K939" s="26">
        <v>326243</v>
      </c>
      <c r="L939" s="26"/>
      <c r="M939" s="27">
        <v>0</v>
      </c>
      <c r="N939" s="28"/>
      <c r="O939" s="27">
        <v>0</v>
      </c>
      <c r="P939" s="28">
        <v>0</v>
      </c>
      <c r="Q939" s="27">
        <v>0</v>
      </c>
      <c r="R939" s="26">
        <v>326243</v>
      </c>
      <c r="S939" s="115">
        <f ca="1">IF(PROVEEDORES[[#This Row],[FECHA DE PAGO]]=0,TODAY()-PROVEEDORES[[#This Row],[FECHA DE FACTURACIÓN]]-PROVEEDORES[[#This Row],[PLAZO Días]],0)</f>
        <v>0</v>
      </c>
      <c r="T9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0" spans="1:20" ht="21.9" customHeight="1" x14ac:dyDescent="0.3">
      <c r="A940" s="113" t="str">
        <f>+IF(PROVEEDORES[[#This Row],[FECHA DE PAGO]]=PROVEEDORES[[#This Row],[FECHA DE FACTURACIÓN]],"DE CONTADO","CRÉDITO")</f>
        <v>CRÉDITO</v>
      </c>
      <c r="B940" s="51" t="b">
        <f>+IF((PROVEEDORES[[#This Row],[FECHA DE PAGO]]-PROVEEDORES[[#This Row],[FECHA DE FACTURACIÓN]])&gt;PROVEEDORES[[#This Row],[PLAZO Días]],"PAGO VENCIDO")</f>
        <v>0</v>
      </c>
      <c r="C940" s="25">
        <f>+VLOOKUP(PROVEEDORES[[#This Row],[PROVEEDOR]],TERCEROS_INFO[#All],2,FALSE)</f>
        <v>30</v>
      </c>
      <c r="D940" s="30">
        <f>+SUMIFS(PROVEEDORES[Total],PROVEEDORES[PROVEEDOR],PROVEEDORES[[#This Row],[PROVEEDOR]],PROVEEDORES[FECHA DE PAGO],"")</f>
        <v>4862586.33</v>
      </c>
      <c r="E940" s="30"/>
      <c r="F940" s="73" t="str">
        <f>+VLOOKUP(PROVEEDORES[[#This Row],[PROVEEDOR]],TERCEROS_INFO[[PROVEEDOR]:[CORREO]],5,FALSE)</f>
        <v>cartera@conbienes.com;girlesa.ruiz@servipilas.com;joriescobar64@gmail.com</v>
      </c>
      <c r="G940" s="111">
        <v>44527</v>
      </c>
      <c r="H940" s="31" t="s">
        <v>348</v>
      </c>
      <c r="I940" s="111">
        <v>44501</v>
      </c>
      <c r="J940" s="48" t="s">
        <v>591</v>
      </c>
      <c r="K940" s="26">
        <v>716544</v>
      </c>
      <c r="L940" s="26"/>
      <c r="M940" s="27">
        <v>136143.36000000002</v>
      </c>
      <c r="N940" s="28"/>
      <c r="O940" s="27">
        <v>0</v>
      </c>
      <c r="P940" s="28">
        <v>0</v>
      </c>
      <c r="Q940" s="27">
        <v>0</v>
      </c>
      <c r="R940" s="26">
        <v>852687.35999999999</v>
      </c>
      <c r="S940" s="115">
        <f ca="1">IF(PROVEEDORES[[#This Row],[FECHA DE PAGO]]=0,TODAY()-PROVEEDORES[[#This Row],[FECHA DE FACTURACIÓN]]-PROVEEDORES[[#This Row],[PLAZO Días]],0)</f>
        <v>0</v>
      </c>
      <c r="T9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1" spans="1:20" ht="21.9" customHeight="1" x14ac:dyDescent="0.3">
      <c r="A941" s="113" t="str">
        <f>+IF(PROVEEDORES[[#This Row],[FECHA DE PAGO]]=PROVEEDORES[[#This Row],[FECHA DE FACTURACIÓN]],"DE CONTADO","CRÉDITO")</f>
        <v>CRÉDITO</v>
      </c>
      <c r="B941" s="51" t="b">
        <f>+IF((PROVEEDORES[[#This Row],[FECHA DE PAGO]]-PROVEEDORES[[#This Row],[FECHA DE FACTURACIÓN]])&gt;PROVEEDORES[[#This Row],[PLAZO Días]],"PAGO VENCIDO")</f>
        <v>0</v>
      </c>
      <c r="C941" s="25">
        <f>+VLOOKUP(PROVEEDORES[[#This Row],[PROVEEDOR]],TERCEROS_INFO[#All],2,FALSE)</f>
        <v>30</v>
      </c>
      <c r="D941" s="30">
        <f>+SUMIFS(PROVEEDORES[Total],PROVEEDORES[PROVEEDOR],PROVEEDORES[[#This Row],[PROVEEDOR]],PROVEEDORES[FECHA DE PAGO],"")</f>
        <v>0</v>
      </c>
      <c r="E941" s="30"/>
      <c r="F941" s="73" t="str">
        <f>+VLOOKUP(PROVEEDORES[[#This Row],[PROVEEDOR]],TERCEROS_INFO[[PROVEEDOR]:[CORREO]],5,FALSE)</f>
        <v>PSE</v>
      </c>
      <c r="G941" s="111">
        <v>44516</v>
      </c>
      <c r="H941" s="31" t="s">
        <v>353</v>
      </c>
      <c r="I941" s="111">
        <v>44501</v>
      </c>
      <c r="J941" s="48" t="s">
        <v>354</v>
      </c>
      <c r="K941" s="26">
        <v>727051</v>
      </c>
      <c r="L941" s="26"/>
      <c r="M941" s="27">
        <v>0</v>
      </c>
      <c r="N941" s="28"/>
      <c r="O941" s="27">
        <v>0</v>
      </c>
      <c r="P941" s="28">
        <v>0</v>
      </c>
      <c r="Q941" s="27">
        <v>0</v>
      </c>
      <c r="R941" s="26">
        <v>727051</v>
      </c>
      <c r="S941" s="115">
        <f ca="1">IF(PROVEEDORES[[#This Row],[FECHA DE PAGO]]=0,TODAY()-PROVEEDORES[[#This Row],[FECHA DE FACTURACIÓN]]-PROVEEDORES[[#This Row],[PLAZO Días]],0)</f>
        <v>0</v>
      </c>
      <c r="T9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2" spans="1:20" ht="21.9" customHeight="1" x14ac:dyDescent="0.3">
      <c r="A942" s="113" t="str">
        <f>+IF(PROVEEDORES[[#This Row],[FECHA DE PAGO]]=PROVEEDORES[[#This Row],[FECHA DE FACTURACIÓN]],"DE CONTADO","CRÉDITO")</f>
        <v>CRÉDITO</v>
      </c>
      <c r="B942" s="51" t="b">
        <f>+IF((PROVEEDORES[[#This Row],[FECHA DE PAGO]]-PROVEEDORES[[#This Row],[FECHA DE FACTURACIÓN]])&gt;PROVEEDORES[[#This Row],[PLAZO Días]],"PAGO VENCIDO")</f>
        <v>0</v>
      </c>
      <c r="C942" s="25">
        <f>+VLOOKUP(PROVEEDORES[[#This Row],[PROVEEDOR]],TERCEROS_INFO[#All],2,FALSE)</f>
        <v>30</v>
      </c>
      <c r="D942" s="30">
        <f>+SUMIFS(PROVEEDORES[Total],PROVEEDORES[PROVEEDOR],PROVEEDORES[[#This Row],[PROVEEDOR]],PROVEEDORES[FECHA DE PAGO],"")</f>
        <v>0</v>
      </c>
      <c r="E942" s="30"/>
      <c r="F942" s="73" t="str">
        <f>+VLOOKUP(PROVEEDORES[[#This Row],[PROVEEDOR]],TERCEROS_INFO[[PROVEEDOR]:[CORREO]],5,FALSE)</f>
        <v>PSE</v>
      </c>
      <c r="G942" s="111">
        <v>44516</v>
      </c>
      <c r="H942" s="31" t="s">
        <v>353</v>
      </c>
      <c r="I942" s="111">
        <v>44501</v>
      </c>
      <c r="J942" s="48" t="s">
        <v>355</v>
      </c>
      <c r="K942" s="26">
        <v>743959</v>
      </c>
      <c r="L942" s="26"/>
      <c r="M942" s="27">
        <v>0</v>
      </c>
      <c r="N942" s="28"/>
      <c r="O942" s="27">
        <v>0</v>
      </c>
      <c r="P942" s="28">
        <v>0</v>
      </c>
      <c r="Q942" s="27">
        <v>0</v>
      </c>
      <c r="R942" s="26">
        <v>743959</v>
      </c>
      <c r="S942" s="115">
        <f ca="1">IF(PROVEEDORES[[#This Row],[FECHA DE PAGO]]=0,TODAY()-PROVEEDORES[[#This Row],[FECHA DE FACTURACIÓN]]-PROVEEDORES[[#This Row],[PLAZO Días]],0)</f>
        <v>0</v>
      </c>
      <c r="T9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3" spans="1:20" ht="21.9" customHeight="1" x14ac:dyDescent="0.3">
      <c r="A943" s="113" t="str">
        <f>+IF(PROVEEDORES[[#This Row],[FECHA DE PAGO]]=PROVEEDORES[[#This Row],[FECHA DE FACTURACIÓN]],"DE CONTADO","CRÉDITO")</f>
        <v>CRÉDITO</v>
      </c>
      <c r="B943" s="51" t="b">
        <f>+IF((PROVEEDORES[[#This Row],[FECHA DE PAGO]]-PROVEEDORES[[#This Row],[FECHA DE FACTURACIÓN]])&gt;PROVEEDORES[[#This Row],[PLAZO Días]],"PAGO VENCIDO")</f>
        <v>0</v>
      </c>
      <c r="C943" s="25">
        <f>+VLOOKUP(PROVEEDORES[[#This Row],[PROVEEDOR]],TERCEROS_INFO[#All],2,FALSE)</f>
        <v>20</v>
      </c>
      <c r="D943" s="30">
        <f>+SUMIFS(PROVEEDORES[Total],PROVEEDORES[PROVEEDOR],PROVEEDORES[[#This Row],[PROVEEDOR]],PROVEEDORES[FECHA DE PAGO],"")</f>
        <v>0</v>
      </c>
      <c r="E943" s="30"/>
      <c r="F943" s="73" t="str">
        <f>+VLOOKUP(PROVEEDORES[[#This Row],[PROVEEDOR]],TERCEROS_INFO[[PROVEEDOR]:[CORREO]],5,FALSE)</f>
        <v>pse</v>
      </c>
      <c r="G943" s="111">
        <v>44516</v>
      </c>
      <c r="H943" s="31" t="s">
        <v>374</v>
      </c>
      <c r="I943" s="111">
        <v>44501</v>
      </c>
      <c r="J943" s="48"/>
      <c r="K943" s="26">
        <v>895265</v>
      </c>
      <c r="L943" s="26"/>
      <c r="M943" s="27">
        <v>0</v>
      </c>
      <c r="N943" s="28"/>
      <c r="O943" s="27">
        <v>0</v>
      </c>
      <c r="P943" s="28">
        <v>0</v>
      </c>
      <c r="Q943" s="27">
        <v>0</v>
      </c>
      <c r="R943" s="26">
        <v>895265</v>
      </c>
      <c r="S943" s="115">
        <f ca="1">IF(PROVEEDORES[[#This Row],[FECHA DE PAGO]]=0,TODAY()-PROVEEDORES[[#This Row],[FECHA DE FACTURACIÓN]]-PROVEEDORES[[#This Row],[PLAZO Días]],0)</f>
        <v>0</v>
      </c>
      <c r="T9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4" spans="1:20" ht="21.9" customHeight="1" x14ac:dyDescent="0.3">
      <c r="A944" s="113" t="str">
        <f>+IF(PROVEEDORES[[#This Row],[FECHA DE PAGO]]=PROVEEDORES[[#This Row],[FECHA DE FACTURACIÓN]],"DE CONTADO","CRÉDITO")</f>
        <v>CRÉDITO</v>
      </c>
      <c r="B944" s="51" t="b">
        <f>+IF((PROVEEDORES[[#This Row],[FECHA DE PAGO]]-PROVEEDORES[[#This Row],[FECHA DE FACTURACIÓN]])&gt;PROVEEDORES[[#This Row],[PLAZO Días]],"PAGO VENCIDO")</f>
        <v>0</v>
      </c>
      <c r="C944" s="25">
        <f>+VLOOKUP(PROVEEDORES[[#This Row],[PROVEEDOR]],TERCEROS_INFO[#All],2,FALSE)</f>
        <v>30</v>
      </c>
      <c r="D944" s="30">
        <f>+SUMIFS(PROVEEDORES[Total],PROVEEDORES[PROVEEDOR],PROVEEDORES[[#This Row],[PROVEEDOR]],PROVEEDORES[FECHA DE PAGO],"")</f>
        <v>0</v>
      </c>
      <c r="E944" s="30"/>
      <c r="F944" s="73" t="str">
        <f>+VLOOKUP(PROVEEDORES[[#This Row],[PROVEEDOR]],TERCEROS_INFO[[PROVEEDOR]:[CORREO]],5,FALSE)</f>
        <v>oswaldo.alvarez@logimexsas.com;girlesa.ruiz@servipilas.com;joriescobar64@gmail.com</v>
      </c>
      <c r="G944" s="111">
        <v>44502</v>
      </c>
      <c r="H944" s="31" t="s">
        <v>120</v>
      </c>
      <c r="I944" s="111">
        <v>44501</v>
      </c>
      <c r="J944" s="48" t="s">
        <v>872</v>
      </c>
      <c r="K944" s="26">
        <v>1481000</v>
      </c>
      <c r="L944" s="26"/>
      <c r="M944" s="27">
        <v>0</v>
      </c>
      <c r="N944" s="28"/>
      <c r="O944" s="27">
        <v>0</v>
      </c>
      <c r="P944" s="28">
        <v>0</v>
      </c>
      <c r="Q944" s="27">
        <v>0</v>
      </c>
      <c r="R944" s="26">
        <v>1481000</v>
      </c>
      <c r="S944" s="115">
        <f ca="1">IF(PROVEEDORES[[#This Row],[FECHA DE PAGO]]=0,TODAY()-PROVEEDORES[[#This Row],[FECHA DE FACTURACIÓN]]-PROVEEDORES[[#This Row],[PLAZO Días]],0)</f>
        <v>0</v>
      </c>
      <c r="T94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5" spans="1:20" ht="21.9" customHeight="1" x14ac:dyDescent="0.3">
      <c r="A945" s="113" t="str">
        <f>+IF(PROVEEDORES[[#This Row],[FECHA DE PAGO]]=PROVEEDORES[[#This Row],[FECHA DE FACTURACIÓN]],"DE CONTADO","CRÉDITO")</f>
        <v>CRÉDITO</v>
      </c>
      <c r="B945" s="51" t="b">
        <f>+IF((PROVEEDORES[[#This Row],[FECHA DE PAGO]]-PROVEEDORES[[#This Row],[FECHA DE FACTURACIÓN]])&gt;PROVEEDORES[[#This Row],[PLAZO Días]],"PAGO VENCIDO")</f>
        <v>0</v>
      </c>
      <c r="C945" s="25">
        <f>+VLOOKUP(PROVEEDORES[[#This Row],[PROVEEDOR]],TERCEROS_INFO[#All],2,FALSE)</f>
        <v>30</v>
      </c>
      <c r="D945" s="30">
        <f>+SUMIFS(PROVEEDORES[Total],PROVEEDORES[PROVEEDOR],PROVEEDORES[[#This Row],[PROVEEDOR]],PROVEEDORES[FECHA DE PAGO],"")</f>
        <v>1296896</v>
      </c>
      <c r="E945" s="30"/>
      <c r="F945" s="73" t="str">
        <f>+VLOOKUP(PROVEEDORES[[#This Row],[PROVEEDOR]],TERCEROS_INFO[[PROVEEDOR]:[CORREO]],5,FALSE)</f>
        <v>tesoreria@lacentral.com.co;girlesa.ruiz@servipilas.com;joriescobar64@gmail.com</v>
      </c>
      <c r="G945" s="111">
        <v>44527</v>
      </c>
      <c r="H945" s="31" t="s">
        <v>335</v>
      </c>
      <c r="I945" s="111">
        <v>44501</v>
      </c>
      <c r="J945" s="48">
        <v>9319</v>
      </c>
      <c r="K945" s="26">
        <v>1547710</v>
      </c>
      <c r="L945" s="26"/>
      <c r="M945" s="27">
        <v>0</v>
      </c>
      <c r="N945" s="28"/>
      <c r="O945" s="27">
        <v>75639</v>
      </c>
      <c r="P945" s="28">
        <v>0</v>
      </c>
      <c r="Q945" s="27">
        <v>0</v>
      </c>
      <c r="R945" s="26">
        <v>1472071</v>
      </c>
      <c r="S945" s="115">
        <f ca="1">IF(PROVEEDORES[[#This Row],[FECHA DE PAGO]]=0,TODAY()-PROVEEDORES[[#This Row],[FECHA DE FACTURACIÓN]]-PROVEEDORES[[#This Row],[PLAZO Días]],0)</f>
        <v>0</v>
      </c>
      <c r="T9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6" spans="1:20" ht="21.9" customHeight="1" x14ac:dyDescent="0.3">
      <c r="A946" s="113" t="str">
        <f>+IF(PROVEEDORES[[#This Row],[FECHA DE PAGO]]=PROVEEDORES[[#This Row],[FECHA DE FACTURACIÓN]],"DE CONTADO","CRÉDITO")</f>
        <v>CRÉDITO</v>
      </c>
      <c r="B946" s="51" t="b">
        <f>+IF((PROVEEDORES[[#This Row],[FECHA DE PAGO]]-PROVEEDORES[[#This Row],[FECHA DE FACTURACIÓN]])&gt;PROVEEDORES[[#This Row],[PLAZO Días]],"PAGO VENCIDO")</f>
        <v>0</v>
      </c>
      <c r="C946" s="25">
        <f>+VLOOKUP(PROVEEDORES[[#This Row],[PROVEEDOR]],TERCEROS_INFO[#All],2,FALSE)</f>
        <v>30</v>
      </c>
      <c r="D946" s="30">
        <f>+SUMIFS(PROVEEDORES[Total],PROVEEDORES[PROVEEDOR],PROVEEDORES[[#This Row],[PROVEEDOR]],PROVEEDORES[FECHA DE PAGO],"")</f>
        <v>0</v>
      </c>
      <c r="E946" s="30"/>
      <c r="F946" s="73" t="str">
        <f>+VLOOKUP(PROVEEDORES[[#This Row],[PROVEEDOR]],TERCEROS_INFO[[PROVEEDOR]:[CORREO]],5,FALSE)</f>
        <v>propertymarketingsas@hotmail.com;girlesa.ruiz@servipilas.com;joriescobar64@gmail.com</v>
      </c>
      <c r="G946" s="111">
        <v>44527</v>
      </c>
      <c r="H946" s="31" t="s">
        <v>486</v>
      </c>
      <c r="I946" s="111">
        <v>44501</v>
      </c>
      <c r="J946" s="48" t="s">
        <v>601</v>
      </c>
      <c r="K946" s="26">
        <v>2789636</v>
      </c>
      <c r="L946" s="26"/>
      <c r="M946" s="27">
        <v>0</v>
      </c>
      <c r="N946" s="28"/>
      <c r="O946" s="27">
        <v>0</v>
      </c>
      <c r="P946" s="28">
        <v>3.5000000000000003E-2</v>
      </c>
      <c r="Q946" s="27">
        <v>97637.260000000009</v>
      </c>
      <c r="R946" s="26">
        <v>2691998.74</v>
      </c>
      <c r="S946" s="115">
        <f ca="1">IF(PROVEEDORES[[#This Row],[FECHA DE PAGO]]=0,TODAY()-PROVEEDORES[[#This Row],[FECHA DE FACTURACIÓN]]-PROVEEDORES[[#This Row],[PLAZO Días]],0)</f>
        <v>0</v>
      </c>
      <c r="T94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7" spans="1:20" ht="21.9" customHeight="1" x14ac:dyDescent="0.3">
      <c r="A947" s="113" t="str">
        <f>+IF(PROVEEDORES[[#This Row],[FECHA DE PAGO]]=PROVEEDORES[[#This Row],[FECHA DE FACTURACIÓN]],"DE CONTADO","CRÉDITO")</f>
        <v>CRÉDITO</v>
      </c>
      <c r="B947" s="51" t="b">
        <f>+IF((PROVEEDORES[[#This Row],[FECHA DE PAGO]]-PROVEEDORES[[#This Row],[FECHA DE FACTURACIÓN]])&gt;PROVEEDORES[[#This Row],[PLAZO Días]],"PAGO VENCIDO")</f>
        <v>0</v>
      </c>
      <c r="C947" s="25">
        <f>+VLOOKUP(PROVEEDORES[[#This Row],[PROVEEDOR]],TERCEROS_INFO[#All],2,FALSE)</f>
        <v>30</v>
      </c>
      <c r="D947" s="30">
        <f>+SUMIFS(PROVEEDORES[Total],PROVEEDORES[PROVEEDOR],PROVEEDORES[[#This Row],[PROVEEDOR]],PROVEEDORES[FECHA DE PAGO],"")</f>
        <v>4862586.33</v>
      </c>
      <c r="E947" s="30"/>
      <c r="F947" s="73" t="str">
        <f>+VLOOKUP(PROVEEDORES[[#This Row],[PROVEEDOR]],TERCEROS_INFO[[PROVEEDOR]:[CORREO]],5,FALSE)</f>
        <v>cartera@conbienes.com;girlesa.ruiz@servipilas.com;joriescobar64@gmail.com</v>
      </c>
      <c r="G947" s="111">
        <v>44527</v>
      </c>
      <c r="H947" s="31" t="s">
        <v>348</v>
      </c>
      <c r="I947" s="111">
        <v>44501</v>
      </c>
      <c r="J947" s="48" t="s">
        <v>590</v>
      </c>
      <c r="K947" s="26">
        <v>3061166</v>
      </c>
      <c r="L947" s="26"/>
      <c r="M947" s="27">
        <v>581621.54</v>
      </c>
      <c r="N947" s="28"/>
      <c r="O947" s="27">
        <v>0</v>
      </c>
      <c r="P947" s="28">
        <v>0</v>
      </c>
      <c r="Q947" s="27">
        <v>0</v>
      </c>
      <c r="R947" s="26">
        <v>3642787.54</v>
      </c>
      <c r="S947" s="115">
        <f ca="1">IF(PROVEEDORES[[#This Row],[FECHA DE PAGO]]=0,TODAY()-PROVEEDORES[[#This Row],[FECHA DE FACTURACIÓN]]-PROVEEDORES[[#This Row],[PLAZO Días]],0)</f>
        <v>0</v>
      </c>
      <c r="T94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8" spans="1:20" ht="21.9" customHeight="1" x14ac:dyDescent="0.3">
      <c r="A948" s="113" t="str">
        <f>+IF(PROVEEDORES[[#This Row],[FECHA DE PAGO]]=PROVEEDORES[[#This Row],[FECHA DE FACTURACIÓN]],"DE CONTADO","CRÉDITO")</f>
        <v>CRÉDITO</v>
      </c>
      <c r="B948" s="51" t="b">
        <f>+IF((PROVEEDORES[[#This Row],[FECHA DE PAGO]]-PROVEEDORES[[#This Row],[FECHA DE FACTURACIÓN]])&gt;PROVEEDORES[[#This Row],[PLAZO Días]],"PAGO VENCIDO")</f>
        <v>0</v>
      </c>
      <c r="C948" s="25">
        <f>+VLOOKUP(PROVEEDORES[[#This Row],[PROVEEDOR]],TERCEROS_INFO[#All],2,FALSE)</f>
        <v>30</v>
      </c>
      <c r="D948" s="30">
        <f>+SUMIFS(PROVEEDORES[Total],PROVEEDORES[PROVEEDOR],PROVEEDORES[[#This Row],[PROVEEDOR]],PROVEEDORES[FECHA DE PAGO],"")</f>
        <v>0</v>
      </c>
      <c r="E948" s="30"/>
      <c r="F948" s="73" t="str">
        <f>+VLOOKUP(PROVEEDORES[[#This Row],[PROVEEDOR]],TERCEROS_INFO[[PROVEEDOR]:[CORREO]],5,FALSE)</f>
        <v>girlesa.ruiz@servipilas.com;joriescobar64@gmail.com</v>
      </c>
      <c r="G948" s="111">
        <v>44527</v>
      </c>
      <c r="H948" s="31" t="s">
        <v>339</v>
      </c>
      <c r="I948" s="111">
        <v>44501</v>
      </c>
      <c r="J948" s="48" t="s">
        <v>935</v>
      </c>
      <c r="K948" s="26">
        <v>3124305</v>
      </c>
      <c r="L948" s="26"/>
      <c r="M948" s="27">
        <v>0</v>
      </c>
      <c r="N948" s="28"/>
      <c r="O948" s="27">
        <v>0</v>
      </c>
      <c r="P948" s="28">
        <v>3.5000000000000003E-2</v>
      </c>
      <c r="Q948" s="27">
        <v>109350.67500000002</v>
      </c>
      <c r="R948" s="26">
        <v>3014954.3250000002</v>
      </c>
      <c r="S948" s="115">
        <f ca="1">IF(PROVEEDORES[[#This Row],[FECHA DE PAGO]]=0,TODAY()-PROVEEDORES[[#This Row],[FECHA DE FACTURACIÓN]]-PROVEEDORES[[#This Row],[PLAZO Días]],0)</f>
        <v>0</v>
      </c>
      <c r="T9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49" spans="1:20" ht="21.9" customHeight="1" x14ac:dyDescent="0.3">
      <c r="A949" s="113" t="str">
        <f>+IF(PROVEEDORES[[#This Row],[FECHA DE PAGO]]=PROVEEDORES[[#This Row],[FECHA DE FACTURACIÓN]],"DE CONTADO","CRÉDITO")</f>
        <v>CRÉDITO</v>
      </c>
      <c r="B949" s="51" t="b">
        <f>+IF((PROVEEDORES[[#This Row],[FECHA DE PAGO]]-PROVEEDORES[[#This Row],[FECHA DE FACTURACIÓN]])&gt;PROVEEDORES[[#This Row],[PLAZO Días]],"PAGO VENCIDO")</f>
        <v>0</v>
      </c>
      <c r="C949" s="25">
        <f>+VLOOKUP(PROVEEDORES[[#This Row],[PROVEEDOR]],TERCEROS_INFO[#All],2,FALSE)</f>
        <v>30</v>
      </c>
      <c r="D949" s="30">
        <f>+SUMIFS(PROVEEDORES[Total],PROVEEDORES[PROVEEDOR],PROVEEDORES[[#This Row],[PROVEEDOR]],PROVEEDORES[FECHA DE PAGO],"")</f>
        <v>5060410.5999999996</v>
      </c>
      <c r="E949" s="30"/>
      <c r="F949" s="73" t="str">
        <f>+VLOOKUP(PROVEEDORES[[#This Row],[PROVEEDOR]],TERCEROS_INFO[[PROVEEDOR]:[CORREO]],5,FALSE)</f>
        <v>CBastidas@vyp.com.co;girlesa.ruiz@servipilas.com;joriescobar64@gmail.com</v>
      </c>
      <c r="G949" s="111">
        <v>44527</v>
      </c>
      <c r="H949" s="31" t="s">
        <v>347</v>
      </c>
      <c r="I949" s="111">
        <v>44501</v>
      </c>
      <c r="J949" s="48">
        <v>40950</v>
      </c>
      <c r="K949" s="26">
        <v>4430000</v>
      </c>
      <c r="L949" s="26"/>
      <c r="M949" s="27">
        <v>841700</v>
      </c>
      <c r="N949" s="28"/>
      <c r="O949" s="27">
        <v>0</v>
      </c>
      <c r="P949" s="28">
        <v>3.5000000000000003E-2</v>
      </c>
      <c r="Q949" s="27">
        <v>155050.00000000003</v>
      </c>
      <c r="R949" s="26">
        <v>5116650</v>
      </c>
      <c r="S949" s="115">
        <f ca="1">IF(PROVEEDORES[[#This Row],[FECHA DE PAGO]]=0,TODAY()-PROVEEDORES[[#This Row],[FECHA DE FACTURACIÓN]]-PROVEEDORES[[#This Row],[PLAZO Días]],0)</f>
        <v>0</v>
      </c>
      <c r="T94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0" spans="1:20" ht="21.9" customHeight="1" x14ac:dyDescent="0.3">
      <c r="A950" s="113" t="str">
        <f>+IF(PROVEEDORES[[#This Row],[FECHA DE PAGO]]=PROVEEDORES[[#This Row],[FECHA DE FACTURACIÓN]],"DE CONTADO","CRÉDITO")</f>
        <v>CRÉDITO</v>
      </c>
      <c r="B950" s="51" t="b">
        <f>+IF((PROVEEDORES[[#This Row],[FECHA DE PAGO]]-PROVEEDORES[[#This Row],[FECHA DE FACTURACIÓN]])&gt;PROVEEDORES[[#This Row],[PLAZO Días]],"PAGO VENCIDO")</f>
        <v>0</v>
      </c>
      <c r="C950" s="25">
        <f>+VLOOKUP(PROVEEDORES[[#This Row],[PROVEEDOR]],TERCEROS_INFO[#All],2,FALSE)</f>
        <v>30</v>
      </c>
      <c r="D950" s="30">
        <f>+SUMIFS(PROVEEDORES[Total],PROVEEDORES[PROVEEDOR],PROVEEDORES[[#This Row],[PROVEEDOR]],PROVEEDORES[FECHA DE PAGO],"")</f>
        <v>0</v>
      </c>
      <c r="E950" s="30"/>
      <c r="F950" s="73" t="str">
        <f>+VLOOKUP(PROVEEDORES[[#This Row],[PROVEEDOR]],TERCEROS_INFO[[PROVEEDOR]:[CORREO]],5,FALSE)</f>
        <v/>
      </c>
      <c r="G950" s="111">
        <v>44502</v>
      </c>
      <c r="H950" s="31" t="s">
        <v>56</v>
      </c>
      <c r="I950" s="111">
        <v>44501</v>
      </c>
      <c r="J950" s="48">
        <v>55161</v>
      </c>
      <c r="K950" s="26">
        <v>8172000</v>
      </c>
      <c r="L950" s="26"/>
      <c r="M950" s="27">
        <v>0</v>
      </c>
      <c r="N950" s="28"/>
      <c r="O950" s="27">
        <v>0</v>
      </c>
      <c r="P950" s="28">
        <v>0</v>
      </c>
      <c r="Q950" s="27">
        <v>0</v>
      </c>
      <c r="R950" s="26">
        <v>8172000</v>
      </c>
      <c r="S950" s="115">
        <f ca="1">IF(PROVEEDORES[[#This Row],[FECHA DE PAGO]]=0,TODAY()-PROVEEDORES[[#This Row],[FECHA DE FACTURACIÓN]]-PROVEEDORES[[#This Row],[PLAZO Días]],0)</f>
        <v>0</v>
      </c>
      <c r="T95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1" spans="1:20" ht="21.9" customHeight="1" x14ac:dyDescent="0.3">
      <c r="A951" s="113" t="str">
        <f>+IF(PROVEEDORES[[#This Row],[FECHA DE PAGO]]=PROVEEDORES[[#This Row],[FECHA DE FACTURACIÓN]],"DE CONTADO","CRÉDITO")</f>
        <v>CRÉDITO</v>
      </c>
      <c r="B951" s="51" t="str">
        <f>+IF((PROVEEDORES[[#This Row],[FECHA DE PAGO]]-PROVEEDORES[[#This Row],[FECHA DE FACTURACIÓN]])&gt;PROVEEDORES[[#This Row],[PLAZO Días]],"PAGO VENCIDO")</f>
        <v>PAGO VENCIDO</v>
      </c>
      <c r="C951" s="25">
        <f>+VLOOKUP(PROVEEDORES[[#This Row],[PROVEEDOR]],TERCEROS_INFO[#All],2,FALSE)</f>
        <v>45</v>
      </c>
      <c r="D951" s="30">
        <f>+SUMIFS(PROVEEDORES[Total],PROVEEDORES[PROVEEDOR],PROVEEDORES[[#This Row],[PROVEEDOR]],PROVEEDORES[FECHA DE PAGO],"")</f>
        <v>1070024.2</v>
      </c>
      <c r="E951" s="30"/>
      <c r="F951" s="73" t="str">
        <f>+VLOOKUP(PROVEEDORES[[#This Row],[PROVEEDOR]],TERCEROS_INFO[[PROVEEDOR]:[CORREO]],5,FALSE)</f>
        <v>libardopineda@tronex.com;girlesa.ruiz@servipilas.com;joriescobar64@gmail.com</v>
      </c>
      <c r="G951" s="111">
        <v>44552</v>
      </c>
      <c r="H951" s="31" t="s">
        <v>10</v>
      </c>
      <c r="I951" s="111">
        <v>44503</v>
      </c>
      <c r="J951" s="48" t="s">
        <v>603</v>
      </c>
      <c r="K951" s="26">
        <v>-7200000</v>
      </c>
      <c r="L951" s="26"/>
      <c r="M951" s="27">
        <v>-1368000</v>
      </c>
      <c r="N951" s="28"/>
      <c r="O951" s="27">
        <v>0</v>
      </c>
      <c r="P951" s="28">
        <v>0</v>
      </c>
      <c r="Q951" s="27">
        <v>0</v>
      </c>
      <c r="R951" s="26">
        <v>-8568000</v>
      </c>
      <c r="S951" s="115">
        <f ca="1">IF(PROVEEDORES[[#This Row],[FECHA DE PAGO]]=0,TODAY()-PROVEEDORES[[#This Row],[FECHA DE FACTURACIÓN]]-PROVEEDORES[[#This Row],[PLAZO Días]],0)</f>
        <v>0</v>
      </c>
      <c r="T95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2" spans="1:20" ht="21.9" customHeight="1" x14ac:dyDescent="0.3">
      <c r="A952" s="113" t="str">
        <f>+IF(PROVEEDORES[[#This Row],[FECHA DE PAGO]]=PROVEEDORES[[#This Row],[FECHA DE FACTURACIÓN]],"DE CONTADO","CRÉDITO")</f>
        <v>CRÉDITO</v>
      </c>
      <c r="B952" s="51" t="b">
        <f>+IF((PROVEEDORES[[#This Row],[FECHA DE PAGO]]-PROVEEDORES[[#This Row],[FECHA DE FACTURACIÓN]])&gt;PROVEEDORES[[#This Row],[PLAZO Días]],"PAGO VENCIDO")</f>
        <v>0</v>
      </c>
      <c r="C952" s="25">
        <f>+VLOOKUP(PROVEEDORES[[#This Row],[PROVEEDOR]],TERCEROS_INFO[#All],2,FALSE)</f>
        <v>30</v>
      </c>
      <c r="D952" s="30">
        <f>+SUMIFS(PROVEEDORES[Total],PROVEEDORES[PROVEEDOR],PROVEEDORES[[#This Row],[PROVEEDOR]],PROVEEDORES[FECHA DE PAGO],"")</f>
        <v>0</v>
      </c>
      <c r="E952" s="30"/>
      <c r="F952" s="73" t="str">
        <f>+VLOOKUP(PROVEEDORES[[#This Row],[PROVEEDOR]],TERCEROS_INFO[[PROVEEDOR]:[CORREO]],5,FALSE)</f>
        <v>juan.suarez@cosostenible.com;girlesa.ruiz@servipilas.com;joriescobar64@gmail.com</v>
      </c>
      <c r="G952" s="111">
        <v>44533</v>
      </c>
      <c r="H952" s="31" t="s">
        <v>50</v>
      </c>
      <c r="I952" s="111">
        <v>44503</v>
      </c>
      <c r="J952" s="48">
        <v>4693</v>
      </c>
      <c r="K952" s="26">
        <v>100840.4</v>
      </c>
      <c r="L952" s="26"/>
      <c r="M952" s="27">
        <v>19159.675999999999</v>
      </c>
      <c r="N952" s="28"/>
      <c r="O952" s="27">
        <v>0</v>
      </c>
      <c r="P952" s="28">
        <v>0</v>
      </c>
      <c r="Q952" s="27">
        <v>0</v>
      </c>
      <c r="R952" s="26">
        <v>120000.076</v>
      </c>
      <c r="S952" s="115">
        <f ca="1">IF(PROVEEDORES[[#This Row],[FECHA DE PAGO]]=0,TODAY()-PROVEEDORES[[#This Row],[FECHA DE FACTURACIÓN]]-PROVEEDORES[[#This Row],[PLAZO Días]],0)</f>
        <v>0</v>
      </c>
      <c r="T9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3" spans="1:20" ht="21.9" customHeight="1" x14ac:dyDescent="0.3">
      <c r="A953" s="113" t="str">
        <f>+IF(PROVEEDORES[[#This Row],[FECHA DE PAGO]]=PROVEEDORES[[#This Row],[FECHA DE FACTURACIÓN]],"DE CONTADO","CRÉDITO")</f>
        <v>CRÉDITO</v>
      </c>
      <c r="B953" s="51" t="str">
        <f>+IF((PROVEEDORES[[#This Row],[FECHA DE PAGO]]-PROVEEDORES[[#This Row],[FECHA DE FACTURACIÓN]])&gt;PROVEEDORES[[#This Row],[PLAZO Días]],"PAGO VENCIDO")</f>
        <v>PAGO VENCIDO</v>
      </c>
      <c r="C953" s="25">
        <f>+VLOOKUP(PROVEEDORES[[#This Row],[PROVEEDOR]],TERCEROS_INFO[#All],2,FALSE)</f>
        <v>30</v>
      </c>
      <c r="D953" s="30">
        <f>+SUMIFS(PROVEEDORES[Total],PROVEEDORES[PROVEEDOR],PROVEEDORES[[#This Row],[PROVEEDOR]],PROVEEDORES[FECHA DE PAGO],"")</f>
        <v>10764600</v>
      </c>
      <c r="E953" s="30"/>
      <c r="F953" s="73" t="str">
        <f>+VLOOKUP(PROVEEDORES[[#This Row],[PROVEEDOR]],TERCEROS_INFO[[PROVEEDOR]:[CORREO]],5,FALSE)</f>
        <v>apresupuesto@widexcolombia.com;girlesa.ruiz@servipilas.com;joriescobar64@gmail.com</v>
      </c>
      <c r="G953" s="111">
        <v>44545</v>
      </c>
      <c r="H953" s="31" t="s">
        <v>11</v>
      </c>
      <c r="I953" s="111">
        <v>44503</v>
      </c>
      <c r="J953" s="48" t="s">
        <v>594</v>
      </c>
      <c r="K953" s="26">
        <v>4086050</v>
      </c>
      <c r="L953" s="26"/>
      <c r="M953" s="27">
        <v>776349.5</v>
      </c>
      <c r="N953" s="28"/>
      <c r="O953" s="27">
        <v>0</v>
      </c>
      <c r="P953" s="28">
        <v>2.5000000000000001E-2</v>
      </c>
      <c r="Q953" s="27">
        <v>102151.25</v>
      </c>
      <c r="R953" s="26">
        <v>4760248.25</v>
      </c>
      <c r="S953" s="115">
        <f ca="1">IF(PROVEEDORES[[#This Row],[FECHA DE PAGO]]=0,TODAY()-PROVEEDORES[[#This Row],[FECHA DE FACTURACIÓN]]-PROVEEDORES[[#This Row],[PLAZO Días]],0)</f>
        <v>0</v>
      </c>
      <c r="T95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4" spans="1:20" ht="21.9" customHeight="1" x14ac:dyDescent="0.3">
      <c r="A954" s="113" t="str">
        <f>+IF(PROVEEDORES[[#This Row],[FECHA DE PAGO]]=PROVEEDORES[[#This Row],[FECHA DE FACTURACIÓN]],"DE CONTADO","CRÉDITO")</f>
        <v>CRÉDITO</v>
      </c>
      <c r="B954" s="51" t="str">
        <f>+IF((PROVEEDORES[[#This Row],[FECHA DE PAGO]]-PROVEEDORES[[#This Row],[FECHA DE FACTURACIÓN]])&gt;PROVEEDORES[[#This Row],[PLAZO Días]],"PAGO VENCIDO")</f>
        <v>PAGO VENCIDO</v>
      </c>
      <c r="C954" s="25">
        <f>+VLOOKUP(PROVEEDORES[[#This Row],[PROVEEDOR]],TERCEROS_INFO[#All],2,FALSE)</f>
        <v>45</v>
      </c>
      <c r="D954" s="30">
        <f>+SUMIFS(PROVEEDORES[Total],PROVEEDORES[PROVEEDOR],PROVEEDORES[[#This Row],[PROVEEDOR]],PROVEEDORES[FECHA DE PAGO],"")</f>
        <v>1070024.2</v>
      </c>
      <c r="E954" s="30"/>
      <c r="F954" s="73" t="str">
        <f>+VLOOKUP(PROVEEDORES[[#This Row],[PROVEEDOR]],TERCEROS_INFO[[PROVEEDOR]:[CORREO]],5,FALSE)</f>
        <v>libardopineda@tronex.com;girlesa.ruiz@servipilas.com;joriescobar64@gmail.com</v>
      </c>
      <c r="G954" s="111">
        <v>44552</v>
      </c>
      <c r="H954" s="31" t="s">
        <v>10</v>
      </c>
      <c r="I954" s="111">
        <v>44503</v>
      </c>
      <c r="J954" s="48" t="s">
        <v>602</v>
      </c>
      <c r="K954" s="26">
        <v>8899600</v>
      </c>
      <c r="L954" s="26"/>
      <c r="M954" s="27">
        <v>1690924</v>
      </c>
      <c r="N954" s="28"/>
      <c r="O954" s="27">
        <v>0</v>
      </c>
      <c r="P954" s="28">
        <v>0</v>
      </c>
      <c r="Q954" s="27">
        <v>0</v>
      </c>
      <c r="R954" s="26">
        <v>10590524</v>
      </c>
      <c r="S954" s="115">
        <f ca="1">IF(PROVEEDORES[[#This Row],[FECHA DE PAGO]]=0,TODAY()-PROVEEDORES[[#This Row],[FECHA DE FACTURACIÓN]]-PROVEEDORES[[#This Row],[PLAZO Días]],0)</f>
        <v>0</v>
      </c>
      <c r="T9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5" spans="1:20" ht="21.9" customHeight="1" x14ac:dyDescent="0.3">
      <c r="A955" s="113" t="str">
        <f>+IF(PROVEEDORES[[#This Row],[FECHA DE PAGO]]=PROVEEDORES[[#This Row],[FECHA DE FACTURACIÓN]],"DE CONTADO","CRÉDITO")</f>
        <v>CRÉDITO</v>
      </c>
      <c r="B955" s="51" t="b">
        <f>+IF((PROVEEDORES[[#This Row],[FECHA DE PAGO]]-PROVEEDORES[[#This Row],[FECHA DE FACTURACIÓN]])&gt;PROVEEDORES[[#This Row],[PLAZO Días]],"PAGO VENCIDO")</f>
        <v>0</v>
      </c>
      <c r="C955" s="25">
        <f>+VLOOKUP(PROVEEDORES[[#This Row],[PROVEEDOR]],TERCEROS_INFO[#All],2,FALSE)</f>
        <v>30</v>
      </c>
      <c r="D955" s="30">
        <f>+SUMIFS(PROVEEDORES[Total],PROVEEDORES[PROVEEDOR],PROVEEDORES[[#This Row],[PROVEEDOR]],PROVEEDORES[FECHA DE PAGO],"")</f>
        <v>0</v>
      </c>
      <c r="E955" s="30"/>
      <c r="F955" s="73" t="str">
        <f>+VLOOKUP(PROVEEDORES[[#This Row],[PROVEEDOR]],TERCEROS_INFO[[PROVEEDOR]:[CORREO]],5,FALSE)</f>
        <v>PSE</v>
      </c>
      <c r="G955" s="111">
        <v>44509</v>
      </c>
      <c r="H955" s="31" t="s">
        <v>333</v>
      </c>
      <c r="I955" s="111">
        <v>44504</v>
      </c>
      <c r="J955" s="48"/>
      <c r="K955" s="26">
        <v>168360</v>
      </c>
      <c r="L955" s="26"/>
      <c r="M955" s="27">
        <v>31988.400000000001</v>
      </c>
      <c r="N955" s="28"/>
      <c r="O955" s="27">
        <v>0</v>
      </c>
      <c r="P955" s="28">
        <v>0</v>
      </c>
      <c r="Q955" s="27">
        <v>0</v>
      </c>
      <c r="R955" s="26">
        <v>200348.4</v>
      </c>
      <c r="S955" s="115">
        <f ca="1">IF(PROVEEDORES[[#This Row],[FECHA DE PAGO]]=0,TODAY()-PROVEEDORES[[#This Row],[FECHA DE FACTURACIÓN]]-PROVEEDORES[[#This Row],[PLAZO Días]],0)</f>
        <v>0</v>
      </c>
      <c r="T9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6" spans="1:20" ht="21.9" customHeight="1" x14ac:dyDescent="0.3">
      <c r="A956" s="113" t="str">
        <f>+IF(PROVEEDORES[[#This Row],[FECHA DE PAGO]]=PROVEEDORES[[#This Row],[FECHA DE FACTURACIÓN]],"DE CONTADO","CRÉDITO")</f>
        <v>DE CONTADO</v>
      </c>
      <c r="B956" s="51" t="b">
        <f>+IF((PROVEEDORES[[#This Row],[FECHA DE PAGO]]-PROVEEDORES[[#This Row],[FECHA DE FACTURACIÓN]])&gt;PROVEEDORES[[#This Row],[PLAZO Días]],"PAGO VENCIDO")</f>
        <v>0</v>
      </c>
      <c r="C956" s="25">
        <f>+VLOOKUP(PROVEEDORES[[#This Row],[PROVEEDOR]],TERCEROS_INFO[#All],2,FALSE)</f>
        <v>30</v>
      </c>
      <c r="D956" s="30">
        <f>+SUMIFS(PROVEEDORES[Total],PROVEEDORES[PROVEEDOR],PROVEEDORES[[#This Row],[PROVEEDOR]],PROVEEDORES[FECHA DE PAGO],"")</f>
        <v>0</v>
      </c>
      <c r="E956" s="30"/>
      <c r="F956" s="73" t="str">
        <f>+VLOOKUP(PROVEEDORES[[#This Row],[PROVEEDOR]],TERCEROS_INFO[[PROVEEDOR]:[CORREO]],5,FALSE)</f>
        <v/>
      </c>
      <c r="G956" s="111">
        <v>44504</v>
      </c>
      <c r="H956" s="31" t="s">
        <v>1052</v>
      </c>
      <c r="I956" s="111">
        <v>44504</v>
      </c>
      <c r="J956" s="48"/>
      <c r="K956" s="26">
        <v>1000000</v>
      </c>
      <c r="L956" s="26"/>
      <c r="M956" s="27">
        <v>0</v>
      </c>
      <c r="N956" s="28"/>
      <c r="O956" s="27">
        <v>0</v>
      </c>
      <c r="P956" s="28">
        <v>0</v>
      </c>
      <c r="Q956" s="27">
        <v>0</v>
      </c>
      <c r="R956" s="26">
        <v>1000000</v>
      </c>
      <c r="S956" s="115">
        <f ca="1">IF(PROVEEDORES[[#This Row],[FECHA DE PAGO]]=0,TODAY()-PROVEEDORES[[#This Row],[FECHA DE FACTURACIÓN]]-PROVEEDORES[[#This Row],[PLAZO Días]],0)</f>
        <v>0</v>
      </c>
      <c r="T95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7" spans="1:20" ht="21.9" customHeight="1" x14ac:dyDescent="0.3">
      <c r="A957" s="113" t="str">
        <f>+IF(PROVEEDORES[[#This Row],[FECHA DE PAGO]]=PROVEEDORES[[#This Row],[FECHA DE FACTURACIÓN]],"DE CONTADO","CRÉDITO")</f>
        <v>CRÉDITO</v>
      </c>
      <c r="B957" s="51" t="b">
        <f>+IF((PROVEEDORES[[#This Row],[FECHA DE PAGO]]-PROVEEDORES[[#This Row],[FECHA DE FACTURACIÓN]])&gt;PROVEEDORES[[#This Row],[PLAZO Días]],"PAGO VENCIDO")</f>
        <v>0</v>
      </c>
      <c r="C957" s="25">
        <f>+VLOOKUP(PROVEEDORES[[#This Row],[PROVEEDOR]],TERCEROS_INFO[#All],2,FALSE)</f>
        <v>30</v>
      </c>
      <c r="D957" s="30">
        <f>+SUMIFS(PROVEEDORES[Total],PROVEEDORES[PROVEEDOR],PROVEEDORES[[#This Row],[PROVEEDOR]],PROVEEDORES[FECHA DE PAGO],"")</f>
        <v>0</v>
      </c>
      <c r="E957" s="30"/>
      <c r="F957" s="73" t="str">
        <f>+VLOOKUP(PROVEEDORES[[#This Row],[PROVEEDOR]],TERCEROS_INFO[[PROVEEDOR]:[CORREO]],5,FALSE)</f>
        <v/>
      </c>
      <c r="G957" s="111">
        <v>44505</v>
      </c>
      <c r="H957" s="31" t="s">
        <v>27</v>
      </c>
      <c r="I957" s="111">
        <v>44504</v>
      </c>
      <c r="J957" s="48" t="s">
        <v>596</v>
      </c>
      <c r="K957" s="26">
        <v>6054360</v>
      </c>
      <c r="L957" s="26"/>
      <c r="M957" s="27">
        <v>0</v>
      </c>
      <c r="N957" s="28"/>
      <c r="O957" s="27">
        <v>0</v>
      </c>
      <c r="P957" s="28">
        <v>0</v>
      </c>
      <c r="Q957" s="27">
        <v>0</v>
      </c>
      <c r="R957" s="26">
        <v>6054360</v>
      </c>
      <c r="S957" s="115">
        <f ca="1">IF(PROVEEDORES[[#This Row],[FECHA DE PAGO]]=0,TODAY()-PROVEEDORES[[#This Row],[FECHA DE FACTURACIÓN]]-PROVEEDORES[[#This Row],[PLAZO Días]],0)</f>
        <v>0</v>
      </c>
      <c r="T95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8" spans="1:20" ht="21.9" customHeight="1" x14ac:dyDescent="0.3">
      <c r="A958" s="113" t="str">
        <f>+IF(PROVEEDORES[[#This Row],[FECHA DE PAGO]]=PROVEEDORES[[#This Row],[FECHA DE FACTURACIÓN]],"DE CONTADO","CRÉDITO")</f>
        <v>CRÉDITO</v>
      </c>
      <c r="B958" s="51" t="b">
        <f>+IF((PROVEEDORES[[#This Row],[FECHA DE PAGO]]-PROVEEDORES[[#This Row],[FECHA DE FACTURACIÓN]])&gt;PROVEEDORES[[#This Row],[PLAZO Días]],"PAGO VENCIDO")</f>
        <v>0</v>
      </c>
      <c r="C958" s="25">
        <f>+VLOOKUP(PROVEEDORES[[#This Row],[PROVEEDOR]],TERCEROS_INFO[#All],2,FALSE)</f>
        <v>30</v>
      </c>
      <c r="D958" s="30">
        <f>+SUMIFS(PROVEEDORES[Total],PROVEEDORES[PROVEEDOR],PROVEEDORES[[#This Row],[PROVEEDOR]],PROVEEDORES[FECHA DE PAGO],"")</f>
        <v>264406</v>
      </c>
      <c r="E958" s="30"/>
      <c r="F958" s="73" t="str">
        <f>+VLOOKUP(PROVEEDORES[[#This Row],[PROVEEDOR]],TERCEROS_INFO[[PROVEEDOR]:[CORREO]],5,FALSE)</f>
        <v>oswaldo.alvarez@logimexsas.com;girlesa.ruiz@servipilas.com;joriescobar64@gmail.com</v>
      </c>
      <c r="G958" s="111">
        <v>44510</v>
      </c>
      <c r="H958" s="31" t="s">
        <v>393</v>
      </c>
      <c r="I958" s="111">
        <v>44505</v>
      </c>
      <c r="J958" s="48" t="s">
        <v>597</v>
      </c>
      <c r="K958" s="26">
        <v>551501.68000000005</v>
      </c>
      <c r="L958" s="26"/>
      <c r="M958" s="27">
        <v>0</v>
      </c>
      <c r="N958" s="28"/>
      <c r="O958" s="27">
        <v>0</v>
      </c>
      <c r="P958" s="28">
        <v>0</v>
      </c>
      <c r="Q958" s="27">
        <v>0</v>
      </c>
      <c r="R958" s="26">
        <v>551501.68000000005</v>
      </c>
      <c r="S958" s="115">
        <f ca="1">IF(PROVEEDORES[[#This Row],[FECHA DE PAGO]]=0,TODAY()-PROVEEDORES[[#This Row],[FECHA DE FACTURACIÓN]]-PROVEEDORES[[#This Row],[PLAZO Días]],0)</f>
        <v>0</v>
      </c>
      <c r="T95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59" spans="1:20" ht="21.9" customHeight="1" x14ac:dyDescent="0.3">
      <c r="A959" s="113" t="str">
        <f>+IF(PROVEEDORES[[#This Row],[FECHA DE PAGO]]=PROVEEDORES[[#This Row],[FECHA DE FACTURACIÓN]],"DE CONTADO","CRÉDITO")</f>
        <v>CRÉDITO</v>
      </c>
      <c r="B959" s="51" t="b">
        <f>+IF((PROVEEDORES[[#This Row],[FECHA DE PAGO]]-PROVEEDORES[[#This Row],[FECHA DE FACTURACIÓN]])&gt;PROVEEDORES[[#This Row],[PLAZO Días]],"PAGO VENCIDO")</f>
        <v>0</v>
      </c>
      <c r="C959" s="25">
        <f>+VLOOKUP(PROVEEDORES[[#This Row],[PROVEEDOR]],TERCEROS_INFO[#All],2,FALSE)</f>
        <v>30</v>
      </c>
      <c r="D959" s="30">
        <f>+SUMIFS(PROVEEDORES[Total],PROVEEDORES[PROVEEDOR],PROVEEDORES[[#This Row],[PROVEEDOR]],PROVEEDORES[FECHA DE PAGO],"")</f>
        <v>0</v>
      </c>
      <c r="E959" s="30"/>
      <c r="F959" s="73" t="str">
        <f>+VLOOKUP(PROVEEDORES[[#This Row],[PROVEEDOR]],TERCEROS_INFO[[PROVEEDOR]:[CORREO]],5,FALSE)</f>
        <v/>
      </c>
      <c r="G959" s="111">
        <v>44509</v>
      </c>
      <c r="H959" s="31" t="s">
        <v>1081</v>
      </c>
      <c r="I959" s="111">
        <v>44506</v>
      </c>
      <c r="J959" s="48" t="s">
        <v>598</v>
      </c>
      <c r="K959" s="26">
        <v>461000</v>
      </c>
      <c r="L959" s="26"/>
      <c r="M959" s="27">
        <v>0</v>
      </c>
      <c r="N959" s="28"/>
      <c r="O959" s="27">
        <v>0</v>
      </c>
      <c r="P959" s="28">
        <v>0</v>
      </c>
      <c r="Q959" s="27">
        <v>0</v>
      </c>
      <c r="R959" s="26">
        <v>461000</v>
      </c>
      <c r="S959" s="115">
        <f ca="1">IF(PROVEEDORES[[#This Row],[FECHA DE PAGO]]=0,TODAY()-PROVEEDORES[[#This Row],[FECHA DE FACTURACIÓN]]-PROVEEDORES[[#This Row],[PLAZO Días]],0)</f>
        <v>0</v>
      </c>
      <c r="T9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0" spans="1:20" ht="21.9" customHeight="1" x14ac:dyDescent="0.3">
      <c r="A960" s="113" t="str">
        <f>+IF(PROVEEDORES[[#This Row],[FECHA DE PAGO]]=PROVEEDORES[[#This Row],[FECHA DE FACTURACIÓN]],"DE CONTADO","CRÉDITO")</f>
        <v>CRÉDITO</v>
      </c>
      <c r="B960" s="51" t="str">
        <f>+IF((PROVEEDORES[[#This Row],[FECHA DE PAGO]]-PROVEEDORES[[#This Row],[FECHA DE FACTURACIÓN]])&gt;PROVEEDORES[[#This Row],[PLAZO Días]],"PAGO VENCIDO")</f>
        <v>PAGO VENCIDO</v>
      </c>
      <c r="C960" s="25">
        <f>+VLOOKUP(PROVEEDORES[[#This Row],[PROVEEDOR]],TERCEROS_INFO[#All],2,FALSE)</f>
        <v>30</v>
      </c>
      <c r="D960" s="30">
        <f>+SUMIFS(PROVEEDORES[Total],PROVEEDORES[PROVEEDOR],PROVEEDORES[[#This Row],[PROVEEDOR]],PROVEEDORES[FECHA DE PAGO],"")</f>
        <v>1645000</v>
      </c>
      <c r="E960" s="30"/>
      <c r="F960" s="73" t="str">
        <f>+VLOOKUP(PROVEEDORES[[#This Row],[PROVEEDOR]],TERCEROS_INFO[[PROVEEDOR]:[CORREO]],5,FALSE)</f>
        <v/>
      </c>
      <c r="G960" s="111">
        <v>44543</v>
      </c>
      <c r="H960" s="31" t="s">
        <v>1070</v>
      </c>
      <c r="I960" s="111">
        <v>44506</v>
      </c>
      <c r="J960" s="48" t="s">
        <v>873</v>
      </c>
      <c r="K960" s="26">
        <v>529000</v>
      </c>
      <c r="L960" s="26"/>
      <c r="M960" s="27">
        <v>0</v>
      </c>
      <c r="N960" s="28"/>
      <c r="O960" s="27">
        <v>0</v>
      </c>
      <c r="P960" s="28">
        <v>0</v>
      </c>
      <c r="Q960" s="27">
        <v>0</v>
      </c>
      <c r="R960" s="26">
        <v>529000</v>
      </c>
      <c r="S960" s="115">
        <f ca="1">IF(PROVEEDORES[[#This Row],[FECHA DE PAGO]]=0,TODAY()-PROVEEDORES[[#This Row],[FECHA DE FACTURACIÓN]]-PROVEEDORES[[#This Row],[PLAZO Días]],0)</f>
        <v>0</v>
      </c>
      <c r="T96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1" spans="1:20" ht="21.9" customHeight="1" x14ac:dyDescent="0.3">
      <c r="A961" s="113" t="str">
        <f>+IF(PROVEEDORES[[#This Row],[FECHA DE PAGO]]=PROVEEDORES[[#This Row],[FECHA DE FACTURACIÓN]],"DE CONTADO","CRÉDITO")</f>
        <v>CRÉDITO</v>
      </c>
      <c r="B961" s="51" t="b">
        <f>+IF((PROVEEDORES[[#This Row],[FECHA DE PAGO]]-PROVEEDORES[[#This Row],[FECHA DE FACTURACIÓN]])&gt;PROVEEDORES[[#This Row],[PLAZO Días]],"PAGO VENCIDO")</f>
        <v>0</v>
      </c>
      <c r="C961" s="25">
        <f>+VLOOKUP(PROVEEDORES[[#This Row],[PROVEEDOR]],TERCEROS_INFO[#All],2,FALSE)</f>
        <v>30</v>
      </c>
      <c r="D961" s="30">
        <f>+SUMIFS(PROVEEDORES[Total],PROVEEDORES[PROVEEDOR],PROVEEDORES[[#This Row],[PROVEEDOR]],PROVEEDORES[FECHA DE PAGO],"")</f>
        <v>0</v>
      </c>
      <c r="E961" s="30"/>
      <c r="F961" s="73" t="str">
        <f>+VLOOKUP(PROVEEDORES[[#This Row],[PROVEEDOR]],TERCEROS_INFO[[PROVEEDOR]:[CORREO]],5,FALSE)</f>
        <v>CARLOSARCILAMENSAJERIA@gmail.com;girlesa.ruiz@servipilas.com;joriescobar64@gmail.com</v>
      </c>
      <c r="G961" s="111">
        <v>44510</v>
      </c>
      <c r="H961" s="31" t="s">
        <v>143</v>
      </c>
      <c r="I961" s="111">
        <v>44508</v>
      </c>
      <c r="J961" s="48">
        <v>159</v>
      </c>
      <c r="K961" s="26">
        <v>624000</v>
      </c>
      <c r="L961" s="26"/>
      <c r="M961" s="27">
        <v>0</v>
      </c>
      <c r="N961" s="28"/>
      <c r="O961" s="27">
        <v>0</v>
      </c>
      <c r="P961" s="28">
        <v>0.01</v>
      </c>
      <c r="Q961" s="27">
        <v>6240</v>
      </c>
      <c r="R961" s="26">
        <v>617760</v>
      </c>
      <c r="S961" s="115">
        <f ca="1">IF(PROVEEDORES[[#This Row],[FECHA DE PAGO]]=0,TODAY()-PROVEEDORES[[#This Row],[FECHA DE FACTURACIÓN]]-PROVEEDORES[[#This Row],[PLAZO Días]],0)</f>
        <v>0</v>
      </c>
      <c r="T96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2" spans="1:20" ht="21.9" customHeight="1" x14ac:dyDescent="0.3">
      <c r="A962" s="113" t="str">
        <f>+IF(PROVEEDORES[[#This Row],[FECHA DE PAGO]]=PROVEEDORES[[#This Row],[FECHA DE FACTURACIÓN]],"DE CONTADO","CRÉDITO")</f>
        <v>CRÉDITO</v>
      </c>
      <c r="B962" s="51" t="str">
        <f>+IF((PROVEEDORES[[#This Row],[FECHA DE PAGO]]-PROVEEDORES[[#This Row],[FECHA DE FACTURACIÓN]])&gt;PROVEEDORES[[#This Row],[PLAZO Días]],"PAGO VENCIDO")</f>
        <v>PAGO VENCIDO</v>
      </c>
      <c r="C962" s="25">
        <f>+VLOOKUP(PROVEEDORES[[#This Row],[PROVEEDOR]],TERCEROS_INFO[#All],2,FALSE)</f>
        <v>30</v>
      </c>
      <c r="D962" s="30">
        <f>+SUMIFS(PROVEEDORES[Total],PROVEEDORES[PROVEEDOR],PROVEEDORES[[#This Row],[PROVEEDOR]],PROVEEDORES[FECHA DE PAGO],"")</f>
        <v>4054782.5</v>
      </c>
      <c r="E962" s="30"/>
      <c r="F962" s="73" t="str">
        <f>+VLOOKUP(PROVEEDORES[[#This Row],[PROVEEDOR]],TERCEROS_INFO[[PROVEEDOR]:[CORREO]],5,FALSE)</f>
        <v>globalpowerc2018@gmail.com;girlesa.ruiz@servipilas.com;joriescobar64@gmail.com</v>
      </c>
      <c r="G962" s="111">
        <v>44546</v>
      </c>
      <c r="H962" s="31" t="s">
        <v>482</v>
      </c>
      <c r="I962" s="111">
        <v>44508</v>
      </c>
      <c r="J962" s="48" t="s">
        <v>874</v>
      </c>
      <c r="K962" s="26">
        <v>1650000</v>
      </c>
      <c r="L962" s="26"/>
      <c r="M962" s="27">
        <v>313500</v>
      </c>
      <c r="N962" s="28"/>
      <c r="O962" s="27">
        <v>0</v>
      </c>
      <c r="P962" s="28">
        <v>2.5000000000000001E-2</v>
      </c>
      <c r="Q962" s="27">
        <v>41250</v>
      </c>
      <c r="R962" s="26">
        <v>1922250</v>
      </c>
      <c r="S962" s="115">
        <f ca="1">IF(PROVEEDORES[[#This Row],[FECHA DE PAGO]]=0,TODAY()-PROVEEDORES[[#This Row],[FECHA DE FACTURACIÓN]]-PROVEEDORES[[#This Row],[PLAZO Días]],0)</f>
        <v>0</v>
      </c>
      <c r="T9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3" spans="1:20" ht="21.9" customHeight="1" x14ac:dyDescent="0.3">
      <c r="A963" s="113" t="str">
        <f>+IF(PROVEEDORES[[#This Row],[FECHA DE PAGO]]=PROVEEDORES[[#This Row],[FECHA DE FACTURACIÓN]],"DE CONTADO","CRÉDITO")</f>
        <v>DE CONTADO</v>
      </c>
      <c r="B963" s="51" t="b">
        <f>+IF((PROVEEDORES[[#This Row],[FECHA DE PAGO]]-PROVEEDORES[[#This Row],[FECHA DE FACTURACIÓN]])&gt;PROVEEDORES[[#This Row],[PLAZO Días]],"PAGO VENCIDO")</f>
        <v>0</v>
      </c>
      <c r="C963" s="25">
        <f>+VLOOKUP(PROVEEDORES[[#This Row],[PROVEEDOR]],TERCEROS_INFO[#All],2,FALSE)</f>
        <v>30</v>
      </c>
      <c r="D963" s="30">
        <f>+SUMIFS(PROVEEDORES[Total],PROVEEDORES[PROVEEDOR],PROVEEDORES[[#This Row],[PROVEEDOR]],PROVEEDORES[FECHA DE PAGO],"")</f>
        <v>0</v>
      </c>
      <c r="E963" s="30"/>
      <c r="F963" s="73" t="str">
        <f>+VLOOKUP(PROVEEDORES[[#This Row],[PROVEEDOR]],TERCEROS_INFO[[PROVEEDOR]:[CORREO]],5,FALSE)</f>
        <v/>
      </c>
      <c r="G963" s="111">
        <v>44509</v>
      </c>
      <c r="H963" s="31" t="s">
        <v>1016</v>
      </c>
      <c r="I963" s="111">
        <v>44509</v>
      </c>
      <c r="J963" s="48" t="s">
        <v>875</v>
      </c>
      <c r="K963" s="26">
        <v>40000</v>
      </c>
      <c r="L963" s="26"/>
      <c r="M963" s="27">
        <v>0</v>
      </c>
      <c r="N963" s="28"/>
      <c r="O963" s="27">
        <v>0</v>
      </c>
      <c r="P963" s="28">
        <v>0</v>
      </c>
      <c r="Q963" s="27">
        <v>0</v>
      </c>
      <c r="R963" s="26">
        <v>40000</v>
      </c>
      <c r="S963" s="115">
        <f ca="1">IF(PROVEEDORES[[#This Row],[FECHA DE PAGO]]=0,TODAY()-PROVEEDORES[[#This Row],[FECHA DE FACTURACIÓN]]-PROVEEDORES[[#This Row],[PLAZO Días]],0)</f>
        <v>0</v>
      </c>
      <c r="T9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4" spans="1:20" ht="21.9" customHeight="1" x14ac:dyDescent="0.3">
      <c r="A964" s="113" t="str">
        <f>+IF(PROVEEDORES[[#This Row],[FECHA DE PAGO]]=PROVEEDORES[[#This Row],[FECHA DE FACTURACIÓN]],"DE CONTADO","CRÉDITO")</f>
        <v>CRÉDITO</v>
      </c>
      <c r="B964" s="51" t="str">
        <f>+IF((PROVEEDORES[[#This Row],[FECHA DE PAGO]]-PROVEEDORES[[#This Row],[FECHA DE FACTURACIÓN]])&gt;PROVEEDORES[[#This Row],[PLAZO Días]],"PAGO VENCIDO")</f>
        <v>PAGO VENCIDO</v>
      </c>
      <c r="C964" s="25">
        <f>+VLOOKUP(PROVEEDORES[[#This Row],[PROVEEDOR]],TERCEROS_INFO[#All],2,FALSE)</f>
        <v>30</v>
      </c>
      <c r="D964" s="30">
        <f>+SUMIFS(PROVEEDORES[Total],PROVEEDORES[PROVEEDOR],PROVEEDORES[[#This Row],[PROVEEDOR]],PROVEEDORES[FECHA DE PAGO],"")</f>
        <v>936000</v>
      </c>
      <c r="E964" s="30"/>
      <c r="F964" s="73" t="str">
        <f>+VLOOKUP(PROVEEDORES[[#This Row],[PROVEEDOR]],TERCEROS_INFO[[PROVEEDOR]:[CORREO]],5,FALSE)</f>
        <v>stabarbaradistronik@gmail.com;girlesa.ruiz@servipilas.com;joriescobar64@gmail.com</v>
      </c>
      <c r="G964" s="111">
        <v>44543</v>
      </c>
      <c r="H964" s="31" t="s">
        <v>1072</v>
      </c>
      <c r="I964" s="111">
        <v>44509</v>
      </c>
      <c r="J964" s="48" t="s">
        <v>876</v>
      </c>
      <c r="K964" s="26">
        <v>1470000</v>
      </c>
      <c r="L964" s="26"/>
      <c r="M964" s="27">
        <v>0</v>
      </c>
      <c r="N964" s="28"/>
      <c r="O964" s="27">
        <v>0</v>
      </c>
      <c r="P964" s="28">
        <v>0</v>
      </c>
      <c r="Q964" s="27">
        <v>0</v>
      </c>
      <c r="R964" s="26">
        <v>1470000</v>
      </c>
      <c r="S964" s="115">
        <f ca="1">IF(PROVEEDORES[[#This Row],[FECHA DE PAGO]]=0,TODAY()-PROVEEDORES[[#This Row],[FECHA DE FACTURACIÓN]]-PROVEEDORES[[#This Row],[PLAZO Días]],0)</f>
        <v>0</v>
      </c>
      <c r="T9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5" spans="1:20" ht="21.9" customHeight="1" x14ac:dyDescent="0.3">
      <c r="A965" s="113" t="str">
        <f>+IF(PROVEEDORES[[#This Row],[FECHA DE PAGO]]=PROVEEDORES[[#This Row],[FECHA DE FACTURACIÓN]],"DE CONTADO","CRÉDITO")</f>
        <v>CRÉDITO</v>
      </c>
      <c r="B965" s="51" t="str">
        <f>+IF((PROVEEDORES[[#This Row],[FECHA DE PAGO]]-PROVEEDORES[[#This Row],[FECHA DE FACTURACIÓN]])&gt;PROVEEDORES[[#This Row],[PLAZO Días]],"PAGO VENCIDO")</f>
        <v>PAGO VENCIDO</v>
      </c>
      <c r="C965" s="25">
        <f>+VLOOKUP(PROVEEDORES[[#This Row],[PROVEEDOR]],TERCEROS_INFO[#All],2,FALSE)</f>
        <v>30</v>
      </c>
      <c r="D965" s="30">
        <f>+SUMIFS(PROVEEDORES[Total],PROVEEDORES[PROVEEDOR],PROVEEDORES[[#This Row],[PROVEEDOR]],PROVEEDORES[FECHA DE PAGO],"")</f>
        <v>1451823</v>
      </c>
      <c r="E965" s="30"/>
      <c r="F965" s="73" t="str">
        <f>+VLOOKUP(PROVEEDORES[[#This Row],[PROVEEDOR]],TERCEROS_INFO[[PROVEEDOR]:[CORREO]],5,FALSE)</f>
        <v>cartera@ienewline.com;andres.arroyave@ienewline.com;girlesa.ruiz@servipilas.com;joriescobar64@gmail.com</v>
      </c>
      <c r="G965" s="111">
        <v>44543</v>
      </c>
      <c r="H965" s="31" t="s">
        <v>1131</v>
      </c>
      <c r="I965" s="111">
        <v>44509</v>
      </c>
      <c r="J965" s="48">
        <v>24521</v>
      </c>
      <c r="K965" s="26">
        <v>3180000</v>
      </c>
      <c r="L965" s="26"/>
      <c r="M965" s="27">
        <v>604200</v>
      </c>
      <c r="N965" s="28"/>
      <c r="O965" s="27">
        <v>0</v>
      </c>
      <c r="P965" s="28">
        <v>2.5000000000000001E-2</v>
      </c>
      <c r="Q965" s="27">
        <v>79500</v>
      </c>
      <c r="R965" s="26">
        <v>3704700</v>
      </c>
      <c r="S965" s="115">
        <f ca="1">IF(PROVEEDORES[[#This Row],[FECHA DE PAGO]]=0,TODAY()-PROVEEDORES[[#This Row],[FECHA DE FACTURACIÓN]]-PROVEEDORES[[#This Row],[PLAZO Días]],0)</f>
        <v>0</v>
      </c>
      <c r="T9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6" spans="1:20" ht="21.9" customHeight="1" x14ac:dyDescent="0.3">
      <c r="A966" s="113" t="str">
        <f>+IF(PROVEEDORES[[#This Row],[FECHA DE PAGO]]=PROVEEDORES[[#This Row],[FECHA DE FACTURACIÓN]],"DE CONTADO","CRÉDITO")</f>
        <v>CRÉDITO</v>
      </c>
      <c r="B966" s="51" t="b">
        <f>+IF((PROVEEDORES[[#This Row],[FECHA DE PAGO]]-PROVEEDORES[[#This Row],[FECHA DE FACTURACIÓN]])&gt;PROVEEDORES[[#This Row],[PLAZO Días]],"PAGO VENCIDO")</f>
        <v>0</v>
      </c>
      <c r="C966" s="25">
        <f>+VLOOKUP(PROVEEDORES[[#This Row],[PROVEEDOR]],TERCEROS_INFO[#All],2,FALSE)</f>
        <v>90</v>
      </c>
      <c r="D966" s="30">
        <f>+SUMIFS(PROVEEDORES[Total],PROVEEDORES[PROVEEDOR],PROVEEDORES[[#This Row],[PROVEEDOR]],PROVEEDORES[FECHA DE PAGO],"")</f>
        <v>24974028.109999996</v>
      </c>
      <c r="E966" s="30"/>
      <c r="F966" s="73" t="str">
        <f>+VLOOKUP(PROVEEDORES[[#This Row],[PROVEEDOR]],TERCEROS_INFO[[PROVEEDOR]:[CORREO]],5,FALSE)</f>
        <v>criszapata1234@gmail.com;girlesa.ruiz@servipilas.com;joriescobar64@gmail.com</v>
      </c>
      <c r="G966" s="111">
        <v>44533</v>
      </c>
      <c r="H966" s="31" t="s">
        <v>78</v>
      </c>
      <c r="I966" s="111">
        <v>44510</v>
      </c>
      <c r="J966" s="48" t="s">
        <v>600</v>
      </c>
      <c r="K966" s="26">
        <v>-3000000</v>
      </c>
      <c r="L966" s="26"/>
      <c r="M966" s="27">
        <v>0</v>
      </c>
      <c r="N966" s="28"/>
      <c r="O966" s="27">
        <v>0</v>
      </c>
      <c r="P966" s="28">
        <v>0</v>
      </c>
      <c r="Q966" s="27">
        <v>0</v>
      </c>
      <c r="R966" s="26">
        <v>-3000000</v>
      </c>
      <c r="S966" s="115">
        <f ca="1">IF(PROVEEDORES[[#This Row],[FECHA DE PAGO]]=0,TODAY()-PROVEEDORES[[#This Row],[FECHA DE FACTURACIÓN]]-PROVEEDORES[[#This Row],[PLAZO Días]],0)</f>
        <v>0</v>
      </c>
      <c r="T96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7" spans="1:20" ht="21.9" customHeight="1" x14ac:dyDescent="0.3">
      <c r="A967" s="113" t="str">
        <f>+IF(PROVEEDORES[[#This Row],[FECHA DE PAGO]]=PROVEEDORES[[#This Row],[FECHA DE FACTURACIÓN]],"DE CONTADO","CRÉDITO")</f>
        <v>CRÉDITO</v>
      </c>
      <c r="B967" s="51" t="str">
        <f>+IF((PROVEEDORES[[#This Row],[FECHA DE PAGO]]-PROVEEDORES[[#This Row],[FECHA DE FACTURACIÓN]])&gt;PROVEEDORES[[#This Row],[PLAZO Días]],"PAGO VENCIDO")</f>
        <v>PAGO VENCIDO</v>
      </c>
      <c r="C967" s="25">
        <f>+VLOOKUP(PROVEEDORES[[#This Row],[PROVEEDOR]],TERCEROS_INFO[#All],2,FALSE)</f>
        <v>60</v>
      </c>
      <c r="D967" s="30">
        <f>+SUMIFS(PROVEEDORES[Total],PROVEEDORES[PROVEEDOR],PROVEEDORES[[#This Row],[PROVEEDOR]],PROVEEDORES[FECHA DE PAGO],"")</f>
        <v>602800</v>
      </c>
      <c r="E967" s="30"/>
      <c r="F967" s="73" t="str">
        <f>+VLOOKUP(PROVEEDORES[[#This Row],[PROVEEDOR]],TERCEROS_INFO[[PROVEEDOR]:[CORREO]],5,FALSE)</f>
        <v>jessica.barios.com@carpainternacional;girlesa.ruiz@servipilas.com;joriescobar64@gmail.com</v>
      </c>
      <c r="G967" s="111">
        <v>44586</v>
      </c>
      <c r="H967" s="31" t="s">
        <v>607</v>
      </c>
      <c r="I967" s="111">
        <v>44510</v>
      </c>
      <c r="J967" s="48" t="s">
        <v>604</v>
      </c>
      <c r="K967" s="26">
        <v>285600</v>
      </c>
      <c r="L967" s="26"/>
      <c r="M967" s="27">
        <v>0</v>
      </c>
      <c r="N967" s="28"/>
      <c r="O967" s="27">
        <v>0</v>
      </c>
      <c r="P967" s="28">
        <v>0</v>
      </c>
      <c r="Q967" s="27">
        <v>0</v>
      </c>
      <c r="R967" s="26">
        <v>0</v>
      </c>
      <c r="S967" s="115">
        <f ca="1">IF(PROVEEDORES[[#This Row],[FECHA DE PAGO]]=0,TODAY()-PROVEEDORES[[#This Row],[FECHA DE FACTURACIÓN]]-PROVEEDORES[[#This Row],[PLAZO Días]],0)</f>
        <v>0</v>
      </c>
      <c r="T9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8" spans="1:20" ht="21.9" customHeight="1" x14ac:dyDescent="0.3">
      <c r="A968" s="113" t="str">
        <f>+IF(PROVEEDORES[[#This Row],[FECHA DE PAGO]]=PROVEEDORES[[#This Row],[FECHA DE FACTURACIÓN]],"DE CONTADO","CRÉDITO")</f>
        <v>CRÉDITO</v>
      </c>
      <c r="B968" s="51" t="str">
        <f>+IF((PROVEEDORES[[#This Row],[FECHA DE PAGO]]-PROVEEDORES[[#This Row],[FECHA DE FACTURACIÓN]])&gt;PROVEEDORES[[#This Row],[PLAZO Días]],"PAGO VENCIDO")</f>
        <v>PAGO VENCIDO</v>
      </c>
      <c r="C968" s="25">
        <f>+VLOOKUP(PROVEEDORES[[#This Row],[PROVEEDOR]],TERCEROS_INFO[#All],2,FALSE)</f>
        <v>30</v>
      </c>
      <c r="D968" s="30">
        <f>+SUMIFS(PROVEEDORES[Total],PROVEEDORES[PROVEEDOR],PROVEEDORES[[#This Row],[PROVEEDOR]],PROVEEDORES[FECHA DE PAGO],"")</f>
        <v>0</v>
      </c>
      <c r="E968" s="30"/>
      <c r="F968" s="73" t="str">
        <f>+VLOOKUP(PROVEEDORES[[#This Row],[PROVEEDOR]],TERCEROS_INFO[[PROVEEDOR]:[CORREO]],5,FALSE)</f>
        <v>ventasmegamundo@yahoo.es;girlesa.ruiz@servipilas.com;joriescobar64@gmail.com</v>
      </c>
      <c r="G968" s="111">
        <v>44558</v>
      </c>
      <c r="H968" s="31" t="s">
        <v>574</v>
      </c>
      <c r="I968" s="111">
        <v>44510</v>
      </c>
      <c r="J968" s="48">
        <v>252</v>
      </c>
      <c r="K968" s="26">
        <v>428571.43</v>
      </c>
      <c r="L968" s="26"/>
      <c r="M968" s="27">
        <v>81428.5717</v>
      </c>
      <c r="N968" s="28"/>
      <c r="O968" s="27">
        <v>0</v>
      </c>
      <c r="P968" s="28">
        <v>0</v>
      </c>
      <c r="Q968" s="27">
        <v>0</v>
      </c>
      <c r="R968" s="26">
        <v>510000.00170000002</v>
      </c>
      <c r="S968" s="115">
        <f ca="1">IF(PROVEEDORES[[#This Row],[FECHA DE PAGO]]=0,TODAY()-PROVEEDORES[[#This Row],[FECHA DE FACTURACIÓN]]-PROVEEDORES[[#This Row],[PLAZO Días]],0)</f>
        <v>0</v>
      </c>
      <c r="T9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69" spans="1:20" ht="21.9" customHeight="1" x14ac:dyDescent="0.3">
      <c r="A969" s="113" t="str">
        <f>+IF(PROVEEDORES[[#This Row],[FECHA DE PAGO]]=PROVEEDORES[[#This Row],[FECHA DE FACTURACIÓN]],"DE CONTADO","CRÉDITO")</f>
        <v>CRÉDITO</v>
      </c>
      <c r="B969" s="51" t="str">
        <f>+IF((PROVEEDORES[[#This Row],[FECHA DE PAGO]]-PROVEEDORES[[#This Row],[FECHA DE FACTURACIÓN]])&gt;PROVEEDORES[[#This Row],[PLAZO Días]],"PAGO VENCIDO")</f>
        <v>PAGO VENCIDO</v>
      </c>
      <c r="C969" s="25">
        <f>+VLOOKUP(PROVEEDORES[[#This Row],[PROVEEDOR]],TERCEROS_INFO[#All],2,FALSE)</f>
        <v>30</v>
      </c>
      <c r="D969" s="30">
        <f>+SUMIFS(PROVEEDORES[Total],PROVEEDORES[PROVEEDOR],PROVEEDORES[[#This Row],[PROVEEDOR]],PROVEEDORES[FECHA DE PAGO],"")</f>
        <v>0</v>
      </c>
      <c r="E969" s="30"/>
      <c r="F969" s="73" t="str">
        <f>+VLOOKUP(PROVEEDORES[[#This Row],[PROVEEDOR]],TERCEROS_INFO[[PROVEEDOR]:[CORREO]],5,FALSE)</f>
        <v>tesoreria@makingbusiness.com.co;girlesa.ruiz@servipilas.com;joriescobar64@gmail.com</v>
      </c>
      <c r="G969" s="111">
        <v>44543</v>
      </c>
      <c r="H969" s="31" t="s">
        <v>32</v>
      </c>
      <c r="I969" s="111">
        <v>44510</v>
      </c>
      <c r="J969" s="48" t="s">
        <v>611</v>
      </c>
      <c r="K969" s="26">
        <v>2248066.5</v>
      </c>
      <c r="L969" s="26"/>
      <c r="M969" s="27">
        <v>427132.63500000001</v>
      </c>
      <c r="N969" s="28"/>
      <c r="O969" s="27">
        <v>0</v>
      </c>
      <c r="P969" s="28">
        <v>2.5000000000000001E-2</v>
      </c>
      <c r="Q969" s="27">
        <v>56201.662500000006</v>
      </c>
      <c r="R969" s="26">
        <v>2618997.4724999997</v>
      </c>
      <c r="S969" s="115">
        <f ca="1">IF(PROVEEDORES[[#This Row],[FECHA DE PAGO]]=0,TODAY()-PROVEEDORES[[#This Row],[FECHA DE FACTURACIÓN]]-PROVEEDORES[[#This Row],[PLAZO Días]],0)</f>
        <v>0</v>
      </c>
      <c r="T96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0" spans="1:20" ht="21.9" customHeight="1" x14ac:dyDescent="0.3">
      <c r="A970" s="113" t="str">
        <f>+IF(PROVEEDORES[[#This Row],[FECHA DE PAGO]]=PROVEEDORES[[#This Row],[FECHA DE FACTURACIÓN]],"DE CONTADO","CRÉDITO")</f>
        <v>CRÉDITO</v>
      </c>
      <c r="B970" s="51" t="str">
        <f>+IF((PROVEEDORES[[#This Row],[FECHA DE PAGO]]-PROVEEDORES[[#This Row],[FECHA DE FACTURACIÓN]])&gt;PROVEEDORES[[#This Row],[PLAZO Días]],"PAGO VENCIDO")</f>
        <v>PAGO VENCIDO</v>
      </c>
      <c r="C970" s="25">
        <f>+VLOOKUP(PROVEEDORES[[#This Row],[PROVEEDOR]],TERCEROS_INFO[#All],2,FALSE)</f>
        <v>30</v>
      </c>
      <c r="D970" s="30">
        <f>+SUMIFS(PROVEEDORES[Total],PROVEEDORES[PROVEEDOR],PROVEEDORES[[#This Row],[PROVEEDOR]],PROVEEDORES[FECHA DE PAGO],"")</f>
        <v>0</v>
      </c>
      <c r="E970" s="30"/>
      <c r="F970" s="73" t="str">
        <f>+VLOOKUP(PROVEEDORES[[#This Row],[PROVEEDOR]],TERCEROS_INFO[[PROVEEDOR]:[CORREO]],5,FALSE)</f>
        <v>yermingg@hotmail.com;girlesa.ruiz@servipilas.com;joriescobar64@gmail.com</v>
      </c>
      <c r="G970" s="111">
        <v>44568</v>
      </c>
      <c r="H970" s="31" t="s">
        <v>1085</v>
      </c>
      <c r="I970" s="111">
        <v>44511</v>
      </c>
      <c r="J970" s="48" t="s">
        <v>877</v>
      </c>
      <c r="K970" s="26">
        <v>942000</v>
      </c>
      <c r="L970" s="26"/>
      <c r="M970" s="27">
        <v>0</v>
      </c>
      <c r="N970" s="28"/>
      <c r="O970" s="27">
        <v>0</v>
      </c>
      <c r="P970" s="28">
        <v>0</v>
      </c>
      <c r="Q970" s="27">
        <v>0</v>
      </c>
      <c r="R970" s="26">
        <v>942000</v>
      </c>
      <c r="S970" s="115">
        <f ca="1">IF(PROVEEDORES[[#This Row],[FECHA DE PAGO]]=0,TODAY()-PROVEEDORES[[#This Row],[FECHA DE FACTURACIÓN]]-PROVEEDORES[[#This Row],[PLAZO Días]],0)</f>
        <v>0</v>
      </c>
      <c r="T97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1" spans="1:20" ht="21.9" customHeight="1" x14ac:dyDescent="0.3">
      <c r="A971" s="113" t="str">
        <f>+IF(PROVEEDORES[[#This Row],[FECHA DE PAGO]]=PROVEEDORES[[#This Row],[FECHA DE FACTURACIÓN]],"DE CONTADO","CRÉDITO")</f>
        <v>CRÉDITO</v>
      </c>
      <c r="B971" s="51" t="str">
        <f>+IF((PROVEEDORES[[#This Row],[FECHA DE PAGO]]-PROVEEDORES[[#This Row],[FECHA DE FACTURACIÓN]])&gt;PROVEEDORES[[#This Row],[PLAZO Días]],"PAGO VENCIDO")</f>
        <v>PAGO VENCIDO</v>
      </c>
      <c r="C971" s="25">
        <f>+VLOOKUP(PROVEEDORES[[#This Row],[PROVEEDOR]],TERCEROS_INFO[#All],2,FALSE)</f>
        <v>30</v>
      </c>
      <c r="D971" s="30">
        <f>+SUMIFS(PROVEEDORES[Total],PROVEEDORES[PROVEEDOR],PROVEEDORES[[#This Row],[PROVEEDOR]],PROVEEDORES[FECHA DE PAGO],"")</f>
        <v>936000</v>
      </c>
      <c r="E971" s="30"/>
      <c r="F971" s="73" t="str">
        <f>+VLOOKUP(PROVEEDORES[[#This Row],[PROVEEDOR]],TERCEROS_INFO[[PROVEEDOR]:[CORREO]],5,FALSE)</f>
        <v>stabarbaradistronik@gmail.com;girlesa.ruiz@servipilas.com;joriescobar64@gmail.com</v>
      </c>
      <c r="G971" s="111">
        <v>44543</v>
      </c>
      <c r="H971" s="31" t="s">
        <v>1072</v>
      </c>
      <c r="I971" s="111">
        <v>44511</v>
      </c>
      <c r="J971" s="48" t="s">
        <v>623</v>
      </c>
      <c r="K971" s="26">
        <v>1750000</v>
      </c>
      <c r="L971" s="26"/>
      <c r="M971" s="27">
        <v>0</v>
      </c>
      <c r="N971" s="28"/>
      <c r="O971" s="27">
        <v>0</v>
      </c>
      <c r="P971" s="28">
        <v>0</v>
      </c>
      <c r="Q971" s="27">
        <v>0</v>
      </c>
      <c r="R971" s="26">
        <v>1750000</v>
      </c>
      <c r="S971" s="115">
        <f ca="1">IF(PROVEEDORES[[#This Row],[FECHA DE PAGO]]=0,TODAY()-PROVEEDORES[[#This Row],[FECHA DE FACTURACIÓN]]-PROVEEDORES[[#This Row],[PLAZO Días]],0)</f>
        <v>0</v>
      </c>
      <c r="T9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2" spans="1:20" ht="21.9" customHeight="1" x14ac:dyDescent="0.3">
      <c r="A972" s="113" t="str">
        <f>+IF(PROVEEDORES[[#This Row],[FECHA DE PAGO]]=PROVEEDORES[[#This Row],[FECHA DE FACTURACIÓN]],"DE CONTADO","CRÉDITO")</f>
        <v>CRÉDITO</v>
      </c>
      <c r="B972" s="51" t="b">
        <f>+IF((PROVEEDORES[[#This Row],[FECHA DE PAGO]]-PROVEEDORES[[#This Row],[FECHA DE FACTURACIÓN]])&gt;PROVEEDORES[[#This Row],[PLAZO Días]],"PAGO VENCIDO")</f>
        <v>0</v>
      </c>
      <c r="C972" s="25">
        <f>+VLOOKUP(PROVEEDORES[[#This Row],[PROVEEDOR]],TERCEROS_INFO[#All],2,FALSE)</f>
        <v>30</v>
      </c>
      <c r="D972" s="30">
        <f>+SUMIFS(PROVEEDORES[Total],PROVEEDORES[PROVEEDOR],PROVEEDORES[[#This Row],[PROVEEDOR]],PROVEEDORES[FECHA DE PAGO],"")</f>
        <v>0</v>
      </c>
      <c r="E972" s="30"/>
      <c r="F972" s="73" t="str">
        <f>+VLOOKUP(PROVEEDORES[[#This Row],[PROVEEDOR]],TERCEROS_INFO[[PROVEEDOR]:[CORREO]],5,FALSE)</f>
        <v/>
      </c>
      <c r="G972" s="111">
        <v>44512</v>
      </c>
      <c r="H972" s="31" t="s">
        <v>1007</v>
      </c>
      <c r="I972" s="111">
        <v>44511</v>
      </c>
      <c r="J972" s="48" t="s">
        <v>606</v>
      </c>
      <c r="K972" s="26">
        <v>3847000</v>
      </c>
      <c r="L972" s="26"/>
      <c r="M972" s="27">
        <v>0</v>
      </c>
      <c r="N972" s="28"/>
      <c r="O972" s="27">
        <v>0</v>
      </c>
      <c r="P972" s="28">
        <v>0</v>
      </c>
      <c r="Q972" s="27">
        <v>0</v>
      </c>
      <c r="R972" s="26">
        <v>3847000</v>
      </c>
      <c r="S972" s="115">
        <f ca="1">IF(PROVEEDORES[[#This Row],[FECHA DE PAGO]]=0,TODAY()-PROVEEDORES[[#This Row],[FECHA DE FACTURACIÓN]]-PROVEEDORES[[#This Row],[PLAZO Días]],0)</f>
        <v>0</v>
      </c>
      <c r="T97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3" spans="1:20" ht="21.9" customHeight="1" x14ac:dyDescent="0.3">
      <c r="A973" s="113" t="str">
        <f>+IF(PROVEEDORES[[#This Row],[FECHA DE PAGO]]=PROVEEDORES[[#This Row],[FECHA DE FACTURACIÓN]],"DE CONTADO","CRÉDITO")</f>
        <v>CRÉDITO</v>
      </c>
      <c r="B973" s="51" t="b">
        <f>+IF((PROVEEDORES[[#This Row],[FECHA DE PAGO]]-PROVEEDORES[[#This Row],[FECHA DE FACTURACIÓN]])&gt;PROVEEDORES[[#This Row],[PLAZO Días]],"PAGO VENCIDO")</f>
        <v>0</v>
      </c>
      <c r="C973" s="25">
        <f>+VLOOKUP(PROVEEDORES[[#This Row],[PROVEEDOR]],TERCEROS_INFO[#All],2,FALSE)</f>
        <v>90</v>
      </c>
      <c r="D973" s="30">
        <f>+SUMIFS(PROVEEDORES[Total],PROVEEDORES[PROVEEDOR],PROVEEDORES[[#This Row],[PROVEEDOR]],PROVEEDORES[FECHA DE PAGO],"")</f>
        <v>24974028.109999996</v>
      </c>
      <c r="E973" s="30"/>
      <c r="F973" s="73" t="str">
        <f>+VLOOKUP(PROVEEDORES[[#This Row],[PROVEEDOR]],TERCEROS_INFO[[PROVEEDOR]:[CORREO]],5,FALSE)</f>
        <v>criszapata1234@gmail.com;girlesa.ruiz@servipilas.com;joriescobar64@gmail.com</v>
      </c>
      <c r="G973" s="111">
        <v>44561</v>
      </c>
      <c r="H973" s="31" t="s">
        <v>78</v>
      </c>
      <c r="I973" s="111">
        <v>44511</v>
      </c>
      <c r="J973" s="48" t="s">
        <v>619</v>
      </c>
      <c r="K973" s="26">
        <v>34382322</v>
      </c>
      <c r="L973" s="26"/>
      <c r="M973" s="27">
        <v>6532641.1799999997</v>
      </c>
      <c r="N973" s="28">
        <v>0.06</v>
      </c>
      <c r="O973" s="27">
        <v>2062939.3199999998</v>
      </c>
      <c r="P973" s="28">
        <v>2.5000000000000001E-2</v>
      </c>
      <c r="Q973" s="27">
        <v>859558.05</v>
      </c>
      <c r="R973" s="26">
        <v>37992465.810000002</v>
      </c>
      <c r="S973" s="115">
        <f ca="1">IF(PROVEEDORES[[#This Row],[FECHA DE PAGO]]=0,TODAY()-PROVEEDORES[[#This Row],[FECHA DE FACTURACIÓN]]-PROVEEDORES[[#This Row],[PLAZO Días]],0)</f>
        <v>0</v>
      </c>
      <c r="T97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4" spans="1:20" ht="21.9" customHeight="1" x14ac:dyDescent="0.3">
      <c r="A974" s="113" t="str">
        <f>+IF(PROVEEDORES[[#This Row],[FECHA DE PAGO]]=PROVEEDORES[[#This Row],[FECHA DE FACTURACIÓN]],"DE CONTADO","CRÉDITO")</f>
        <v>CRÉDITO</v>
      </c>
      <c r="B974" s="51" t="b">
        <f>+IF((PROVEEDORES[[#This Row],[FECHA DE PAGO]]-PROVEEDORES[[#This Row],[FECHA DE FACTURACIÓN]])&gt;PROVEEDORES[[#This Row],[PLAZO Días]],"PAGO VENCIDO")</f>
        <v>0</v>
      </c>
      <c r="C974" s="25">
        <f>+VLOOKUP(PROVEEDORES[[#This Row],[PROVEEDOR]],TERCEROS_INFO[#All],2,FALSE)</f>
        <v>90</v>
      </c>
      <c r="D974" s="30">
        <f>+SUMIFS(PROVEEDORES[Total],PROVEEDORES[PROVEEDOR],PROVEEDORES[[#This Row],[PROVEEDOR]],PROVEEDORES[FECHA DE PAGO],"")</f>
        <v>24974028.109999996</v>
      </c>
      <c r="E974" s="30"/>
      <c r="F974" s="73" t="str">
        <f>+VLOOKUP(PROVEEDORES[[#This Row],[PROVEEDOR]],TERCEROS_INFO[[PROVEEDOR]:[CORREO]],5,FALSE)</f>
        <v>criszapata1234@gmail.com;girlesa.ruiz@servipilas.com;joriescobar64@gmail.com</v>
      </c>
      <c r="G974" s="111">
        <v>44533</v>
      </c>
      <c r="H974" s="31" t="s">
        <v>78</v>
      </c>
      <c r="I974" s="111">
        <v>44512</v>
      </c>
      <c r="J974" s="48" t="s">
        <v>600</v>
      </c>
      <c r="K974" s="26">
        <v>-2000000</v>
      </c>
      <c r="L974" s="26"/>
      <c r="M974" s="27">
        <v>0</v>
      </c>
      <c r="N974" s="28"/>
      <c r="O974" s="27">
        <v>0</v>
      </c>
      <c r="P974" s="28">
        <v>0</v>
      </c>
      <c r="Q974" s="27">
        <v>0</v>
      </c>
      <c r="R974" s="26">
        <v>-2000000</v>
      </c>
      <c r="S974" s="115">
        <f ca="1">IF(PROVEEDORES[[#This Row],[FECHA DE PAGO]]=0,TODAY()-PROVEEDORES[[#This Row],[FECHA DE FACTURACIÓN]]-PROVEEDORES[[#This Row],[PLAZO Días]],0)</f>
        <v>0</v>
      </c>
      <c r="T97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5" spans="1:20" ht="21.9" customHeight="1" x14ac:dyDescent="0.3">
      <c r="A975" s="113" t="str">
        <f>+IF(PROVEEDORES[[#This Row],[FECHA DE PAGO]]=PROVEEDORES[[#This Row],[FECHA DE FACTURACIÓN]],"DE CONTADO","CRÉDITO")</f>
        <v>CRÉDITO</v>
      </c>
      <c r="B975" s="51" t="str">
        <f>+IF((PROVEEDORES[[#This Row],[FECHA DE PAGO]]-PROVEEDORES[[#This Row],[FECHA DE FACTURACIÓN]])&gt;PROVEEDORES[[#This Row],[PLAZO Días]],"PAGO VENCIDO")</f>
        <v>PAGO VENCIDO</v>
      </c>
      <c r="C975" s="25">
        <f>+VLOOKUP(PROVEEDORES[[#This Row],[PROVEEDOR]],TERCEROS_INFO[#All],2,FALSE)</f>
        <v>30</v>
      </c>
      <c r="D975" s="30">
        <f>+SUMIFS(PROVEEDORES[Total],PROVEEDORES[PROVEEDOR],PROVEEDORES[[#This Row],[PROVEEDOR]],PROVEEDORES[FECHA DE PAGO],"")</f>
        <v>1451823</v>
      </c>
      <c r="E975" s="30"/>
      <c r="F975" s="73" t="str">
        <f>+VLOOKUP(PROVEEDORES[[#This Row],[PROVEEDOR]],TERCEROS_INFO[[PROVEEDOR]:[CORREO]],5,FALSE)</f>
        <v>cartera@ienewline.com;andres.arroyave@ienewline.com;girlesa.ruiz@servipilas.com;joriescobar64@gmail.com</v>
      </c>
      <c r="G975" s="111">
        <v>44550</v>
      </c>
      <c r="H975" s="31" t="s">
        <v>1131</v>
      </c>
      <c r="I975" s="111">
        <v>44512</v>
      </c>
      <c r="J975" s="48">
        <v>24688</v>
      </c>
      <c r="K975" s="26">
        <v>897164.80000000005</v>
      </c>
      <c r="L975" s="26"/>
      <c r="M975" s="27">
        <v>170461.31200000001</v>
      </c>
      <c r="N975" s="28"/>
      <c r="O975" s="27">
        <v>0</v>
      </c>
      <c r="P975" s="28">
        <v>0</v>
      </c>
      <c r="Q975" s="27">
        <v>0</v>
      </c>
      <c r="R975" s="26">
        <v>1067626.112</v>
      </c>
      <c r="S975" s="115">
        <f ca="1">IF(PROVEEDORES[[#This Row],[FECHA DE PAGO]]=0,TODAY()-PROVEEDORES[[#This Row],[FECHA DE FACTURACIÓN]]-PROVEEDORES[[#This Row],[PLAZO Días]],0)</f>
        <v>0</v>
      </c>
      <c r="T97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6" spans="1:20" ht="21.9" customHeight="1" x14ac:dyDescent="0.3">
      <c r="A976" s="113" t="str">
        <f>+IF(PROVEEDORES[[#This Row],[FECHA DE PAGO]]=PROVEEDORES[[#This Row],[FECHA DE FACTURACIÓN]],"DE CONTADO","CRÉDITO")</f>
        <v>DE CONTADO</v>
      </c>
      <c r="B976" s="51" t="b">
        <f>+IF((PROVEEDORES[[#This Row],[FECHA DE PAGO]]-PROVEEDORES[[#This Row],[FECHA DE FACTURACIÓN]])&gt;PROVEEDORES[[#This Row],[PLAZO Días]],"PAGO VENCIDO")</f>
        <v>0</v>
      </c>
      <c r="C976" s="25">
        <f>+VLOOKUP(PROVEEDORES[[#This Row],[PROVEEDOR]],TERCEROS_INFO[#All],2,FALSE)</f>
        <v>30</v>
      </c>
      <c r="D976" s="30">
        <f>+SUMIFS(PROVEEDORES[Total],PROVEEDORES[PROVEEDOR],PROVEEDORES[[#This Row],[PROVEEDOR]],PROVEEDORES[FECHA DE PAGO],"")</f>
        <v>0</v>
      </c>
      <c r="E976" s="30"/>
      <c r="F976" s="73" t="str">
        <f>+VLOOKUP(PROVEEDORES[[#This Row],[PROVEEDOR]],TERCEROS_INFO[[PROVEEDOR]:[CORREO]],5,FALSE)</f>
        <v/>
      </c>
      <c r="G976" s="111">
        <v>44512</v>
      </c>
      <c r="H976" s="31" t="s">
        <v>1052</v>
      </c>
      <c r="I976" s="111">
        <v>44512</v>
      </c>
      <c r="J976" s="48"/>
      <c r="K976" s="26">
        <v>1000000</v>
      </c>
      <c r="L976" s="26"/>
      <c r="M976" s="27">
        <v>0</v>
      </c>
      <c r="N976" s="28"/>
      <c r="O976" s="27">
        <v>0</v>
      </c>
      <c r="P976" s="28">
        <v>0</v>
      </c>
      <c r="Q976" s="27">
        <v>0</v>
      </c>
      <c r="R976" s="26">
        <v>1000000</v>
      </c>
      <c r="S976" s="115">
        <f ca="1">IF(PROVEEDORES[[#This Row],[FECHA DE PAGO]]=0,TODAY()-PROVEEDORES[[#This Row],[FECHA DE FACTURACIÓN]]-PROVEEDORES[[#This Row],[PLAZO Días]],0)</f>
        <v>0</v>
      </c>
      <c r="T9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7" spans="1:20" ht="21.9" customHeight="1" x14ac:dyDescent="0.3">
      <c r="A977" s="113" t="str">
        <f>+IF(PROVEEDORES[[#This Row],[FECHA DE PAGO]]=PROVEEDORES[[#This Row],[FECHA DE FACTURACIÓN]],"DE CONTADO","CRÉDITO")</f>
        <v>DE CONTADO</v>
      </c>
      <c r="B977" s="51" t="b">
        <f>+IF((PROVEEDORES[[#This Row],[FECHA DE PAGO]]-PROVEEDORES[[#This Row],[FECHA DE FACTURACIÓN]])&gt;PROVEEDORES[[#This Row],[PLAZO Días]],"PAGO VENCIDO")</f>
        <v>0</v>
      </c>
      <c r="C977" s="25">
        <f>+VLOOKUP(PROVEEDORES[[#This Row],[PROVEEDOR]],TERCEROS_INFO[#All],2,FALSE)</f>
        <v>30</v>
      </c>
      <c r="D977" s="30">
        <f>+SUMIFS(PROVEEDORES[Total],PROVEEDORES[PROVEEDOR],PROVEEDORES[[#This Row],[PROVEEDOR]],PROVEEDORES[FECHA DE PAGO],"")</f>
        <v>0</v>
      </c>
      <c r="E977" s="30"/>
      <c r="F977" s="73">
        <f>+VLOOKUP(PROVEEDORES[[#This Row],[PROVEEDOR]],TERCEROS_INFO[[PROVEEDOR]:[CORREO]],5,FALSE)</f>
        <v>0</v>
      </c>
      <c r="G977" s="111">
        <v>44512</v>
      </c>
      <c r="H977" s="31" t="s">
        <v>616</v>
      </c>
      <c r="I977" s="111">
        <v>44512</v>
      </c>
      <c r="J977" s="48">
        <v>65</v>
      </c>
      <c r="K977" s="26">
        <v>1976320</v>
      </c>
      <c r="L977" s="26"/>
      <c r="M977" s="27">
        <v>375500.79999999999</v>
      </c>
      <c r="N977" s="28"/>
      <c r="O977" s="27">
        <v>0</v>
      </c>
      <c r="P977" s="28">
        <v>2.5000000000000001E-2</v>
      </c>
      <c r="Q977" s="27">
        <v>49408</v>
      </c>
      <c r="R977" s="26">
        <v>2302412.7999999998</v>
      </c>
      <c r="S977" s="115">
        <f ca="1">IF(PROVEEDORES[[#This Row],[FECHA DE PAGO]]=0,TODAY()-PROVEEDORES[[#This Row],[FECHA DE FACTURACIÓN]]-PROVEEDORES[[#This Row],[PLAZO Días]],0)</f>
        <v>0</v>
      </c>
      <c r="T9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8" spans="1:20" ht="21.9" customHeight="1" x14ac:dyDescent="0.3">
      <c r="A978" s="113" t="str">
        <f>+IF(PROVEEDORES[[#This Row],[FECHA DE PAGO]]=PROVEEDORES[[#This Row],[FECHA DE FACTURACIÓN]],"DE CONTADO","CRÉDITO")</f>
        <v>CRÉDITO</v>
      </c>
      <c r="B978" s="51" t="str">
        <f>+IF((PROVEEDORES[[#This Row],[FECHA DE PAGO]]-PROVEEDORES[[#This Row],[FECHA DE FACTURACIÓN]])&gt;PROVEEDORES[[#This Row],[PLAZO Días]],"PAGO VENCIDO")</f>
        <v>PAGO VENCIDO</v>
      </c>
      <c r="C978" s="25">
        <f>+VLOOKUP(PROVEEDORES[[#This Row],[PROVEEDOR]],TERCEROS_INFO[#All],2,FALSE)</f>
        <v>30</v>
      </c>
      <c r="D978" s="30">
        <f>+SUMIFS(PROVEEDORES[Total],PROVEEDORES[PROVEEDOR],PROVEEDORES[[#This Row],[PROVEEDOR]],PROVEEDORES[FECHA DE PAGO],"")</f>
        <v>2324514.0150000001</v>
      </c>
      <c r="E978" s="30"/>
      <c r="F978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978" s="111">
        <v>44552</v>
      </c>
      <c r="H978" s="31" t="s">
        <v>24</v>
      </c>
      <c r="I978" s="111">
        <v>44512</v>
      </c>
      <c r="J978" s="48" t="s">
        <v>605</v>
      </c>
      <c r="K978" s="26">
        <v>4635150</v>
      </c>
      <c r="L978" s="26"/>
      <c r="M978" s="27">
        <v>880678.5</v>
      </c>
      <c r="N978" s="28"/>
      <c r="O978" s="27">
        <v>0</v>
      </c>
      <c r="P978" s="28">
        <v>2.5000000000000001E-2</v>
      </c>
      <c r="Q978" s="27">
        <v>115878.75</v>
      </c>
      <c r="R978" s="26">
        <v>5399949.75</v>
      </c>
      <c r="S978" s="115">
        <f ca="1">IF(PROVEEDORES[[#This Row],[FECHA DE PAGO]]=0,TODAY()-PROVEEDORES[[#This Row],[FECHA DE FACTURACIÓN]]-PROVEEDORES[[#This Row],[PLAZO Días]],0)</f>
        <v>0</v>
      </c>
      <c r="T97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79" spans="1:20" ht="21.9" customHeight="1" x14ac:dyDescent="0.3">
      <c r="A979" s="113" t="str">
        <f>+IF(PROVEEDORES[[#This Row],[FECHA DE PAGO]]=PROVEEDORES[[#This Row],[FECHA DE FACTURACIÓN]],"DE CONTADO","CRÉDITO")</f>
        <v>CRÉDITO</v>
      </c>
      <c r="B979" s="51" t="str">
        <f>+IF((PROVEEDORES[[#This Row],[FECHA DE PAGO]]-PROVEEDORES[[#This Row],[FECHA DE FACTURACIÓN]])&gt;PROVEEDORES[[#This Row],[PLAZO Días]],"PAGO VENCIDO")</f>
        <v>PAGO VENCIDO</v>
      </c>
      <c r="C979" s="25">
        <f>+VLOOKUP(PROVEEDORES[[#This Row],[PROVEEDOR]],TERCEROS_INFO[#All],2,FALSE)</f>
        <v>30</v>
      </c>
      <c r="D979" s="30">
        <f>+SUMIFS(PROVEEDORES[Total],PROVEEDORES[PROVEEDOR],PROVEEDORES[[#This Row],[PROVEEDOR]],PROVEEDORES[FECHA DE PAGO],"")</f>
        <v>1741040.075</v>
      </c>
      <c r="E979" s="30"/>
      <c r="F979" s="73" t="str">
        <f>+VLOOKUP(PROVEEDORES[[#This Row],[PROVEEDOR]],TERCEROS_INFO[[PROVEEDOR]:[CORREO]],5,FALSE)</f>
        <v>sfonnegra@nanicastation.com.co;facturas@nanicastation.com.co;girlesa.ruiz@servipilas.com;joriescobar64@gmail.com</v>
      </c>
      <c r="G979" s="111">
        <v>44552</v>
      </c>
      <c r="H979" s="31" t="s">
        <v>570</v>
      </c>
      <c r="I979" s="111">
        <v>44513</v>
      </c>
      <c r="J979" s="48" t="s">
        <v>620</v>
      </c>
      <c r="K979" s="26">
        <v>968910</v>
      </c>
      <c r="L979" s="26"/>
      <c r="M979" s="27">
        <v>184092.9</v>
      </c>
      <c r="N979" s="28"/>
      <c r="O979" s="27">
        <v>0</v>
      </c>
      <c r="P979" s="28">
        <v>0</v>
      </c>
      <c r="Q979" s="27">
        <v>0</v>
      </c>
      <c r="R979" s="26">
        <v>1153002.8999999999</v>
      </c>
      <c r="S979" s="115">
        <f ca="1">IF(PROVEEDORES[[#This Row],[FECHA DE PAGO]]=0,TODAY()-PROVEEDORES[[#This Row],[FECHA DE FACTURACIÓN]]-PROVEEDORES[[#This Row],[PLAZO Días]],0)</f>
        <v>0</v>
      </c>
      <c r="T9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0" spans="1:20" ht="21.9" customHeight="1" x14ac:dyDescent="0.3">
      <c r="A980" s="113" t="str">
        <f>+IF(PROVEEDORES[[#This Row],[FECHA DE PAGO]]=PROVEEDORES[[#This Row],[FECHA DE FACTURACIÓN]],"DE CONTADO","CRÉDITO")</f>
        <v>DE CONTADO</v>
      </c>
      <c r="B980" s="51" t="b">
        <f>+IF((PROVEEDORES[[#This Row],[FECHA DE PAGO]]-PROVEEDORES[[#This Row],[FECHA DE FACTURACIÓN]])&gt;PROVEEDORES[[#This Row],[PLAZO Días]],"PAGO VENCIDO")</f>
        <v>0</v>
      </c>
      <c r="C980" s="25">
        <f>+VLOOKUP(PROVEEDORES[[#This Row],[PROVEEDOR]],TERCEROS_INFO[#All],2,FALSE)</f>
        <v>30</v>
      </c>
      <c r="D980" s="30">
        <f>+SUMIFS(PROVEEDORES[Total],PROVEEDORES[PROVEEDOR],PROVEEDORES[[#This Row],[PROVEEDOR]],PROVEEDORES[FECHA DE PAGO],"")</f>
        <v>0</v>
      </c>
      <c r="E980" s="30"/>
      <c r="F980" s="73" t="str">
        <f>+VLOOKUP(PROVEEDORES[[#This Row],[PROVEEDOR]],TERCEROS_INFO[[PROVEEDOR]:[CORREO]],5,FALSE)</f>
        <v/>
      </c>
      <c r="G980" s="111">
        <v>44513</v>
      </c>
      <c r="H980" s="31" t="s">
        <v>1003</v>
      </c>
      <c r="I980" s="111">
        <v>44513</v>
      </c>
      <c r="J980" s="48" t="s">
        <v>617</v>
      </c>
      <c r="K980" s="26">
        <v>990000</v>
      </c>
      <c r="L980" s="26"/>
      <c r="M980" s="27">
        <v>0</v>
      </c>
      <c r="N980" s="28"/>
      <c r="O980" s="27">
        <v>0</v>
      </c>
      <c r="P980" s="28">
        <v>0</v>
      </c>
      <c r="Q980" s="27">
        <v>0</v>
      </c>
      <c r="R980" s="26">
        <v>990000</v>
      </c>
      <c r="S980" s="115">
        <f ca="1">IF(PROVEEDORES[[#This Row],[FECHA DE PAGO]]=0,TODAY()-PROVEEDORES[[#This Row],[FECHA DE FACTURACIÓN]]-PROVEEDORES[[#This Row],[PLAZO Días]],0)</f>
        <v>0</v>
      </c>
      <c r="T9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1" spans="1:20" ht="21.9" customHeight="1" x14ac:dyDescent="0.3">
      <c r="A981" s="113" t="str">
        <f>+IF(PROVEEDORES[[#This Row],[FECHA DE PAGO]]=PROVEEDORES[[#This Row],[FECHA DE FACTURACIÓN]],"DE CONTADO","CRÉDITO")</f>
        <v>CRÉDITO</v>
      </c>
      <c r="B981" s="51" t="str">
        <f>+IF((PROVEEDORES[[#This Row],[FECHA DE PAGO]]-PROVEEDORES[[#This Row],[FECHA DE FACTURACIÓN]])&gt;PROVEEDORES[[#This Row],[PLAZO Días]],"PAGO VENCIDO")</f>
        <v>PAGO VENCIDO</v>
      </c>
      <c r="C981" s="25">
        <f>+VLOOKUP(PROVEEDORES[[#This Row],[PROVEEDOR]],TERCEROS_INFO[#All],2,FALSE)</f>
        <v>30</v>
      </c>
      <c r="D981" s="30">
        <f>+SUMIFS(PROVEEDORES[Total],PROVEEDORES[PROVEEDOR],PROVEEDORES[[#This Row],[PROVEEDOR]],PROVEEDORES[FECHA DE PAGO],"")</f>
        <v>1451823</v>
      </c>
      <c r="E981" s="30"/>
      <c r="F981" s="73" t="str">
        <f>+VLOOKUP(PROVEEDORES[[#This Row],[PROVEEDOR]],TERCEROS_INFO[[PROVEEDOR]:[CORREO]],5,FALSE)</f>
        <v>cartera@ienewline.com;andres.arroyave@ienewline.com;girlesa.ruiz@servipilas.com;joriescobar64@gmail.com</v>
      </c>
      <c r="G981" s="111">
        <v>44550</v>
      </c>
      <c r="H981" s="31" t="s">
        <v>1131</v>
      </c>
      <c r="I981" s="111">
        <v>44513</v>
      </c>
      <c r="J981" s="48">
        <v>24746</v>
      </c>
      <c r="K981" s="26">
        <v>1294560</v>
      </c>
      <c r="L981" s="26"/>
      <c r="M981" s="27">
        <v>245966.4</v>
      </c>
      <c r="N981" s="28"/>
      <c r="O981" s="27">
        <v>0</v>
      </c>
      <c r="P981" s="28">
        <v>2.5000000000000001E-2</v>
      </c>
      <c r="Q981" s="27">
        <v>32364</v>
      </c>
      <c r="R981" s="26">
        <v>1508162.4</v>
      </c>
      <c r="S981" s="115">
        <f ca="1">IF(PROVEEDORES[[#This Row],[FECHA DE PAGO]]=0,TODAY()-PROVEEDORES[[#This Row],[FECHA DE FACTURACIÓN]]-PROVEEDORES[[#This Row],[PLAZO Días]],0)</f>
        <v>0</v>
      </c>
      <c r="T9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2" spans="1:20" ht="21.9" customHeight="1" x14ac:dyDescent="0.3">
      <c r="A982" s="113" t="str">
        <f>+IF(PROVEEDORES[[#This Row],[FECHA DE PAGO]]=PROVEEDORES[[#This Row],[FECHA DE FACTURACIÓN]],"DE CONTADO","CRÉDITO")</f>
        <v>CRÉDITO</v>
      </c>
      <c r="B982" s="51" t="str">
        <f>+IF((PROVEEDORES[[#This Row],[FECHA DE PAGO]]-PROVEEDORES[[#This Row],[FECHA DE FACTURACIÓN]])&gt;PROVEEDORES[[#This Row],[PLAZO Días]],"PAGO VENCIDO")</f>
        <v>PAGO VENCIDO</v>
      </c>
      <c r="C982" s="25">
        <f>+VLOOKUP(PROVEEDORES[[#This Row],[PROVEEDOR]],TERCEROS_INFO[#All],2,FALSE)</f>
        <v>30</v>
      </c>
      <c r="D982" s="30">
        <f>+SUMIFS(PROVEEDORES[Total],PROVEEDORES[PROVEEDOR],PROVEEDORES[[#This Row],[PROVEEDOR]],PROVEEDORES[FECHA DE PAGO],"")</f>
        <v>3320000</v>
      </c>
      <c r="E982" s="30"/>
      <c r="F982" s="73" t="str">
        <f>+VLOOKUP(PROVEEDORES[[#This Row],[PROVEEDOR]],TERCEROS_INFO[[PROVEEDOR]:[CORREO]],5,FALSE)</f>
        <v>Pygimportadora@gmail.com;girlesa.ruiz@servipilas.com;joriescobar64@gmail.com</v>
      </c>
      <c r="G982" s="111">
        <v>44560</v>
      </c>
      <c r="H982" s="31" t="s">
        <v>1068</v>
      </c>
      <c r="I982" s="111">
        <v>44513</v>
      </c>
      <c r="J982" s="48" t="s">
        <v>624</v>
      </c>
      <c r="K982" s="26">
        <v>3024000</v>
      </c>
      <c r="L982" s="26"/>
      <c r="M982" s="27">
        <v>0</v>
      </c>
      <c r="N982" s="28"/>
      <c r="O982" s="27">
        <v>0</v>
      </c>
      <c r="P982" s="28">
        <v>0</v>
      </c>
      <c r="Q982" s="27">
        <v>0</v>
      </c>
      <c r="R982" s="26">
        <v>3024000</v>
      </c>
      <c r="S982" s="115">
        <f ca="1">IF(PROVEEDORES[[#This Row],[FECHA DE PAGO]]=0,TODAY()-PROVEEDORES[[#This Row],[FECHA DE FACTURACIÓN]]-PROVEEDORES[[#This Row],[PLAZO Días]],0)</f>
        <v>0</v>
      </c>
      <c r="T98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3" spans="1:20" ht="21.9" customHeight="1" x14ac:dyDescent="0.3">
      <c r="A983" s="113" t="str">
        <f>+IF(PROVEEDORES[[#This Row],[FECHA DE PAGO]]=PROVEEDORES[[#This Row],[FECHA DE FACTURACIÓN]],"DE CONTADO","CRÉDITO")</f>
        <v>CRÉDITO</v>
      </c>
      <c r="B983" s="51" t="str">
        <f>+IF((PROVEEDORES[[#This Row],[FECHA DE PAGO]]-PROVEEDORES[[#This Row],[FECHA DE FACTURACIÓN]])&gt;PROVEEDORES[[#This Row],[PLAZO Días]],"PAGO VENCIDO")</f>
        <v>PAGO VENCIDO</v>
      </c>
      <c r="C983" s="25">
        <f>+VLOOKUP(PROVEEDORES[[#This Row],[PROVEEDOR]],TERCEROS_INFO[#All],2,FALSE)</f>
        <v>30</v>
      </c>
      <c r="D983" s="30">
        <f>+SUMIFS(PROVEEDORES[Total],PROVEEDORES[PROVEEDOR],PROVEEDORES[[#This Row],[PROVEEDOR]],PROVEEDORES[FECHA DE PAGO],"")</f>
        <v>3320000</v>
      </c>
      <c r="E983" s="30"/>
      <c r="F983" s="73" t="str">
        <f>+VLOOKUP(PROVEEDORES[[#This Row],[PROVEEDOR]],TERCEROS_INFO[[PROVEEDOR]:[CORREO]],5,FALSE)</f>
        <v>Pygimportadora@gmail.com;girlesa.ruiz@servipilas.com;joriescobar64@gmail.com</v>
      </c>
      <c r="G983" s="111">
        <v>44560</v>
      </c>
      <c r="H983" s="31" t="s">
        <v>1068</v>
      </c>
      <c r="I983" s="111">
        <v>44515</v>
      </c>
      <c r="J983" s="48" t="s">
        <v>29</v>
      </c>
      <c r="K983" s="26">
        <v>2000000</v>
      </c>
      <c r="L983" s="26"/>
      <c r="M983" s="27">
        <v>0</v>
      </c>
      <c r="N983" s="28"/>
      <c r="O983" s="27">
        <v>0</v>
      </c>
      <c r="P983" s="28">
        <v>0</v>
      </c>
      <c r="Q983" s="27">
        <v>0</v>
      </c>
      <c r="R983" s="26">
        <v>2000000</v>
      </c>
      <c r="S983" s="115">
        <f ca="1">IF(PROVEEDORES[[#This Row],[FECHA DE PAGO]]=0,TODAY()-PROVEEDORES[[#This Row],[FECHA DE FACTURACIÓN]]-PROVEEDORES[[#This Row],[PLAZO Días]],0)</f>
        <v>0</v>
      </c>
      <c r="T98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4" spans="1:20" ht="21.9" customHeight="1" x14ac:dyDescent="0.3">
      <c r="A984" s="113" t="str">
        <f>+IF(PROVEEDORES[[#This Row],[FECHA DE PAGO]]=PROVEEDORES[[#This Row],[FECHA DE FACTURACIÓN]],"DE CONTADO","CRÉDITO")</f>
        <v>CRÉDITO</v>
      </c>
      <c r="B984" s="51" t="b">
        <f>+IF((PROVEEDORES[[#This Row],[FECHA DE PAGO]]-PROVEEDORES[[#This Row],[FECHA DE FACTURACIÓN]])&gt;PROVEEDORES[[#This Row],[PLAZO Días]],"PAGO VENCIDO")</f>
        <v>0</v>
      </c>
      <c r="C984" s="25">
        <f>+VLOOKUP(PROVEEDORES[[#This Row],[PROVEEDOR]],TERCEROS_INFO[#All],2,FALSE)</f>
        <v>30</v>
      </c>
      <c r="D984" s="30">
        <f>+SUMIFS(PROVEEDORES[Total],PROVEEDORES[PROVEEDOR],PROVEEDORES[[#This Row],[PROVEEDOR]],PROVEEDORES[FECHA DE PAGO],"")</f>
        <v>0</v>
      </c>
      <c r="E984" s="30"/>
      <c r="F984" s="73" t="str">
        <f>+VLOOKUP(PROVEEDORES[[#This Row],[PROVEEDOR]],TERCEROS_INFO[[PROVEEDOR]:[CORREO]],5,FALSE)</f>
        <v>cxc11@unitecusa.com.co;jefecartera@unitecusa.com.co;girlesa.ruiz@servipilas.com;joriescobar64@gmail.com</v>
      </c>
      <c r="G984" s="111">
        <v>44533</v>
      </c>
      <c r="H984" s="31" t="s">
        <v>14</v>
      </c>
      <c r="I984" s="111">
        <v>44516</v>
      </c>
      <c r="J984" s="48" t="s">
        <v>614</v>
      </c>
      <c r="K984" s="26">
        <v>160672</v>
      </c>
      <c r="L984" s="26"/>
      <c r="M984" s="27">
        <v>30527.68</v>
      </c>
      <c r="N984" s="28"/>
      <c r="O984" s="27">
        <v>0</v>
      </c>
      <c r="P984" s="28">
        <v>0</v>
      </c>
      <c r="Q984" s="27">
        <v>0</v>
      </c>
      <c r="R984" s="26">
        <v>191199.68</v>
      </c>
      <c r="S984" s="115">
        <f ca="1">IF(PROVEEDORES[[#This Row],[FECHA DE PAGO]]=0,TODAY()-PROVEEDORES[[#This Row],[FECHA DE FACTURACIÓN]]-PROVEEDORES[[#This Row],[PLAZO Días]],0)</f>
        <v>0</v>
      </c>
      <c r="T9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5" spans="1:20" ht="21.9" customHeight="1" x14ac:dyDescent="0.3">
      <c r="A985" s="113" t="str">
        <f>+IF(PROVEEDORES[[#This Row],[FECHA DE PAGO]]=PROVEEDORES[[#This Row],[FECHA DE FACTURACIÓN]],"DE CONTADO","CRÉDITO")</f>
        <v>CRÉDITO</v>
      </c>
      <c r="B985" s="51" t="b">
        <f>+IF((PROVEEDORES[[#This Row],[FECHA DE PAGO]]-PROVEEDORES[[#This Row],[FECHA DE FACTURACIÓN]])&gt;PROVEEDORES[[#This Row],[PLAZO Días]],"PAGO VENCIDO")</f>
        <v>0</v>
      </c>
      <c r="C985" s="25">
        <f>+VLOOKUP(PROVEEDORES[[#This Row],[PROVEEDOR]],TERCEROS_INFO[#All],2,FALSE)</f>
        <v>45</v>
      </c>
      <c r="D985" s="30">
        <f>+SUMIFS(PROVEEDORES[Total],PROVEEDORES[PROVEEDOR],PROVEEDORES[[#This Row],[PROVEEDOR]],PROVEEDORES[FECHA DE PAGO],"")</f>
        <v>1070024.2</v>
      </c>
      <c r="E985" s="30"/>
      <c r="F985" s="73" t="str">
        <f>+VLOOKUP(PROVEEDORES[[#This Row],[PROVEEDOR]],TERCEROS_INFO[[PROVEEDOR]:[CORREO]],5,FALSE)</f>
        <v>libardopineda@tronex.com;girlesa.ruiz@servipilas.com;joriescobar64@gmail.com</v>
      </c>
      <c r="G985" s="111">
        <v>44558</v>
      </c>
      <c r="H985" s="31" t="s">
        <v>10</v>
      </c>
      <c r="I985" s="111">
        <v>44516</v>
      </c>
      <c r="J985" s="48" t="s">
        <v>615</v>
      </c>
      <c r="K985" s="26">
        <v>740000</v>
      </c>
      <c r="L985" s="26"/>
      <c r="M985" s="27">
        <v>140600</v>
      </c>
      <c r="N985" s="28"/>
      <c r="O985" s="27">
        <v>0</v>
      </c>
      <c r="P985" s="28">
        <v>0</v>
      </c>
      <c r="Q985" s="27">
        <v>0</v>
      </c>
      <c r="R985" s="26">
        <v>880600</v>
      </c>
      <c r="S985" s="115">
        <f ca="1">IF(PROVEEDORES[[#This Row],[FECHA DE PAGO]]=0,TODAY()-PROVEEDORES[[#This Row],[FECHA DE FACTURACIÓN]]-PROVEEDORES[[#This Row],[PLAZO Días]],0)</f>
        <v>0</v>
      </c>
      <c r="T98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6" spans="1:20" ht="21.9" customHeight="1" x14ac:dyDescent="0.3">
      <c r="A986" s="113" t="str">
        <f>+IF(PROVEEDORES[[#This Row],[FECHA DE PAGO]]=PROVEEDORES[[#This Row],[FECHA DE FACTURACIÓN]],"DE CONTADO","CRÉDITO")</f>
        <v>CRÉDITO</v>
      </c>
      <c r="B986" s="51" t="str">
        <f>+IF((PROVEEDORES[[#This Row],[FECHA DE PAGO]]-PROVEEDORES[[#This Row],[FECHA DE FACTURACIÓN]])&gt;PROVEEDORES[[#This Row],[PLAZO Días]],"PAGO VENCIDO")</f>
        <v>PAGO VENCIDO</v>
      </c>
      <c r="C986" s="25">
        <f>+VLOOKUP(PROVEEDORES[[#This Row],[PROVEEDOR]],TERCEROS_INFO[#All],2,FALSE)</f>
        <v>30</v>
      </c>
      <c r="D986" s="30">
        <f>+SUMIFS(PROVEEDORES[Total],PROVEEDORES[PROVEEDOR],PROVEEDORES[[#This Row],[PROVEEDOR]],PROVEEDORES[FECHA DE PAGO],"")</f>
        <v>0</v>
      </c>
      <c r="E986" s="30"/>
      <c r="F986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986" s="111">
        <v>44575</v>
      </c>
      <c r="H986" s="31" t="s">
        <v>514</v>
      </c>
      <c r="I986" s="111">
        <v>44516</v>
      </c>
      <c r="J986" s="48" t="s">
        <v>622</v>
      </c>
      <c r="K986" s="26">
        <v>2576302</v>
      </c>
      <c r="L986" s="26"/>
      <c r="M986" s="27">
        <v>489497.38</v>
      </c>
      <c r="N986" s="28"/>
      <c r="O986" s="27">
        <v>0</v>
      </c>
      <c r="P986" s="28">
        <v>0</v>
      </c>
      <c r="Q986" s="27">
        <v>0</v>
      </c>
      <c r="R986" s="26">
        <v>3065799.38</v>
      </c>
      <c r="S986" s="115">
        <f ca="1">IF(PROVEEDORES[[#This Row],[FECHA DE PAGO]]=0,TODAY()-PROVEEDORES[[#This Row],[FECHA DE FACTURACIÓN]]-PROVEEDORES[[#This Row],[PLAZO Días]],0)</f>
        <v>0</v>
      </c>
      <c r="T98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7" spans="1:20" ht="21.9" customHeight="1" x14ac:dyDescent="0.3">
      <c r="A987" s="113" t="str">
        <f>+IF(PROVEEDORES[[#This Row],[FECHA DE PAGO]]=PROVEEDORES[[#This Row],[FECHA DE FACTURACIÓN]],"DE CONTADO","CRÉDITO")</f>
        <v>CRÉDITO</v>
      </c>
      <c r="B987" s="51" t="b">
        <f>+IF((PROVEEDORES[[#This Row],[FECHA DE PAGO]]-PROVEEDORES[[#This Row],[FECHA DE FACTURACIÓN]])&gt;PROVEEDORES[[#This Row],[PLAZO Días]],"PAGO VENCIDO")</f>
        <v>0</v>
      </c>
      <c r="C987" s="25">
        <f>+VLOOKUP(PROVEEDORES[[#This Row],[PROVEEDOR]],TERCEROS_INFO[#All],2,FALSE)</f>
        <v>30</v>
      </c>
      <c r="D987" s="30">
        <f>+SUMIFS(PROVEEDORES[Total],PROVEEDORES[PROVEEDOR],PROVEEDORES[[#This Row],[PROVEEDOR]],PROVEEDORES[FECHA DE PAGO],"")</f>
        <v>936000</v>
      </c>
      <c r="E987" s="30"/>
      <c r="F987" s="73" t="str">
        <f>+VLOOKUP(PROVEEDORES[[#This Row],[PROVEEDOR]],TERCEROS_INFO[[PROVEEDOR]:[CORREO]],5,FALSE)</f>
        <v>stabarbaradistronik@gmail.com;girlesa.ruiz@servipilas.com;joriescobar64@gmail.com</v>
      </c>
      <c r="G987" s="111">
        <v>44543</v>
      </c>
      <c r="H987" s="31" t="s">
        <v>1072</v>
      </c>
      <c r="I987" s="111">
        <v>44517</v>
      </c>
      <c r="J987" s="48" t="s">
        <v>627</v>
      </c>
      <c r="K987" s="26">
        <v>-49000</v>
      </c>
      <c r="L987" s="26"/>
      <c r="M987" s="27">
        <v>0</v>
      </c>
      <c r="N987" s="28"/>
      <c r="O987" s="27">
        <v>0</v>
      </c>
      <c r="P987" s="28">
        <v>0</v>
      </c>
      <c r="Q987" s="27">
        <v>0</v>
      </c>
      <c r="R987" s="26">
        <v>-49000</v>
      </c>
      <c r="S987" s="115">
        <f ca="1">IF(PROVEEDORES[[#This Row],[FECHA DE PAGO]]=0,TODAY()-PROVEEDORES[[#This Row],[FECHA DE FACTURACIÓN]]-PROVEEDORES[[#This Row],[PLAZO Días]],0)</f>
        <v>0</v>
      </c>
      <c r="T9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8" spans="1:20" ht="21.9" customHeight="1" x14ac:dyDescent="0.3">
      <c r="A988" s="113" t="str">
        <f>+IF(PROVEEDORES[[#This Row],[FECHA DE PAGO]]=PROVEEDORES[[#This Row],[FECHA DE FACTURACIÓN]],"DE CONTADO","CRÉDITO")</f>
        <v>CRÉDITO</v>
      </c>
      <c r="B988" s="51" t="b">
        <f>+IF((PROVEEDORES[[#This Row],[FECHA DE PAGO]]-PROVEEDORES[[#This Row],[FECHA DE FACTURACIÓN]])&gt;PROVEEDORES[[#This Row],[PLAZO Días]],"PAGO VENCIDO")</f>
        <v>0</v>
      </c>
      <c r="C988" s="25">
        <f>+VLOOKUP(PROVEEDORES[[#This Row],[PROVEEDOR]],TERCEROS_INFO[#All],2,FALSE)</f>
        <v>30</v>
      </c>
      <c r="D988" s="30">
        <f>+SUMIFS(PROVEEDORES[Total],PROVEEDORES[PROVEEDOR],PROVEEDORES[[#This Row],[PROVEEDOR]],PROVEEDORES[FECHA DE PAGO],"")</f>
        <v>1119790</v>
      </c>
      <c r="E988" s="30"/>
      <c r="F988" s="73" t="str">
        <f>+VLOOKUP(PROVEEDORES[[#This Row],[PROVEEDOR]],TERCEROS_INFO[[PROVEEDOR]:[CORREO]],5,FALSE)</f>
        <v>MVALENCIA@mps.com.co;girlesa.ruiz@servipilas.com;joriescobar64@gmail.com</v>
      </c>
      <c r="G988" s="111">
        <v>44537</v>
      </c>
      <c r="H988" s="31" t="s">
        <v>17</v>
      </c>
      <c r="I988" s="111">
        <v>44517</v>
      </c>
      <c r="J988" s="48">
        <v>1840884</v>
      </c>
      <c r="K988" s="26">
        <v>361000</v>
      </c>
      <c r="L988" s="26"/>
      <c r="M988" s="27">
        <v>68590</v>
      </c>
      <c r="N988" s="28"/>
      <c r="O988" s="27">
        <v>0</v>
      </c>
      <c r="P988" s="28">
        <v>0</v>
      </c>
      <c r="Q988" s="27">
        <v>0</v>
      </c>
      <c r="R988" s="26">
        <v>429590</v>
      </c>
      <c r="S988" s="115">
        <f ca="1">IF(PROVEEDORES[[#This Row],[FECHA DE PAGO]]=0,TODAY()-PROVEEDORES[[#This Row],[FECHA DE FACTURACIÓN]]-PROVEEDORES[[#This Row],[PLAZO Días]],0)</f>
        <v>0</v>
      </c>
      <c r="T9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89" spans="1:20" ht="21.9" customHeight="1" x14ac:dyDescent="0.3">
      <c r="A989" s="113" t="str">
        <f>+IF(PROVEEDORES[[#This Row],[FECHA DE PAGO]]=PROVEEDORES[[#This Row],[FECHA DE FACTURACIÓN]],"DE CONTADO","CRÉDITO")</f>
        <v>CRÉDITO</v>
      </c>
      <c r="B989" s="51" t="b">
        <f>+IF((PROVEEDORES[[#This Row],[FECHA DE PAGO]]-PROVEEDORES[[#This Row],[FECHA DE FACTURACIÓN]])&gt;PROVEEDORES[[#This Row],[PLAZO Días]],"PAGO VENCIDO")</f>
        <v>0</v>
      </c>
      <c r="C989" s="25">
        <f>+VLOOKUP(PROVEEDORES[[#This Row],[PROVEEDOR]],TERCEROS_INFO[#All],2,FALSE)</f>
        <v>30</v>
      </c>
      <c r="D989" s="30">
        <f>+SUMIFS(PROVEEDORES[Total],PROVEEDORES[PROVEEDOR],PROVEEDORES[[#This Row],[PROVEEDOR]],PROVEEDORES[FECHA DE PAGO],"")</f>
        <v>1119790</v>
      </c>
      <c r="E989" s="30"/>
      <c r="F989" s="73" t="str">
        <f>+VLOOKUP(PROVEEDORES[[#This Row],[PROVEEDOR]],TERCEROS_INFO[[PROVEEDOR]:[CORREO]],5,FALSE)</f>
        <v>MVALENCIA@mps.com.co;girlesa.ruiz@servipilas.com;joriescobar64@gmail.com</v>
      </c>
      <c r="G989" s="111">
        <v>44537</v>
      </c>
      <c r="H989" s="31" t="s">
        <v>17</v>
      </c>
      <c r="I989" s="111">
        <v>44517</v>
      </c>
      <c r="J989" s="48">
        <v>1840740</v>
      </c>
      <c r="K989" s="26">
        <v>753350</v>
      </c>
      <c r="L989" s="26"/>
      <c r="M989" s="27">
        <v>143136.5</v>
      </c>
      <c r="N989" s="28"/>
      <c r="O989" s="27">
        <v>0</v>
      </c>
      <c r="P989" s="28">
        <v>0</v>
      </c>
      <c r="Q989" s="27">
        <v>0</v>
      </c>
      <c r="R989" s="26">
        <v>896486.5</v>
      </c>
      <c r="S989" s="115">
        <f ca="1">IF(PROVEEDORES[[#This Row],[FECHA DE PAGO]]=0,TODAY()-PROVEEDORES[[#This Row],[FECHA DE FACTURACIÓN]]-PROVEEDORES[[#This Row],[PLAZO Días]],0)</f>
        <v>0</v>
      </c>
      <c r="T9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0" spans="1:20" ht="21.9" customHeight="1" x14ac:dyDescent="0.3">
      <c r="A990" s="113" t="str">
        <f>+IF(PROVEEDORES[[#This Row],[FECHA DE PAGO]]=PROVEEDORES[[#This Row],[FECHA DE FACTURACIÓN]],"DE CONTADO","CRÉDITO")</f>
        <v>CRÉDITO</v>
      </c>
      <c r="B990" s="51" t="b">
        <f>+IF((PROVEEDORES[[#This Row],[FECHA DE PAGO]]-PROVEEDORES[[#This Row],[FECHA DE FACTURACIÓN]])&gt;PROVEEDORES[[#This Row],[PLAZO Días]],"PAGO VENCIDO")</f>
        <v>0</v>
      </c>
      <c r="C990" s="25">
        <f>+VLOOKUP(PROVEEDORES[[#This Row],[PROVEEDOR]],TERCEROS_INFO[#All],2,FALSE)</f>
        <v>30</v>
      </c>
      <c r="D990" s="30">
        <f>+SUMIFS(PROVEEDORES[Total],PROVEEDORES[PROVEEDOR],PROVEEDORES[[#This Row],[PROVEEDOR]],PROVEEDORES[FECHA DE PAGO],"")</f>
        <v>1119790</v>
      </c>
      <c r="E990" s="30"/>
      <c r="F990" s="73" t="str">
        <f>+VLOOKUP(PROVEEDORES[[#This Row],[PROVEEDOR]],TERCEROS_INFO[[PROVEEDOR]:[CORREO]],5,FALSE)</f>
        <v>MVALENCIA@mps.com.co;girlesa.ruiz@servipilas.com;joriescobar64@gmail.com</v>
      </c>
      <c r="G990" s="111">
        <v>44537</v>
      </c>
      <c r="H990" s="31" t="s">
        <v>17</v>
      </c>
      <c r="I990" s="111">
        <v>44517</v>
      </c>
      <c r="J990" s="48">
        <v>1840769</v>
      </c>
      <c r="K990" s="26">
        <v>775710</v>
      </c>
      <c r="L990" s="26"/>
      <c r="M990" s="27">
        <v>147384.9</v>
      </c>
      <c r="N990" s="28"/>
      <c r="O990" s="27">
        <v>0</v>
      </c>
      <c r="P990" s="28">
        <v>0</v>
      </c>
      <c r="Q990" s="27">
        <v>0</v>
      </c>
      <c r="R990" s="26">
        <v>923094.9</v>
      </c>
      <c r="S990" s="115">
        <f ca="1">IF(PROVEEDORES[[#This Row],[FECHA DE PAGO]]=0,TODAY()-PROVEEDORES[[#This Row],[FECHA DE FACTURACIÓN]]-PROVEEDORES[[#This Row],[PLAZO Días]],0)</f>
        <v>0</v>
      </c>
      <c r="T9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1" spans="1:20" ht="21.9" customHeight="1" x14ac:dyDescent="0.3">
      <c r="A991" s="113" t="str">
        <f>+IF(PROVEEDORES[[#This Row],[FECHA DE PAGO]]=PROVEEDORES[[#This Row],[FECHA DE FACTURACIÓN]],"DE CONTADO","CRÉDITO")</f>
        <v>DE CONTADO</v>
      </c>
      <c r="B991" s="51" t="b">
        <f>+IF((PROVEEDORES[[#This Row],[FECHA DE PAGO]]-PROVEEDORES[[#This Row],[FECHA DE FACTURACIÓN]])&gt;PROVEEDORES[[#This Row],[PLAZO Días]],"PAGO VENCIDO")</f>
        <v>0</v>
      </c>
      <c r="C991" s="25">
        <f>+VLOOKUP(PROVEEDORES[[#This Row],[PROVEEDOR]],TERCEROS_INFO[#All],2,FALSE)</f>
        <v>45</v>
      </c>
      <c r="D991" s="30">
        <f>+SUMIFS(PROVEEDORES[Total],PROVEEDORES[PROVEEDOR],PROVEEDORES[[#This Row],[PROVEEDOR]],PROVEEDORES[FECHA DE PAGO],"")</f>
        <v>0</v>
      </c>
      <c r="E991" s="30"/>
      <c r="F991" s="73" t="str">
        <f>+VLOOKUP(PROVEEDORES[[#This Row],[PROVEEDOR]],TERCEROS_INFO[[PROVEEDOR]:[CORREO]],5,FALSE)</f>
        <v>jessica.barios.com@carpainternacional;girlesa.ruiz@servipilas.com;joriescobar64@gmail.com</v>
      </c>
      <c r="G991" s="111">
        <v>44517</v>
      </c>
      <c r="H991" s="31" t="s">
        <v>608</v>
      </c>
      <c r="I991" s="111">
        <v>44517</v>
      </c>
      <c r="J991" s="48" t="s">
        <v>610</v>
      </c>
      <c r="K991" s="26">
        <v>2471127</v>
      </c>
      <c r="L991" s="26"/>
      <c r="M991" s="27">
        <v>0</v>
      </c>
      <c r="N991" s="28"/>
      <c r="O991" s="27">
        <v>0</v>
      </c>
      <c r="P991" s="28">
        <v>0</v>
      </c>
      <c r="Q991" s="27">
        <v>0</v>
      </c>
      <c r="R991" s="26">
        <v>2471127</v>
      </c>
      <c r="S991" s="115">
        <f ca="1">IF(PROVEEDORES[[#This Row],[FECHA DE PAGO]]=0,TODAY()-PROVEEDORES[[#This Row],[FECHA DE FACTURACIÓN]]-PROVEEDORES[[#This Row],[PLAZO Días]],0)</f>
        <v>0</v>
      </c>
      <c r="T9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2" spans="1:20" ht="21.9" customHeight="1" x14ac:dyDescent="0.3">
      <c r="A992" s="113" t="str">
        <f>+IF(PROVEEDORES[[#This Row],[FECHA DE PAGO]]=PROVEEDORES[[#This Row],[FECHA DE FACTURACIÓN]],"DE CONTADO","CRÉDITO")</f>
        <v>CRÉDITO</v>
      </c>
      <c r="B992" s="51" t="b">
        <f>+IF((PROVEEDORES[[#This Row],[FECHA DE PAGO]]-PROVEEDORES[[#This Row],[FECHA DE FACTURACIÓN]])&gt;PROVEEDORES[[#This Row],[PLAZO Días]],"PAGO VENCIDO")</f>
        <v>0</v>
      </c>
      <c r="C992" s="25">
        <f>+VLOOKUP(PROVEEDORES[[#This Row],[PROVEEDOR]],TERCEROS_INFO[#All],2,FALSE)</f>
        <v>90</v>
      </c>
      <c r="D992" s="30">
        <f>+SUMIFS(PROVEEDORES[Total],PROVEEDORES[PROVEEDOR],PROVEEDORES[[#This Row],[PROVEEDOR]],PROVEEDORES[FECHA DE PAGO],"")</f>
        <v>0</v>
      </c>
      <c r="E992" s="30"/>
      <c r="F992" s="73" t="str">
        <f>+VLOOKUP(PROVEEDORES[[#This Row],[PROVEEDOR]],TERCEROS_INFO[[PROVEEDOR]:[CORREO]],5,FALSE)</f>
        <v/>
      </c>
      <c r="G992" s="111">
        <v>44567</v>
      </c>
      <c r="H992" s="31" t="s">
        <v>1024</v>
      </c>
      <c r="I992" s="111">
        <v>44517</v>
      </c>
      <c r="J992" s="48" t="s">
        <v>625</v>
      </c>
      <c r="K992" s="26">
        <v>8659500</v>
      </c>
      <c r="L992" s="26"/>
      <c r="M992" s="27">
        <v>0</v>
      </c>
      <c r="N992" s="28"/>
      <c r="O992" s="27">
        <v>0</v>
      </c>
      <c r="P992" s="28">
        <v>0</v>
      </c>
      <c r="Q992" s="27">
        <v>0</v>
      </c>
      <c r="R992" s="26">
        <v>8659500</v>
      </c>
      <c r="S992" s="115">
        <f ca="1">IF(PROVEEDORES[[#This Row],[FECHA DE PAGO]]=0,TODAY()-PROVEEDORES[[#This Row],[FECHA DE FACTURACIÓN]]-PROVEEDORES[[#This Row],[PLAZO Días]],0)</f>
        <v>0</v>
      </c>
      <c r="T9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3" spans="1:20" ht="21.9" customHeight="1" x14ac:dyDescent="0.3">
      <c r="A993" s="113" t="str">
        <f>+IF(PROVEEDORES[[#This Row],[FECHA DE PAGO]]=PROVEEDORES[[#This Row],[FECHA DE FACTURACIÓN]],"DE CONTADO","CRÉDITO")</f>
        <v>CRÉDITO</v>
      </c>
      <c r="B993" s="51" t="str">
        <f>+IF((PROVEEDORES[[#This Row],[FECHA DE PAGO]]-PROVEEDORES[[#This Row],[FECHA DE FACTURACIÓN]])&gt;PROVEEDORES[[#This Row],[PLAZO Días]],"PAGO VENCIDO")</f>
        <v>PAGO VENCIDO</v>
      </c>
      <c r="C993" s="25">
        <f>+VLOOKUP(PROVEEDORES[[#This Row],[PROVEEDOR]],TERCEROS_INFO[#All],2,FALSE)</f>
        <v>30</v>
      </c>
      <c r="D993" s="30">
        <f>+SUMIFS(PROVEEDORES[Total],PROVEEDORES[PROVEEDOR],PROVEEDORES[[#This Row],[PROVEEDOR]],PROVEEDORES[FECHA DE PAGO],"")</f>
        <v>0</v>
      </c>
      <c r="E993" s="30"/>
      <c r="F993" s="73" t="str">
        <f>+VLOOKUP(PROVEEDORES[[#This Row],[PROVEEDOR]],TERCEROS_INFO[[PROVEEDOR]:[CORREO]],5,FALSE)</f>
        <v>BRIGHTSIDELED2019@gmail.com;girlesa.ruiz@servipilas.com;joriescobar64@gmail.com</v>
      </c>
      <c r="G993" s="111">
        <v>44551</v>
      </c>
      <c r="H993" s="31" t="s">
        <v>1044</v>
      </c>
      <c r="I993" s="111">
        <v>44518</v>
      </c>
      <c r="J993" s="48" t="s">
        <v>878</v>
      </c>
      <c r="K993" s="26">
        <v>1163000</v>
      </c>
      <c r="L993" s="26"/>
      <c r="M993" s="27">
        <v>0</v>
      </c>
      <c r="N993" s="28"/>
      <c r="O993" s="27">
        <v>0</v>
      </c>
      <c r="P993" s="28">
        <v>0</v>
      </c>
      <c r="Q993" s="27">
        <v>0</v>
      </c>
      <c r="R993" s="26">
        <v>1163000</v>
      </c>
      <c r="S993" s="115">
        <f ca="1">IF(PROVEEDORES[[#This Row],[FECHA DE PAGO]]=0,TODAY()-PROVEEDORES[[#This Row],[FECHA DE FACTURACIÓN]]-PROVEEDORES[[#This Row],[PLAZO Días]],0)</f>
        <v>0</v>
      </c>
      <c r="T9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4" spans="1:20" ht="21.9" customHeight="1" x14ac:dyDescent="0.3">
      <c r="A994" s="113" t="str">
        <f>+IF(PROVEEDORES[[#This Row],[FECHA DE PAGO]]=PROVEEDORES[[#This Row],[FECHA DE FACTURACIÓN]],"DE CONTADO","CRÉDITO")</f>
        <v>CRÉDITO</v>
      </c>
      <c r="B994" s="51" t="str">
        <f>+IF((PROVEEDORES[[#This Row],[FECHA DE PAGO]]-PROVEEDORES[[#This Row],[FECHA DE FACTURACIÓN]])&gt;PROVEEDORES[[#This Row],[PLAZO Días]],"PAGO VENCIDO")</f>
        <v>PAGO VENCIDO</v>
      </c>
      <c r="C994" s="25">
        <f>+VLOOKUP(PROVEEDORES[[#This Row],[PROVEEDOR]],TERCEROS_INFO[#All],2,FALSE)</f>
        <v>30</v>
      </c>
      <c r="D994" s="30">
        <f>+SUMIFS(PROVEEDORES[Total],PROVEEDORES[PROVEEDOR],PROVEEDORES[[#This Row],[PROVEEDOR]],PROVEEDORES[FECHA DE PAGO],"")</f>
        <v>3400186.8245000001</v>
      </c>
      <c r="E994" s="30"/>
      <c r="F994" s="73" t="str">
        <f>+VLOOKUP(PROVEEDORES[[#This Row],[PROVEEDOR]],TERCEROS_INFO[[PROVEEDOR]:[CORREO]],5,FALSE)</f>
        <v>contabilidad@amgimportadora.com;mcastellanos@amgimportadora.com;girlesa.ruiz@servipilas.com;joriescobar64@gmail.com</v>
      </c>
      <c r="G994" s="111">
        <v>44552</v>
      </c>
      <c r="H994" s="31" t="s">
        <v>20</v>
      </c>
      <c r="I994" s="111">
        <v>44518</v>
      </c>
      <c r="J994" s="48">
        <v>5616</v>
      </c>
      <c r="K994" s="26">
        <v>1848336.11</v>
      </c>
      <c r="L994" s="26"/>
      <c r="M994" s="27">
        <v>351183.86090000003</v>
      </c>
      <c r="N994" s="28"/>
      <c r="O994" s="27">
        <v>0</v>
      </c>
      <c r="P994" s="28">
        <v>2.5000000000000001E-2</v>
      </c>
      <c r="Q994" s="27">
        <v>46208.402750000008</v>
      </c>
      <c r="R994" s="26">
        <v>2153311.5681500002</v>
      </c>
      <c r="S994" s="115">
        <f ca="1">IF(PROVEEDORES[[#This Row],[FECHA DE PAGO]]=0,TODAY()-PROVEEDORES[[#This Row],[FECHA DE FACTURACIÓN]]-PROVEEDORES[[#This Row],[PLAZO Días]],0)</f>
        <v>0</v>
      </c>
      <c r="T9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5" spans="1:20" ht="21.9" customHeight="1" x14ac:dyDescent="0.3">
      <c r="A995" s="113" t="str">
        <f>+IF(PROVEEDORES[[#This Row],[FECHA DE PAGO]]=PROVEEDORES[[#This Row],[FECHA DE FACTURACIÓN]],"DE CONTADO","CRÉDITO")</f>
        <v>CRÉDITO</v>
      </c>
      <c r="B995" s="51" t="str">
        <f>+IF((PROVEEDORES[[#This Row],[FECHA DE PAGO]]-PROVEEDORES[[#This Row],[FECHA DE FACTURACIÓN]])&gt;PROVEEDORES[[#This Row],[PLAZO Días]],"PAGO VENCIDO")</f>
        <v>PAGO VENCIDO</v>
      </c>
      <c r="C995" s="25">
        <f>+VLOOKUP(PROVEEDORES[[#This Row],[PROVEEDOR]],TERCEROS_INFO[#All],2,FALSE)</f>
        <v>30</v>
      </c>
      <c r="D995" s="30">
        <f>+SUMIFS(PROVEEDORES[Total],PROVEEDORES[PROVEEDOR],PROVEEDORES[[#This Row],[PROVEEDOR]],PROVEEDORES[FECHA DE PAGO],"")</f>
        <v>0</v>
      </c>
      <c r="E995" s="30"/>
      <c r="F995" s="73" t="str">
        <f>+VLOOKUP(PROVEEDORES[[#This Row],[PROVEEDOR]],TERCEROS_INFO[[PROVEEDOR]:[CORREO]],5,FALSE)</f>
        <v>lpena@tbplusenergy.com;girlesa.ruiz@servipilas.com;joriescobar64@gmail.com</v>
      </c>
      <c r="G995" s="111">
        <v>44552</v>
      </c>
      <c r="H995" s="31" t="s">
        <v>474</v>
      </c>
      <c r="I995" s="111">
        <v>44518</v>
      </c>
      <c r="J995" s="48">
        <v>10765</v>
      </c>
      <c r="K995" s="26">
        <v>2304000</v>
      </c>
      <c r="L995" s="26"/>
      <c r="M995" s="27">
        <v>437760</v>
      </c>
      <c r="N995" s="28"/>
      <c r="O995" s="27">
        <v>0</v>
      </c>
      <c r="P995" s="28">
        <v>2.5000000000000001E-2</v>
      </c>
      <c r="Q995" s="27">
        <v>57600</v>
      </c>
      <c r="R995" s="26">
        <v>2684160</v>
      </c>
      <c r="S995" s="115">
        <f ca="1">IF(PROVEEDORES[[#This Row],[FECHA DE PAGO]]=0,TODAY()-PROVEEDORES[[#This Row],[FECHA DE FACTURACIÓN]]-PROVEEDORES[[#This Row],[PLAZO Días]],0)</f>
        <v>0</v>
      </c>
      <c r="T9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6" spans="1:20" ht="21.9" customHeight="1" x14ac:dyDescent="0.3">
      <c r="A996" s="113" t="str">
        <f>+IF(PROVEEDORES[[#This Row],[FECHA DE PAGO]]=PROVEEDORES[[#This Row],[FECHA DE FACTURACIÓN]],"DE CONTADO","CRÉDITO")</f>
        <v>CRÉDITO</v>
      </c>
      <c r="B996" s="51" t="str">
        <f>+IF((PROVEEDORES[[#This Row],[FECHA DE PAGO]]-PROVEEDORES[[#This Row],[FECHA DE FACTURACIÓN]])&gt;PROVEEDORES[[#This Row],[PLAZO Días]],"PAGO VENCIDO")</f>
        <v>PAGO VENCIDO</v>
      </c>
      <c r="C996" s="25">
        <f>+VLOOKUP(PROVEEDORES[[#This Row],[PROVEEDOR]],TERCEROS_INFO[#All],2,FALSE)</f>
        <v>30</v>
      </c>
      <c r="D996" s="30">
        <f>+SUMIFS(PROVEEDORES[Total],PROVEEDORES[PROVEEDOR],PROVEEDORES[[#This Row],[PROVEEDOR]],PROVEEDORES[FECHA DE PAGO],"")</f>
        <v>0</v>
      </c>
      <c r="E996" s="30"/>
      <c r="F996" s="73" t="str">
        <f>+VLOOKUP(PROVEEDORES[[#This Row],[PROVEEDOR]],TERCEROS_INFO[[PROVEEDOR]:[CORREO]],5,FALSE)</f>
        <v>juan.suarez@cosostenible.com;girlesa.ruiz@servipilas.com;joriescobar64@gmail.com</v>
      </c>
      <c r="G996" s="111">
        <v>44552</v>
      </c>
      <c r="H996" s="31" t="s">
        <v>50</v>
      </c>
      <c r="I996" s="111">
        <v>44518</v>
      </c>
      <c r="J996" s="48">
        <v>4887</v>
      </c>
      <c r="K996" s="26">
        <v>2336200</v>
      </c>
      <c r="L996" s="26"/>
      <c r="M996" s="27">
        <v>443878</v>
      </c>
      <c r="N996" s="28"/>
      <c r="O996" s="27">
        <v>0</v>
      </c>
      <c r="P996" s="28">
        <v>2.5000000000000001E-2</v>
      </c>
      <c r="Q996" s="27">
        <v>58405</v>
      </c>
      <c r="R996" s="26">
        <v>2721673</v>
      </c>
      <c r="S996" s="115">
        <f ca="1">IF(PROVEEDORES[[#This Row],[FECHA DE PAGO]]=0,TODAY()-PROVEEDORES[[#This Row],[FECHA DE FACTURACIÓN]]-PROVEEDORES[[#This Row],[PLAZO Días]],0)</f>
        <v>0</v>
      </c>
      <c r="T99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7" spans="1:20" ht="21.9" customHeight="1" x14ac:dyDescent="0.3">
      <c r="A997" s="113" t="str">
        <f>+IF(PROVEEDORES[[#This Row],[FECHA DE PAGO]]=PROVEEDORES[[#This Row],[FECHA DE FACTURACIÓN]],"DE CONTADO","CRÉDITO")</f>
        <v>CRÉDITO</v>
      </c>
      <c r="B997" s="51" t="str">
        <f>+IF((PROVEEDORES[[#This Row],[FECHA DE PAGO]]-PROVEEDORES[[#This Row],[FECHA DE FACTURACIÓN]])&gt;PROVEEDORES[[#This Row],[PLAZO Días]],"PAGO VENCIDO")</f>
        <v>PAGO VENCIDO</v>
      </c>
      <c r="C997" s="25">
        <f>+VLOOKUP(PROVEEDORES[[#This Row],[PROVEEDOR]],TERCEROS_INFO[#All],2,FALSE)</f>
        <v>30</v>
      </c>
      <c r="D997" s="30">
        <f>+SUMIFS(PROVEEDORES[Total],PROVEEDORES[PROVEEDOR],PROVEEDORES[[#This Row],[PROVEEDOR]],PROVEEDORES[FECHA DE PAGO],"")</f>
        <v>6482443.1751999995</v>
      </c>
      <c r="E997" s="30"/>
      <c r="F997" s="73" t="str">
        <f>+VLOOKUP(PROVEEDORES[[#This Row],[PROVEEDOR]],TERCEROS_INFO[[PROVEEDOR]:[CORREO]],5,FALSE)</f>
        <v>angela.navas@hyrdistribuciones.com;girlesa.ruiz@servipilas.com;joriescobar64@gmail.com</v>
      </c>
      <c r="G997" s="111">
        <v>44552</v>
      </c>
      <c r="H997" s="31" t="s">
        <v>18</v>
      </c>
      <c r="I997" s="111">
        <v>44519</v>
      </c>
      <c r="J997" s="48">
        <v>1046143</v>
      </c>
      <c r="K997" s="26">
        <v>2166866.4</v>
      </c>
      <c r="L997" s="26"/>
      <c r="M997" s="27">
        <v>411704.61599999998</v>
      </c>
      <c r="N997" s="28"/>
      <c r="O997" s="27">
        <v>0</v>
      </c>
      <c r="P997" s="28">
        <v>2.5000000000000001E-2</v>
      </c>
      <c r="Q997" s="27">
        <v>54171.66</v>
      </c>
      <c r="R997" s="26">
        <v>2524399.3559999997</v>
      </c>
      <c r="S997" s="115">
        <f ca="1">IF(PROVEEDORES[[#This Row],[FECHA DE PAGO]]=0,TODAY()-PROVEEDORES[[#This Row],[FECHA DE FACTURACIÓN]]-PROVEEDORES[[#This Row],[PLAZO Días]],0)</f>
        <v>0</v>
      </c>
      <c r="T99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8" spans="1:20" ht="21.9" customHeight="1" x14ac:dyDescent="0.3">
      <c r="A998" s="113" t="str">
        <f>+IF(PROVEEDORES[[#This Row],[FECHA DE PAGO]]=PROVEEDORES[[#This Row],[FECHA DE FACTURACIÓN]],"DE CONTADO","CRÉDITO")</f>
        <v>CRÉDITO</v>
      </c>
      <c r="B998" s="51" t="str">
        <f>+IF((PROVEEDORES[[#This Row],[FECHA DE PAGO]]-PROVEEDORES[[#This Row],[FECHA DE FACTURACIÓN]])&gt;PROVEEDORES[[#This Row],[PLAZO Días]],"PAGO VENCIDO")</f>
        <v>PAGO VENCIDO</v>
      </c>
      <c r="C998" s="25">
        <f>+VLOOKUP(PROVEEDORES[[#This Row],[PROVEEDOR]],TERCEROS_INFO[#All],2,FALSE)</f>
        <v>30</v>
      </c>
      <c r="D998" s="30">
        <f>+SUMIFS(PROVEEDORES[Total],PROVEEDORES[PROVEEDOR],PROVEEDORES[[#This Row],[PROVEEDOR]],PROVEEDORES[FECHA DE PAGO],"")</f>
        <v>0</v>
      </c>
      <c r="E998" s="30"/>
      <c r="F998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998" s="111">
        <v>44575</v>
      </c>
      <c r="H998" s="31" t="s">
        <v>514</v>
      </c>
      <c r="I998" s="111">
        <v>44519</v>
      </c>
      <c r="J998" s="48" t="s">
        <v>621</v>
      </c>
      <c r="K998" s="26">
        <v>6535284</v>
      </c>
      <c r="L998" s="26"/>
      <c r="M998" s="27">
        <v>1241703.96</v>
      </c>
      <c r="N998" s="28"/>
      <c r="O998" s="27">
        <v>0</v>
      </c>
      <c r="P998" s="28">
        <v>0</v>
      </c>
      <c r="Q998" s="27">
        <v>0</v>
      </c>
      <c r="R998" s="26">
        <v>7776987.96</v>
      </c>
      <c r="S998" s="115">
        <f ca="1">IF(PROVEEDORES[[#This Row],[FECHA DE PAGO]]=0,TODAY()-PROVEEDORES[[#This Row],[FECHA DE FACTURACIÓN]]-PROVEEDORES[[#This Row],[PLAZO Días]],0)</f>
        <v>0</v>
      </c>
      <c r="T9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999" spans="1:20" ht="21.9" customHeight="1" x14ac:dyDescent="0.3">
      <c r="A999" s="113" t="str">
        <f>+IF(PROVEEDORES[[#This Row],[FECHA DE PAGO]]=PROVEEDORES[[#This Row],[FECHA DE FACTURACIÓN]],"DE CONTADO","CRÉDITO")</f>
        <v>DE CONTADO</v>
      </c>
      <c r="B999" s="51" t="b">
        <f>+IF((PROVEEDORES[[#This Row],[FECHA DE PAGO]]-PROVEEDORES[[#This Row],[FECHA DE FACTURACIÓN]])&gt;PROVEEDORES[[#This Row],[PLAZO Días]],"PAGO VENCIDO")</f>
        <v>0</v>
      </c>
      <c r="C999" s="25">
        <f>+VLOOKUP(PROVEEDORES[[#This Row],[PROVEEDOR]],TERCEROS_INFO[#All],2,FALSE)</f>
        <v>30</v>
      </c>
      <c r="D999" s="30">
        <f>+SUMIFS(PROVEEDORES[Total],PROVEEDORES[PROVEEDOR],PROVEEDORES[[#This Row],[PROVEEDOR]],PROVEEDORES[FECHA DE PAGO],"")</f>
        <v>0</v>
      </c>
      <c r="E999" s="30"/>
      <c r="F999" s="73" t="str">
        <f>+VLOOKUP(PROVEEDORES[[#This Row],[PROVEEDOR]],TERCEROS_INFO[[PROVEEDOR]:[CORREO]],5,FALSE)</f>
        <v/>
      </c>
      <c r="G999" s="111">
        <v>44520</v>
      </c>
      <c r="H999" s="31" t="s">
        <v>1016</v>
      </c>
      <c r="I999" s="111">
        <v>44520</v>
      </c>
      <c r="J999" s="48" t="s">
        <v>618</v>
      </c>
      <c r="K999" s="26">
        <v>350000</v>
      </c>
      <c r="L999" s="26"/>
      <c r="M999" s="27">
        <v>0</v>
      </c>
      <c r="N999" s="28"/>
      <c r="O999" s="27">
        <v>0</v>
      </c>
      <c r="P999" s="28">
        <v>0</v>
      </c>
      <c r="Q999" s="27">
        <v>0</v>
      </c>
      <c r="R999" s="26">
        <v>350000</v>
      </c>
      <c r="S999" s="115">
        <f ca="1">IF(PROVEEDORES[[#This Row],[FECHA DE PAGO]]=0,TODAY()-PROVEEDORES[[#This Row],[FECHA DE FACTURACIÓN]]-PROVEEDORES[[#This Row],[PLAZO Días]],0)</f>
        <v>0</v>
      </c>
      <c r="T9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0" spans="1:20" ht="21.9" customHeight="1" x14ac:dyDescent="0.3">
      <c r="A1000" s="113" t="str">
        <f>+IF(PROVEEDORES[[#This Row],[FECHA DE PAGO]]=PROVEEDORES[[#This Row],[FECHA DE FACTURACIÓN]],"DE CONTADO","CRÉDITO")</f>
        <v>DE CONTADO</v>
      </c>
      <c r="B1000" s="51" t="b">
        <f>+IF((PROVEEDORES[[#This Row],[FECHA DE PAGO]]-PROVEEDORES[[#This Row],[FECHA DE FACTURACIÓN]])&gt;PROVEEDORES[[#This Row],[PLAZO Días]],"PAGO VENCIDO")</f>
        <v>0</v>
      </c>
      <c r="C1000" s="25">
        <f>+VLOOKUP(PROVEEDORES[[#This Row],[PROVEEDOR]],TERCEROS_INFO[#All],2,FALSE)</f>
        <v>30</v>
      </c>
      <c r="D1000" s="30">
        <f>+SUMIFS(PROVEEDORES[Total],PROVEEDORES[PROVEEDOR],PROVEEDORES[[#This Row],[PROVEEDOR]],PROVEEDORES[FECHA DE PAGO],"")</f>
        <v>0</v>
      </c>
      <c r="E1000" s="30"/>
      <c r="F1000" s="73" t="str">
        <f>+VLOOKUP(PROVEEDORES[[#This Row],[PROVEEDOR]],TERCEROS_INFO[[PROVEEDOR]:[CORREO]],5,FALSE)</f>
        <v/>
      </c>
      <c r="G1000" s="111">
        <v>44520</v>
      </c>
      <c r="H1000" s="31" t="s">
        <v>1052</v>
      </c>
      <c r="I1000" s="111">
        <v>44520</v>
      </c>
      <c r="J1000" s="48"/>
      <c r="K1000" s="26">
        <v>1000000</v>
      </c>
      <c r="L1000" s="26"/>
      <c r="M1000" s="27">
        <v>0</v>
      </c>
      <c r="N1000" s="28"/>
      <c r="O1000" s="27">
        <v>0</v>
      </c>
      <c r="P1000" s="28">
        <v>0</v>
      </c>
      <c r="Q1000" s="27">
        <v>0</v>
      </c>
      <c r="R1000" s="26">
        <v>1000000</v>
      </c>
      <c r="S1000" s="115">
        <f ca="1">IF(PROVEEDORES[[#This Row],[FECHA DE PAGO]]=0,TODAY()-PROVEEDORES[[#This Row],[FECHA DE FACTURACIÓN]]-PROVEEDORES[[#This Row],[PLAZO Días]],0)</f>
        <v>0</v>
      </c>
      <c r="T100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1" spans="1:20" ht="21.9" customHeight="1" x14ac:dyDescent="0.3">
      <c r="A1001" s="113" t="str">
        <f>+IF(PROVEEDORES[[#This Row],[FECHA DE PAGO]]=PROVEEDORES[[#This Row],[FECHA DE FACTURACIÓN]],"DE CONTADO","CRÉDITO")</f>
        <v>CRÉDITO</v>
      </c>
      <c r="B1001" s="51" t="str">
        <f>+IF((PROVEEDORES[[#This Row],[FECHA DE PAGO]]-PROVEEDORES[[#This Row],[FECHA DE FACTURACIÓN]])&gt;PROVEEDORES[[#This Row],[PLAZO Días]],"PAGO VENCIDO")</f>
        <v>PAGO VENCIDO</v>
      </c>
      <c r="C1001" s="25">
        <f>+VLOOKUP(PROVEEDORES[[#This Row],[PROVEEDOR]],TERCEROS_INFO[#All],2,FALSE)</f>
        <v>30</v>
      </c>
      <c r="D1001" s="30">
        <f>+SUMIFS(PROVEEDORES[Total],PROVEEDORES[PROVEEDOR],PROVEEDORES[[#This Row],[PROVEEDOR]],PROVEEDORES[FECHA DE PAGO],"")</f>
        <v>4078650.6</v>
      </c>
      <c r="E1001" s="30"/>
      <c r="F1001" s="73" t="str">
        <f>+VLOOKUP(PROVEEDORES[[#This Row],[PROVEEDOR]],TERCEROS_INFO[[PROVEEDOR]:[CORREO]],5,FALSE)</f>
        <v>financiera@nalpicentral.com;girlesa.ruiz@servipilas.com;joriescobar64@gmail.com</v>
      </c>
      <c r="G1001" s="111">
        <v>44554</v>
      </c>
      <c r="H1001" s="31" t="s">
        <v>1095</v>
      </c>
      <c r="I1001" s="111">
        <v>44522</v>
      </c>
      <c r="J1001" s="48">
        <v>7732</v>
      </c>
      <c r="K1001" s="26">
        <v>256000</v>
      </c>
      <c r="L1001" s="26"/>
      <c r="M1001" s="27">
        <v>48640</v>
      </c>
      <c r="N1001" s="28"/>
      <c r="O1001" s="27">
        <v>0</v>
      </c>
      <c r="P1001" s="28">
        <v>0</v>
      </c>
      <c r="Q1001" s="27">
        <v>0</v>
      </c>
      <c r="R1001" s="26">
        <v>304640</v>
      </c>
      <c r="S1001" s="115">
        <f ca="1">IF(PROVEEDORES[[#This Row],[FECHA DE PAGO]]=0,TODAY()-PROVEEDORES[[#This Row],[FECHA DE FACTURACIÓN]]-PROVEEDORES[[#This Row],[PLAZO Días]],0)</f>
        <v>0</v>
      </c>
      <c r="T10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2" spans="1:20" ht="21.9" customHeight="1" x14ac:dyDescent="0.3">
      <c r="A1002" s="113" t="str">
        <f>+IF(PROVEEDORES[[#This Row],[FECHA DE PAGO]]=PROVEEDORES[[#This Row],[FECHA DE FACTURACIÓN]],"DE CONTADO","CRÉDITO")</f>
        <v>CRÉDITO</v>
      </c>
      <c r="B1002" s="51" t="b">
        <f>+IF((PROVEEDORES[[#This Row],[FECHA DE PAGO]]-PROVEEDORES[[#This Row],[FECHA DE FACTURACIÓN]])&gt;PROVEEDORES[[#This Row],[PLAZO Días]],"PAGO VENCIDO")</f>
        <v>0</v>
      </c>
      <c r="C1002" s="25">
        <f>+VLOOKUP(PROVEEDORES[[#This Row],[PROVEEDOR]],TERCEROS_INFO[#All],2,FALSE)</f>
        <v>30</v>
      </c>
      <c r="D1002" s="30">
        <f>+SUMIFS(PROVEEDORES[Total],PROVEEDORES[PROVEEDOR],PROVEEDORES[[#This Row],[PROVEEDOR]],PROVEEDORES[FECHA DE PAGO],"")</f>
        <v>21832129.73</v>
      </c>
      <c r="E1002" s="30"/>
      <c r="F1002" s="73" t="str">
        <f>+VLOOKUP(PROVEEDORES[[#This Row],[PROVEEDOR]],TERCEROS_INFO[[PROVEEDOR]:[CORREO]],5,FALSE)</f>
        <v>cartera1@grupostatur.com;girlesa.ruiz@servipilas.com;joriescobar64@gmail.com</v>
      </c>
      <c r="G1002" s="111">
        <v>44533</v>
      </c>
      <c r="H1002" s="31" t="s">
        <v>9</v>
      </c>
      <c r="I1002" s="111">
        <v>44523</v>
      </c>
      <c r="J1002" s="48" t="s">
        <v>870</v>
      </c>
      <c r="K1002" s="26">
        <v>-6000000</v>
      </c>
      <c r="L1002" s="26"/>
      <c r="M1002" s="27">
        <v>0</v>
      </c>
      <c r="N1002" s="28"/>
      <c r="O1002" s="27">
        <v>0</v>
      </c>
      <c r="P1002" s="28">
        <v>0</v>
      </c>
      <c r="Q1002" s="27">
        <v>0</v>
      </c>
      <c r="R1002" s="26">
        <v>-6000000</v>
      </c>
      <c r="S1002" s="115">
        <f ca="1">IF(PROVEEDORES[[#This Row],[FECHA DE PAGO]]=0,TODAY()-PROVEEDORES[[#This Row],[FECHA DE FACTURACIÓN]]-PROVEEDORES[[#This Row],[PLAZO Días]],0)</f>
        <v>0</v>
      </c>
      <c r="T10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3" spans="1:20" ht="21.9" customHeight="1" x14ac:dyDescent="0.3">
      <c r="A1003" s="113" t="str">
        <f>+IF(PROVEEDORES[[#This Row],[FECHA DE PAGO]]=PROVEEDORES[[#This Row],[FECHA DE FACTURACIÓN]],"DE CONTADO","CRÉDITO")</f>
        <v>CRÉDITO</v>
      </c>
      <c r="B1003" s="51" t="b">
        <f>+IF((PROVEEDORES[[#This Row],[FECHA DE PAGO]]-PROVEEDORES[[#This Row],[FECHA DE FACTURACIÓN]])&gt;PROVEEDORES[[#This Row],[PLAZO Días]],"PAGO VENCIDO")</f>
        <v>0</v>
      </c>
      <c r="C1003" s="25">
        <f>+VLOOKUP(PROVEEDORES[[#This Row],[PROVEEDOR]],TERCEROS_INFO[#All],2,FALSE)</f>
        <v>90</v>
      </c>
      <c r="D1003" s="30">
        <f>+SUMIFS(PROVEEDORES[Total],PROVEEDORES[PROVEEDOR],PROVEEDORES[[#This Row],[PROVEEDOR]],PROVEEDORES[FECHA DE PAGO],"")</f>
        <v>24974028.109999996</v>
      </c>
      <c r="E1003" s="30"/>
      <c r="F1003" s="73" t="str">
        <f>+VLOOKUP(PROVEEDORES[[#This Row],[PROVEEDOR]],TERCEROS_INFO[[PROVEEDOR]:[CORREO]],5,FALSE)</f>
        <v>criszapata1234@gmail.com;girlesa.ruiz@servipilas.com;joriescobar64@gmail.com</v>
      </c>
      <c r="G1003" s="111">
        <v>44533</v>
      </c>
      <c r="H1003" s="31" t="s">
        <v>78</v>
      </c>
      <c r="I1003" s="111">
        <v>44523</v>
      </c>
      <c r="J1003" s="48" t="s">
        <v>600</v>
      </c>
      <c r="K1003" s="26">
        <v>-2000000</v>
      </c>
      <c r="L1003" s="26"/>
      <c r="M1003" s="27">
        <v>0</v>
      </c>
      <c r="N1003" s="28"/>
      <c r="O1003" s="27">
        <v>0</v>
      </c>
      <c r="P1003" s="28">
        <v>0</v>
      </c>
      <c r="Q1003" s="27">
        <v>0</v>
      </c>
      <c r="R1003" s="26">
        <v>-2000000</v>
      </c>
      <c r="S1003" s="115">
        <f ca="1">IF(PROVEEDORES[[#This Row],[FECHA DE PAGO]]=0,TODAY()-PROVEEDORES[[#This Row],[FECHA DE FACTURACIÓN]]-PROVEEDORES[[#This Row],[PLAZO Días]],0)</f>
        <v>0</v>
      </c>
      <c r="T10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4" spans="1:20" ht="21.9" customHeight="1" x14ac:dyDescent="0.3">
      <c r="A1004" s="113" t="str">
        <f>+IF(PROVEEDORES[[#This Row],[FECHA DE PAGO]]=PROVEEDORES[[#This Row],[FECHA DE FACTURACIÓN]],"DE CONTADO","CRÉDITO")</f>
        <v>CRÉDITO</v>
      </c>
      <c r="B1004" s="51" t="b">
        <f>+IF((PROVEEDORES[[#This Row],[FECHA DE PAGO]]-PROVEEDORES[[#This Row],[FECHA DE FACTURACIÓN]])&gt;PROVEEDORES[[#This Row],[PLAZO Días]],"PAGO VENCIDO")</f>
        <v>0</v>
      </c>
      <c r="C1004" s="25">
        <f>+VLOOKUP(PROVEEDORES[[#This Row],[PROVEEDOR]],TERCEROS_INFO[#All],2,FALSE)</f>
        <v>30</v>
      </c>
      <c r="D1004" s="30">
        <f>+SUMIFS(PROVEEDORES[Total],PROVEEDORES[PROVEEDOR],PROVEEDORES[[#This Row],[PROVEEDOR]],PROVEEDORES[FECHA DE PAGO],"")</f>
        <v>264406</v>
      </c>
      <c r="E1004" s="30"/>
      <c r="F1004" s="73" t="str">
        <f>+VLOOKUP(PROVEEDORES[[#This Row],[PROVEEDOR]],TERCEROS_INFO[[PROVEEDOR]:[CORREO]],5,FALSE)</f>
        <v>oswaldo.alvarez@logimexsas.com;girlesa.ruiz@servipilas.com;joriescobar64@gmail.com</v>
      </c>
      <c r="G1004" s="111">
        <v>44533</v>
      </c>
      <c r="H1004" s="31" t="s">
        <v>393</v>
      </c>
      <c r="I1004" s="111">
        <v>44523</v>
      </c>
      <c r="J1004" s="48" t="s">
        <v>630</v>
      </c>
      <c r="K1004" s="26">
        <v>3402</v>
      </c>
      <c r="L1004" s="26"/>
      <c r="M1004" s="27">
        <v>0</v>
      </c>
      <c r="N1004" s="28"/>
      <c r="O1004" s="27">
        <v>0</v>
      </c>
      <c r="P1004" s="28">
        <v>0</v>
      </c>
      <c r="Q1004" s="27">
        <v>0</v>
      </c>
      <c r="R1004" s="26">
        <v>3402</v>
      </c>
      <c r="S1004" s="115">
        <f ca="1">IF(PROVEEDORES[[#This Row],[FECHA DE PAGO]]=0,TODAY()-PROVEEDORES[[#This Row],[FECHA DE FACTURACIÓN]]-PROVEEDORES[[#This Row],[PLAZO Días]],0)</f>
        <v>0</v>
      </c>
      <c r="T10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5" spans="1:20" ht="21.9" customHeight="1" x14ac:dyDescent="0.3">
      <c r="A1005" s="113" t="str">
        <f>+IF(PROVEEDORES[[#This Row],[FECHA DE PAGO]]=PROVEEDORES[[#This Row],[FECHA DE FACTURACIÓN]],"DE CONTADO","CRÉDITO")</f>
        <v>DE CONTADO</v>
      </c>
      <c r="B1005" s="51" t="b">
        <f>+IF((PROVEEDORES[[#This Row],[FECHA DE PAGO]]-PROVEEDORES[[#This Row],[FECHA DE FACTURACIÓN]])&gt;PROVEEDORES[[#This Row],[PLAZO Días]],"PAGO VENCIDO")</f>
        <v>0</v>
      </c>
      <c r="C1005" s="25">
        <f>+VLOOKUP(PROVEEDORES[[#This Row],[PROVEEDOR]],TERCEROS_INFO[#All],2,FALSE)</f>
        <v>30</v>
      </c>
      <c r="D1005" s="30">
        <f>+SUMIFS(PROVEEDORES[Total],PROVEEDORES[PROVEEDOR],PROVEEDORES[[#This Row],[PROVEEDOR]],PROVEEDORES[FECHA DE PAGO],"")</f>
        <v>0</v>
      </c>
      <c r="E1005" s="30"/>
      <c r="F1005" s="73" t="str">
        <f>+VLOOKUP(PROVEEDORES[[#This Row],[PROVEEDOR]],TERCEROS_INFO[[PROVEEDOR]:[CORREO]],5,FALSE)</f>
        <v/>
      </c>
      <c r="G1005" s="111">
        <v>44523</v>
      </c>
      <c r="H1005" s="31" t="s">
        <v>1016</v>
      </c>
      <c r="I1005" s="111">
        <v>44523</v>
      </c>
      <c r="J1005" s="48" t="s">
        <v>880</v>
      </c>
      <c r="K1005" s="26">
        <v>35000</v>
      </c>
      <c r="L1005" s="26"/>
      <c r="M1005" s="27">
        <v>0</v>
      </c>
      <c r="N1005" s="28"/>
      <c r="O1005" s="27">
        <v>0</v>
      </c>
      <c r="P1005" s="28">
        <v>0</v>
      </c>
      <c r="Q1005" s="27">
        <v>0</v>
      </c>
      <c r="R1005" s="26">
        <v>35000</v>
      </c>
      <c r="S1005" s="115">
        <f ca="1">IF(PROVEEDORES[[#This Row],[FECHA DE PAGO]]=0,TODAY()-PROVEEDORES[[#This Row],[FECHA DE FACTURACIÓN]]-PROVEEDORES[[#This Row],[PLAZO Días]],0)</f>
        <v>0</v>
      </c>
      <c r="T100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6" spans="1:20" ht="21.9" customHeight="1" x14ac:dyDescent="0.3">
      <c r="A1006" s="113" t="str">
        <f>+IF(PROVEEDORES[[#This Row],[FECHA DE PAGO]]=PROVEEDORES[[#This Row],[FECHA DE FACTURACIÓN]],"DE CONTADO","CRÉDITO")</f>
        <v>CRÉDITO</v>
      </c>
      <c r="B1006" s="51" t="str">
        <f>+IF((PROVEEDORES[[#This Row],[FECHA DE PAGO]]-PROVEEDORES[[#This Row],[FECHA DE FACTURACIÓN]])&gt;PROVEEDORES[[#This Row],[PLAZO Días]],"PAGO VENCIDO")</f>
        <v>PAGO VENCIDO</v>
      </c>
      <c r="C1006" s="25">
        <f>+VLOOKUP(PROVEEDORES[[#This Row],[PROVEEDOR]],TERCEROS_INFO[#All],2,FALSE)</f>
        <v>30</v>
      </c>
      <c r="D1006" s="30">
        <f>+SUMIFS(PROVEEDORES[Total],PROVEEDORES[PROVEEDOR],PROVEEDORES[[#This Row],[PROVEEDOR]],PROVEEDORES[FECHA DE PAGO],"")</f>
        <v>0</v>
      </c>
      <c r="E1006" s="30"/>
      <c r="F1006" s="73" t="str">
        <f>+VLOOKUP(PROVEEDORES[[#This Row],[PROVEEDOR]],TERCEROS_INFO[[PROVEEDOR]:[CORREO]],5,FALSE)</f>
        <v/>
      </c>
      <c r="G1006" s="111">
        <v>44557</v>
      </c>
      <c r="H1006" s="31" t="s">
        <v>989</v>
      </c>
      <c r="I1006" s="111">
        <v>44523</v>
      </c>
      <c r="J1006" s="48" t="s">
        <v>879</v>
      </c>
      <c r="K1006" s="26">
        <v>1796500</v>
      </c>
      <c r="L1006" s="26"/>
      <c r="M1006" s="27">
        <v>0</v>
      </c>
      <c r="N1006" s="28"/>
      <c r="O1006" s="27">
        <v>0</v>
      </c>
      <c r="P1006" s="28">
        <v>0</v>
      </c>
      <c r="Q1006" s="27">
        <v>0</v>
      </c>
      <c r="R1006" s="26">
        <v>1796500</v>
      </c>
      <c r="S1006" s="115">
        <f ca="1">IF(PROVEEDORES[[#This Row],[FECHA DE PAGO]]=0,TODAY()-PROVEEDORES[[#This Row],[FECHA DE FACTURACIÓN]]-PROVEEDORES[[#This Row],[PLAZO Días]],0)</f>
        <v>0</v>
      </c>
      <c r="T100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7" spans="1:20" ht="21.9" customHeight="1" x14ac:dyDescent="0.3">
      <c r="A1007" s="113" t="str">
        <f>+IF(PROVEEDORES[[#This Row],[FECHA DE PAGO]]=PROVEEDORES[[#This Row],[FECHA DE FACTURACIÓN]],"DE CONTADO","CRÉDITO")</f>
        <v>CRÉDITO</v>
      </c>
      <c r="B1007" s="51" t="b">
        <f>+IF((PROVEEDORES[[#This Row],[FECHA DE PAGO]]-PROVEEDORES[[#This Row],[FECHA DE FACTURACIÓN]])&gt;PROVEEDORES[[#This Row],[PLAZO Días]],"PAGO VENCIDO")</f>
        <v>0</v>
      </c>
      <c r="C1007" s="25">
        <f>+VLOOKUP(PROVEEDORES[[#This Row],[PROVEEDOR]],TERCEROS_INFO[#All],2,FALSE)</f>
        <v>30</v>
      </c>
      <c r="D1007" s="30">
        <f>+SUMIFS(PROVEEDORES[Total],PROVEEDORES[PROVEEDOR],PROVEEDORES[[#This Row],[PROVEEDOR]],PROVEEDORES[FECHA DE PAGO],"")</f>
        <v>0</v>
      </c>
      <c r="E1007" s="30"/>
      <c r="F1007" s="73">
        <f>+VLOOKUP(PROVEEDORES[[#This Row],[PROVEEDOR]],TERCEROS_INFO[[PROVEEDOR]:[CORREO]],5,FALSE)</f>
        <v>0</v>
      </c>
      <c r="G1007" s="111">
        <v>44537</v>
      </c>
      <c r="H1007" s="31" t="s">
        <v>629</v>
      </c>
      <c r="I1007" s="111">
        <v>44523</v>
      </c>
      <c r="J1007" s="48" t="s">
        <v>881</v>
      </c>
      <c r="K1007" s="26">
        <v>1848739.49</v>
      </c>
      <c r="L1007" s="26"/>
      <c r="M1007" s="27">
        <v>351260.50310000003</v>
      </c>
      <c r="N1007" s="28"/>
      <c r="O1007" s="27">
        <v>0</v>
      </c>
      <c r="P1007" s="28">
        <v>0.04</v>
      </c>
      <c r="Q1007" s="27">
        <v>73949.579599999997</v>
      </c>
      <c r="R1007" s="26">
        <v>0</v>
      </c>
      <c r="S1007" s="115">
        <f ca="1">IF(PROVEEDORES[[#This Row],[FECHA DE PAGO]]=0,TODAY()-PROVEEDORES[[#This Row],[FECHA DE FACTURACIÓN]]-PROVEEDORES[[#This Row],[PLAZO Días]],0)</f>
        <v>0</v>
      </c>
      <c r="T100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8" spans="1:20" ht="21.9" customHeight="1" x14ac:dyDescent="0.3">
      <c r="A1008" s="113" t="str">
        <f>+IF(PROVEEDORES[[#This Row],[FECHA DE PAGO]]=PROVEEDORES[[#This Row],[FECHA DE FACTURACIÓN]],"DE CONTADO","CRÉDITO")</f>
        <v>CRÉDITO</v>
      </c>
      <c r="B1008" s="51" t="str">
        <f>+IF((PROVEEDORES[[#This Row],[FECHA DE PAGO]]-PROVEEDORES[[#This Row],[FECHA DE FACTURACIÓN]])&gt;PROVEEDORES[[#This Row],[PLAZO Días]],"PAGO VENCIDO")</f>
        <v>PAGO VENCIDO</v>
      </c>
      <c r="C1008" s="25">
        <f>+VLOOKUP(PROVEEDORES[[#This Row],[PROVEEDOR]],TERCEROS_INFO[#All],2,FALSE)</f>
        <v>30</v>
      </c>
      <c r="D1008" s="30">
        <f>+SUMIFS(PROVEEDORES[Total],PROVEEDORES[PROVEEDOR],PROVEEDORES[[#This Row],[PROVEEDOR]],PROVEEDORES[FECHA DE PAGO],"")</f>
        <v>1119790</v>
      </c>
      <c r="E1008" s="30"/>
      <c r="F1008" s="73" t="str">
        <f>+VLOOKUP(PROVEEDORES[[#This Row],[PROVEEDOR]],TERCEROS_INFO[[PROVEEDOR]:[CORREO]],5,FALSE)</f>
        <v>MVALENCIA@mps.com.co;girlesa.ruiz@servipilas.com;joriescobar64@gmail.com</v>
      </c>
      <c r="G1008" s="111">
        <v>44558</v>
      </c>
      <c r="H1008" s="31" t="s">
        <v>17</v>
      </c>
      <c r="I1008" s="111">
        <v>44524</v>
      </c>
      <c r="J1008" s="48">
        <v>1844279</v>
      </c>
      <c r="K1008" s="26">
        <v>219500</v>
      </c>
      <c r="L1008" s="26"/>
      <c r="M1008" s="27">
        <v>41705</v>
      </c>
      <c r="N1008" s="28"/>
      <c r="O1008" s="27">
        <v>0</v>
      </c>
      <c r="P1008" s="28">
        <v>0</v>
      </c>
      <c r="Q1008" s="27">
        <v>0</v>
      </c>
      <c r="R1008" s="26">
        <v>261205</v>
      </c>
      <c r="S1008" s="115">
        <f ca="1">IF(PROVEEDORES[[#This Row],[FECHA DE PAGO]]=0,TODAY()-PROVEEDORES[[#This Row],[FECHA DE FACTURACIÓN]]-PROVEEDORES[[#This Row],[PLAZO Días]],0)</f>
        <v>0</v>
      </c>
      <c r="T10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09" spans="1:20" ht="21.9" customHeight="1" x14ac:dyDescent="0.3">
      <c r="A1009" s="113" t="str">
        <f>+IF(PROVEEDORES[[#This Row],[FECHA DE PAGO]]=PROVEEDORES[[#This Row],[FECHA DE FACTURACIÓN]],"DE CONTADO","CRÉDITO")</f>
        <v>CRÉDITO</v>
      </c>
      <c r="B1009" s="51" t="str">
        <f>+IF((PROVEEDORES[[#This Row],[FECHA DE PAGO]]-PROVEEDORES[[#This Row],[FECHA DE FACTURACIÓN]])&gt;PROVEEDORES[[#This Row],[PLAZO Días]],"PAGO VENCIDO")</f>
        <v>PAGO VENCIDO</v>
      </c>
      <c r="C1009" s="25">
        <f>+VLOOKUP(PROVEEDORES[[#This Row],[PROVEEDOR]],TERCEROS_INFO[#All],2,FALSE)</f>
        <v>30</v>
      </c>
      <c r="D1009" s="30">
        <f>+SUMIFS(PROVEEDORES[Total],PROVEEDORES[PROVEEDOR],PROVEEDORES[[#This Row],[PROVEEDOR]],PROVEEDORES[FECHA DE PAGO],"")</f>
        <v>452687.9</v>
      </c>
      <c r="E1009" s="30"/>
      <c r="F1009" s="73" t="str">
        <f>+VLOOKUP(PROVEEDORES[[#This Row],[PROVEEDOR]],TERCEROS_INFO[[PROVEEDOR]:[CORREO]],5,FALSE)</f>
        <v>soluenergiacentro@une.net.co;girlesa.ruiz@servipilas.com;joriescobar64@gmail.com</v>
      </c>
      <c r="G1009" s="111">
        <v>44558</v>
      </c>
      <c r="H1009" s="31" t="s">
        <v>39</v>
      </c>
      <c r="I1009" s="111">
        <v>44524</v>
      </c>
      <c r="J1009" s="48">
        <v>954</v>
      </c>
      <c r="K1009" s="26">
        <v>469800</v>
      </c>
      <c r="L1009" s="26"/>
      <c r="M1009" s="27">
        <v>89262</v>
      </c>
      <c r="N1009" s="28"/>
      <c r="O1009" s="27">
        <v>0</v>
      </c>
      <c r="P1009" s="28">
        <v>0</v>
      </c>
      <c r="Q1009" s="27">
        <v>0</v>
      </c>
      <c r="R1009" s="26">
        <v>559062</v>
      </c>
      <c r="S1009" s="115">
        <f ca="1">IF(PROVEEDORES[[#This Row],[FECHA DE PAGO]]=0,TODAY()-PROVEEDORES[[#This Row],[FECHA DE FACTURACIÓN]]-PROVEEDORES[[#This Row],[PLAZO Días]],0)</f>
        <v>0</v>
      </c>
      <c r="T100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0" spans="1:20" ht="21.9" customHeight="1" x14ac:dyDescent="0.3">
      <c r="A1010" s="113" t="str">
        <f>+IF(PROVEEDORES[[#This Row],[FECHA DE PAGO]]=PROVEEDORES[[#This Row],[FECHA DE FACTURACIÓN]],"DE CONTADO","CRÉDITO")</f>
        <v>CRÉDITO</v>
      </c>
      <c r="B1010" s="51" t="str">
        <f>+IF((PROVEEDORES[[#This Row],[FECHA DE PAGO]]-PROVEEDORES[[#This Row],[FECHA DE FACTURACIÓN]])&gt;PROVEEDORES[[#This Row],[PLAZO Días]],"PAGO VENCIDO")</f>
        <v>PAGO VENCIDO</v>
      </c>
      <c r="C1010" s="25">
        <f>+VLOOKUP(PROVEEDORES[[#This Row],[PROVEEDOR]],TERCEROS_INFO[#All],2,FALSE)</f>
        <v>30</v>
      </c>
      <c r="D1010" s="30">
        <f>+SUMIFS(PROVEEDORES[Total],PROVEEDORES[PROVEEDOR],PROVEEDORES[[#This Row],[PROVEEDOR]],PROVEEDORES[FECHA DE PAGO],"")</f>
        <v>1119790</v>
      </c>
      <c r="E1010" s="30"/>
      <c r="F1010" s="73" t="str">
        <f>+VLOOKUP(PROVEEDORES[[#This Row],[PROVEEDOR]],TERCEROS_INFO[[PROVEEDOR]:[CORREO]],5,FALSE)</f>
        <v>MVALENCIA@mps.com.co;girlesa.ruiz@servipilas.com;joriescobar64@gmail.com</v>
      </c>
      <c r="G1010" s="111">
        <v>44558</v>
      </c>
      <c r="H1010" s="31" t="s">
        <v>17</v>
      </c>
      <c r="I1010" s="111">
        <v>44524</v>
      </c>
      <c r="J1010" s="48">
        <v>1844241</v>
      </c>
      <c r="K1010" s="26">
        <v>594000</v>
      </c>
      <c r="L1010" s="26"/>
      <c r="M1010" s="27">
        <v>112860</v>
      </c>
      <c r="N1010" s="28"/>
      <c r="O1010" s="27">
        <v>0</v>
      </c>
      <c r="P1010" s="28">
        <v>0</v>
      </c>
      <c r="Q1010" s="27">
        <v>0</v>
      </c>
      <c r="R1010" s="26">
        <v>706860</v>
      </c>
      <c r="S1010" s="115">
        <f ca="1">IF(PROVEEDORES[[#This Row],[FECHA DE PAGO]]=0,TODAY()-PROVEEDORES[[#This Row],[FECHA DE FACTURACIÓN]]-PROVEEDORES[[#This Row],[PLAZO Días]],0)</f>
        <v>0</v>
      </c>
      <c r="T10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1" spans="1:20" ht="21.9" customHeight="1" x14ac:dyDescent="0.3">
      <c r="A1011" s="113" t="str">
        <f>+IF(PROVEEDORES[[#This Row],[FECHA DE PAGO]]=PROVEEDORES[[#This Row],[FECHA DE FACTURACIÓN]],"DE CONTADO","CRÉDITO")</f>
        <v>DE CONTADO</v>
      </c>
      <c r="B1011" s="51" t="b">
        <f>+IF((PROVEEDORES[[#This Row],[FECHA DE PAGO]]-PROVEEDORES[[#This Row],[FECHA DE FACTURACIÓN]])&gt;PROVEEDORES[[#This Row],[PLAZO Días]],"PAGO VENCIDO")</f>
        <v>0</v>
      </c>
      <c r="C1011" s="25">
        <f>+VLOOKUP(PROVEEDORES[[#This Row],[PROVEEDOR]],TERCEROS_INFO[#All],2,FALSE)</f>
        <v>30</v>
      </c>
      <c r="D1011" s="30">
        <f>+SUMIFS(PROVEEDORES[Total],PROVEEDORES[PROVEEDOR],PROVEEDORES[[#This Row],[PROVEEDOR]],PROVEEDORES[FECHA DE PAGO],"")</f>
        <v>0</v>
      </c>
      <c r="E1011" s="30"/>
      <c r="F1011" s="73">
        <f>+VLOOKUP(PROVEEDORES[[#This Row],[PROVEEDOR]],TERCEROS_INFO[[PROVEEDOR]:[CORREO]],5,FALSE)</f>
        <v>0</v>
      </c>
      <c r="G1011" s="111">
        <v>44525</v>
      </c>
      <c r="H1011" s="31" t="s">
        <v>1020</v>
      </c>
      <c r="I1011" s="111">
        <v>44525</v>
      </c>
      <c r="J1011" s="48" t="s">
        <v>635</v>
      </c>
      <c r="K1011" s="26">
        <v>350000</v>
      </c>
      <c r="L1011" s="26"/>
      <c r="M1011" s="27">
        <v>0</v>
      </c>
      <c r="N1011" s="28"/>
      <c r="O1011" s="27">
        <v>0</v>
      </c>
      <c r="P1011" s="28">
        <v>0</v>
      </c>
      <c r="Q1011" s="27">
        <v>0</v>
      </c>
      <c r="R1011" s="26">
        <v>350000</v>
      </c>
      <c r="S1011" s="115">
        <f ca="1">IF(PROVEEDORES[[#This Row],[FECHA DE PAGO]]=0,TODAY()-PROVEEDORES[[#This Row],[FECHA DE FACTURACIÓN]]-PROVEEDORES[[#This Row],[PLAZO Días]],0)</f>
        <v>0</v>
      </c>
      <c r="T10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2" spans="1:20" ht="21.9" customHeight="1" x14ac:dyDescent="0.3">
      <c r="A1012" s="113" t="str">
        <f>+IF(PROVEEDORES[[#This Row],[FECHA DE PAGO]]=PROVEEDORES[[#This Row],[FECHA DE FACTURACIÓN]],"DE CONTADO","CRÉDITO")</f>
        <v>CRÉDITO</v>
      </c>
      <c r="B1012" s="51" t="str">
        <f>+IF((PROVEEDORES[[#This Row],[FECHA DE PAGO]]-PROVEEDORES[[#This Row],[FECHA DE FACTURACIÓN]])&gt;PROVEEDORES[[#This Row],[PLAZO Días]],"PAGO VENCIDO")</f>
        <v>PAGO VENCIDO</v>
      </c>
      <c r="C1012" s="25">
        <f>+VLOOKUP(PROVEEDORES[[#This Row],[PROVEEDOR]],TERCEROS_INFO[#All],2,FALSE)</f>
        <v>30</v>
      </c>
      <c r="D1012" s="30">
        <f>+SUMIFS(PROVEEDORES[Total],PROVEEDORES[PROVEEDOR],PROVEEDORES[[#This Row],[PROVEEDOR]],PROVEEDORES[FECHA DE PAGO],"")</f>
        <v>1645000</v>
      </c>
      <c r="E1012" s="30"/>
      <c r="F1012" s="73" t="str">
        <f>+VLOOKUP(PROVEEDORES[[#This Row],[PROVEEDOR]],TERCEROS_INFO[[PROVEEDOR]:[CORREO]],5,FALSE)</f>
        <v/>
      </c>
      <c r="G1012" s="111">
        <v>44557</v>
      </c>
      <c r="H1012" s="31" t="s">
        <v>1070</v>
      </c>
      <c r="I1012" s="111">
        <v>44525</v>
      </c>
      <c r="J1012" s="48" t="s">
        <v>884</v>
      </c>
      <c r="K1012" s="26">
        <v>500000</v>
      </c>
      <c r="L1012" s="26"/>
      <c r="M1012" s="27">
        <v>0</v>
      </c>
      <c r="N1012" s="28"/>
      <c r="O1012" s="27">
        <v>0</v>
      </c>
      <c r="P1012" s="28">
        <v>0</v>
      </c>
      <c r="Q1012" s="27">
        <v>0</v>
      </c>
      <c r="R1012" s="26">
        <v>500000</v>
      </c>
      <c r="S1012" s="115">
        <f ca="1">IF(PROVEEDORES[[#This Row],[FECHA DE PAGO]]=0,TODAY()-PROVEEDORES[[#This Row],[FECHA DE FACTURACIÓN]]-PROVEEDORES[[#This Row],[PLAZO Días]],0)</f>
        <v>0</v>
      </c>
      <c r="T10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3" spans="1:20" ht="21.9" customHeight="1" x14ac:dyDescent="0.3">
      <c r="A1013" s="113" t="str">
        <f>+IF(PROVEEDORES[[#This Row],[FECHA DE PAGO]]=PROVEEDORES[[#This Row],[FECHA DE FACTURACIÓN]],"DE CONTADO","CRÉDITO")</f>
        <v>CRÉDITO</v>
      </c>
      <c r="B1013" s="51" t="b">
        <f>+IF((PROVEEDORES[[#This Row],[FECHA DE PAGO]]-PROVEEDORES[[#This Row],[FECHA DE FACTURACIÓN]])&gt;PROVEEDORES[[#This Row],[PLAZO Días]],"PAGO VENCIDO")</f>
        <v>0</v>
      </c>
      <c r="C1013" s="25">
        <f>+VLOOKUP(PROVEEDORES[[#This Row],[PROVEEDOR]],TERCEROS_INFO[#All],2,FALSE)</f>
        <v>30</v>
      </c>
      <c r="D1013" s="30">
        <f>+SUMIFS(PROVEEDORES[Total],PROVEEDORES[PROVEEDOR],PROVEEDORES[[#This Row],[PROVEEDOR]],PROVEEDORES[FECHA DE PAGO],"")</f>
        <v>0</v>
      </c>
      <c r="E1013" s="30"/>
      <c r="F1013" s="73" t="str">
        <f>+VLOOKUP(PROVEEDORES[[#This Row],[PROVEEDOR]],TERCEROS_INFO[[PROVEEDOR]:[CORREO]],5,FALSE)</f>
        <v/>
      </c>
      <c r="G1013" s="111">
        <v>44527</v>
      </c>
      <c r="H1013" s="31" t="s">
        <v>1007</v>
      </c>
      <c r="I1013" s="111">
        <v>44525</v>
      </c>
      <c r="J1013" s="48" t="s">
        <v>882</v>
      </c>
      <c r="K1013" s="26">
        <v>636000</v>
      </c>
      <c r="L1013" s="26"/>
      <c r="M1013" s="27">
        <v>0</v>
      </c>
      <c r="N1013" s="28"/>
      <c r="O1013" s="27">
        <v>0</v>
      </c>
      <c r="P1013" s="28">
        <v>0</v>
      </c>
      <c r="Q1013" s="27">
        <v>0</v>
      </c>
      <c r="R1013" s="26">
        <v>0</v>
      </c>
      <c r="S1013" s="115">
        <f ca="1">IF(PROVEEDORES[[#This Row],[FECHA DE PAGO]]=0,TODAY()-PROVEEDORES[[#This Row],[FECHA DE FACTURACIÓN]]-PROVEEDORES[[#This Row],[PLAZO Días]],0)</f>
        <v>0</v>
      </c>
      <c r="T10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4" spans="1:20" ht="21.9" customHeight="1" x14ac:dyDescent="0.3">
      <c r="A1014" s="113" t="str">
        <f>+IF(PROVEEDORES[[#This Row],[FECHA DE PAGO]]=PROVEEDORES[[#This Row],[FECHA DE FACTURACIÓN]],"DE CONTADO","CRÉDITO")</f>
        <v>CRÉDITO</v>
      </c>
      <c r="B1014" s="51" t="str">
        <f>+IF((PROVEEDORES[[#This Row],[FECHA DE PAGO]]-PROVEEDORES[[#This Row],[FECHA DE FACTURACIÓN]])&gt;PROVEEDORES[[#This Row],[PLAZO Días]],"PAGO VENCIDO")</f>
        <v>PAGO VENCIDO</v>
      </c>
      <c r="C1014" s="25">
        <f>+VLOOKUP(PROVEEDORES[[#This Row],[PROVEEDOR]],TERCEROS_INFO[#All],2,FALSE)</f>
        <v>30</v>
      </c>
      <c r="D1014" s="30">
        <f>+SUMIFS(PROVEEDORES[Total],PROVEEDORES[PROVEEDOR],PROVEEDORES[[#This Row],[PROVEEDOR]],PROVEEDORES[FECHA DE PAGO],"")</f>
        <v>0</v>
      </c>
      <c r="E1014" s="30"/>
      <c r="F1014" s="73" t="str">
        <f>+VLOOKUP(PROVEEDORES[[#This Row],[PROVEEDOR]],TERCEROS_INFO[[PROVEEDOR]:[CORREO]],5,FALSE)</f>
        <v>alejovelas0426@gmail.com;girlesa.ruiz@servipilas.com;joriescobar64@gmail.com</v>
      </c>
      <c r="G1014" s="111">
        <v>44568</v>
      </c>
      <c r="H1014" s="31" t="s">
        <v>986</v>
      </c>
      <c r="I1014" s="111">
        <v>44525</v>
      </c>
      <c r="J1014" s="48" t="s">
        <v>636</v>
      </c>
      <c r="K1014" s="26">
        <v>990000</v>
      </c>
      <c r="L1014" s="26"/>
      <c r="M1014" s="27">
        <v>0</v>
      </c>
      <c r="N1014" s="28"/>
      <c r="O1014" s="27">
        <v>0</v>
      </c>
      <c r="P1014" s="28">
        <v>0</v>
      </c>
      <c r="Q1014" s="27">
        <v>0</v>
      </c>
      <c r="R1014" s="26">
        <v>990000</v>
      </c>
      <c r="S1014" s="115">
        <f ca="1">IF(PROVEEDORES[[#This Row],[FECHA DE PAGO]]=0,TODAY()-PROVEEDORES[[#This Row],[FECHA DE FACTURACIÓN]]-PROVEEDORES[[#This Row],[PLAZO Días]],0)</f>
        <v>0</v>
      </c>
      <c r="T10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5" spans="1:20" ht="21.9" customHeight="1" x14ac:dyDescent="0.3">
      <c r="A1015" s="113" t="str">
        <f>+IF(PROVEEDORES[[#This Row],[FECHA DE PAGO]]=PROVEEDORES[[#This Row],[FECHA DE FACTURACIÓN]],"DE CONTADO","CRÉDITO")</f>
        <v>DE CONTADO</v>
      </c>
      <c r="B1015" s="51" t="b">
        <f>+IF((PROVEEDORES[[#This Row],[FECHA DE PAGO]]-PROVEEDORES[[#This Row],[FECHA DE FACTURACIÓN]])&gt;PROVEEDORES[[#This Row],[PLAZO Días]],"PAGO VENCIDO")</f>
        <v>0</v>
      </c>
      <c r="C1015" s="25">
        <f>+VLOOKUP(PROVEEDORES[[#This Row],[PROVEEDOR]],TERCEROS_INFO[#All],2,FALSE)</f>
        <v>30</v>
      </c>
      <c r="D1015" s="30">
        <f>+SUMIFS(PROVEEDORES[Total],PROVEEDORES[PROVEEDOR],PROVEEDORES[[#This Row],[PROVEEDOR]],PROVEEDORES[FECHA DE PAGO],"")</f>
        <v>0</v>
      </c>
      <c r="E1015" s="30"/>
      <c r="F1015" s="73" t="str">
        <f>+VLOOKUP(PROVEEDORES[[#This Row],[PROVEEDOR]],TERCEROS_INFO[[PROVEEDOR]:[CORREO]],5,FALSE)</f>
        <v/>
      </c>
      <c r="G1015" s="111">
        <v>44525</v>
      </c>
      <c r="H1015" s="31" t="s">
        <v>1052</v>
      </c>
      <c r="I1015" s="111">
        <v>44525</v>
      </c>
      <c r="J1015" s="48"/>
      <c r="K1015" s="26">
        <v>1000000</v>
      </c>
      <c r="L1015" s="26"/>
      <c r="M1015" s="27">
        <v>0</v>
      </c>
      <c r="N1015" s="28"/>
      <c r="O1015" s="27">
        <v>0</v>
      </c>
      <c r="P1015" s="28">
        <v>0</v>
      </c>
      <c r="Q1015" s="27">
        <v>0</v>
      </c>
      <c r="R1015" s="26">
        <v>1000000</v>
      </c>
      <c r="S1015" s="115">
        <f ca="1">IF(PROVEEDORES[[#This Row],[FECHA DE PAGO]]=0,TODAY()-PROVEEDORES[[#This Row],[FECHA DE FACTURACIÓN]]-PROVEEDORES[[#This Row],[PLAZO Días]],0)</f>
        <v>0</v>
      </c>
      <c r="T10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6" spans="1:20" ht="21.9" customHeight="1" x14ac:dyDescent="0.3">
      <c r="A1016" s="113" t="str">
        <f>+IF(PROVEEDORES[[#This Row],[FECHA DE PAGO]]=PROVEEDORES[[#This Row],[FECHA DE FACTURACIÓN]],"DE CONTADO","CRÉDITO")</f>
        <v>CRÉDITO</v>
      </c>
      <c r="B1016" s="51" t="str">
        <f>+IF((PROVEEDORES[[#This Row],[FECHA DE PAGO]]-PROVEEDORES[[#This Row],[FECHA DE FACTURACIÓN]])&gt;PROVEEDORES[[#This Row],[PLAZO Días]],"PAGO VENCIDO")</f>
        <v>PAGO VENCIDO</v>
      </c>
      <c r="C1016" s="25">
        <f>+VLOOKUP(PROVEEDORES[[#This Row],[PROVEEDOR]],TERCEROS_INFO[#All],2,FALSE)</f>
        <v>30</v>
      </c>
      <c r="D1016" s="30">
        <f>+SUMIFS(PROVEEDORES[Total],PROVEEDORES[PROVEEDOR],PROVEEDORES[[#This Row],[PROVEEDOR]],PROVEEDORES[FECHA DE PAGO],"")</f>
        <v>3320000</v>
      </c>
      <c r="E1016" s="30"/>
      <c r="F1016" s="73" t="str">
        <f>+VLOOKUP(PROVEEDORES[[#This Row],[PROVEEDOR]],TERCEROS_INFO[[PROVEEDOR]:[CORREO]],5,FALSE)</f>
        <v>Pygimportadora@gmail.com;girlesa.ruiz@servipilas.com;joriescobar64@gmail.com</v>
      </c>
      <c r="G1016" s="111">
        <v>44557</v>
      </c>
      <c r="H1016" s="31" t="s">
        <v>1068</v>
      </c>
      <c r="I1016" s="111">
        <v>44525</v>
      </c>
      <c r="J1016" s="48" t="s">
        <v>883</v>
      </c>
      <c r="K1016" s="26">
        <v>2880000</v>
      </c>
      <c r="L1016" s="26"/>
      <c r="M1016" s="27">
        <v>0</v>
      </c>
      <c r="N1016" s="28"/>
      <c r="O1016" s="27">
        <v>0</v>
      </c>
      <c r="P1016" s="28">
        <v>0</v>
      </c>
      <c r="Q1016" s="27">
        <v>0</v>
      </c>
      <c r="R1016" s="26">
        <v>2880000</v>
      </c>
      <c r="S1016" s="115">
        <f ca="1">IF(PROVEEDORES[[#This Row],[FECHA DE PAGO]]=0,TODAY()-PROVEEDORES[[#This Row],[FECHA DE FACTURACIÓN]]-PROVEEDORES[[#This Row],[PLAZO Días]],0)</f>
        <v>0</v>
      </c>
      <c r="T10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7" spans="1:20" ht="21.9" customHeight="1" x14ac:dyDescent="0.3">
      <c r="A1017" s="113" t="str">
        <f>+IF(PROVEEDORES[[#This Row],[FECHA DE PAGO]]=PROVEEDORES[[#This Row],[FECHA DE FACTURACIÓN]],"DE CONTADO","CRÉDITO")</f>
        <v>CRÉDITO</v>
      </c>
      <c r="B1017" s="51" t="str">
        <f>+IF((PROVEEDORES[[#This Row],[FECHA DE PAGO]]-PROVEEDORES[[#This Row],[FECHA DE FACTURACIÓN]])&gt;PROVEEDORES[[#This Row],[PLAZO Días]],"PAGO VENCIDO")</f>
        <v>PAGO VENCIDO</v>
      </c>
      <c r="C1017" s="25">
        <f>+VLOOKUP(PROVEEDORES[[#This Row],[PROVEEDOR]],TERCEROS_INFO[#All],2,FALSE)</f>
        <v>30</v>
      </c>
      <c r="D1017" s="30">
        <f>+SUMIFS(PROVEEDORES[Total],PROVEEDORES[PROVEEDOR],PROVEEDORES[[#This Row],[PROVEEDOR]],PROVEEDORES[FECHA DE PAGO],"")</f>
        <v>10764600</v>
      </c>
      <c r="E1017" s="30"/>
      <c r="F1017" s="73" t="str">
        <f>+VLOOKUP(PROVEEDORES[[#This Row],[PROVEEDOR]],TERCEROS_INFO[[PROVEEDOR]:[CORREO]],5,FALSE)</f>
        <v>apresupuesto@widexcolombia.com;girlesa.ruiz@servipilas.com;joriescobar64@gmail.com</v>
      </c>
      <c r="G1017" s="111">
        <v>44558</v>
      </c>
      <c r="H1017" s="31" t="s">
        <v>11</v>
      </c>
      <c r="I1017" s="111">
        <v>44526</v>
      </c>
      <c r="J1017" s="48" t="s">
        <v>634</v>
      </c>
      <c r="K1017" s="26">
        <v>2700504</v>
      </c>
      <c r="L1017" s="26"/>
      <c r="M1017" s="27">
        <v>513095.76</v>
      </c>
      <c r="N1017" s="28"/>
      <c r="O1017" s="27">
        <v>0</v>
      </c>
      <c r="P1017" s="28">
        <v>2.5000000000000001E-2</v>
      </c>
      <c r="Q1017" s="27">
        <v>67512.600000000006</v>
      </c>
      <c r="R1017" s="26">
        <v>3146087.1599999997</v>
      </c>
      <c r="S1017" s="115">
        <f ca="1">IF(PROVEEDORES[[#This Row],[FECHA DE PAGO]]=0,TODAY()-PROVEEDORES[[#This Row],[FECHA DE FACTURACIÓN]]-PROVEEDORES[[#This Row],[PLAZO Días]],0)</f>
        <v>0</v>
      </c>
      <c r="T10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8" spans="1:20" ht="21.9" customHeight="1" x14ac:dyDescent="0.3">
      <c r="A1018" s="113" t="str">
        <f>+IF(PROVEEDORES[[#This Row],[FECHA DE PAGO]]=PROVEEDORES[[#This Row],[FECHA DE FACTURACIÓN]],"DE CONTADO","CRÉDITO")</f>
        <v>CRÉDITO</v>
      </c>
      <c r="B1018" s="51" t="str">
        <f>+IF((PROVEEDORES[[#This Row],[FECHA DE PAGO]]-PROVEEDORES[[#This Row],[FECHA DE FACTURACIÓN]])&gt;PROVEEDORES[[#This Row],[PLAZO Días]],"PAGO VENCIDO")</f>
        <v>PAGO VENCIDO</v>
      </c>
      <c r="C1018" s="25">
        <f>+VLOOKUP(PROVEEDORES[[#This Row],[PROVEEDOR]],TERCEROS_INFO[#All],2,FALSE)</f>
        <v>30</v>
      </c>
      <c r="D1018" s="30">
        <f>+SUMIFS(PROVEEDORES[Total],PROVEEDORES[PROVEEDOR],PROVEEDORES[[#This Row],[PROVEEDOR]],PROVEEDORES[FECHA DE PAGO],"")</f>
        <v>3406</v>
      </c>
      <c r="E1018" s="30"/>
      <c r="F1018" s="73" t="str">
        <f>+VLOOKUP(PROVEEDORES[[#This Row],[PROVEEDOR]],TERCEROS_INFO[[PROVEEDOR]:[CORREO]],5,FALSE)</f>
        <v>ventas@ismartsas.com;girlesa.ruiz@servipilas.com;joriescobar64@gmail.com</v>
      </c>
      <c r="G1018" s="111">
        <v>44558</v>
      </c>
      <c r="H1018" s="31" t="s">
        <v>48</v>
      </c>
      <c r="I1018" s="111">
        <v>44527</v>
      </c>
      <c r="J1018" s="48">
        <v>33548</v>
      </c>
      <c r="K1018" s="26">
        <v>1057979</v>
      </c>
      <c r="L1018" s="26"/>
      <c r="M1018" s="27">
        <v>201016.01</v>
      </c>
      <c r="N1018" s="28"/>
      <c r="O1018" s="27">
        <v>0</v>
      </c>
      <c r="P1018" s="28">
        <v>2.5000000000000001E-2</v>
      </c>
      <c r="Q1018" s="27">
        <v>26449.475000000002</v>
      </c>
      <c r="R1018" s="26">
        <v>1232545.5349999999</v>
      </c>
      <c r="S1018" s="115">
        <f ca="1">IF(PROVEEDORES[[#This Row],[FECHA DE PAGO]]=0,TODAY()-PROVEEDORES[[#This Row],[FECHA DE FACTURACIÓN]]-PROVEEDORES[[#This Row],[PLAZO Días]],0)</f>
        <v>0</v>
      </c>
      <c r="T10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19" spans="1:20" ht="21.9" customHeight="1" x14ac:dyDescent="0.3">
      <c r="A1019" s="113" t="str">
        <f>+IF(PROVEEDORES[[#This Row],[FECHA DE PAGO]]=PROVEEDORES[[#This Row],[FECHA DE FACTURACIÓN]],"DE CONTADO","CRÉDITO")</f>
        <v>CRÉDITO</v>
      </c>
      <c r="B1019" s="51" t="str">
        <f>+IF((PROVEEDORES[[#This Row],[FECHA DE PAGO]]-PROVEEDORES[[#This Row],[FECHA DE FACTURACIÓN]])&gt;PROVEEDORES[[#This Row],[PLAZO Días]],"PAGO VENCIDO")</f>
        <v>PAGO VENCIDO</v>
      </c>
      <c r="C1019" s="25">
        <f>+VLOOKUP(PROVEEDORES[[#This Row],[PROVEEDOR]],TERCEROS_INFO[#All],2,FALSE)</f>
        <v>30</v>
      </c>
      <c r="D1019" s="30">
        <f>+SUMIFS(PROVEEDORES[Total],PROVEEDORES[PROVEEDOR],PROVEEDORES[[#This Row],[PROVEEDOR]],PROVEEDORES[FECHA DE PAGO],"")</f>
        <v>6932910</v>
      </c>
      <c r="E1019" s="30"/>
      <c r="F1019" s="73" t="str">
        <f>+VLOOKUP(PROVEEDORES[[#This Row],[PROVEEDOR]],TERCEROS_INFO[[PROVEEDOR]:[CORREO]],5,FALSE)</f>
        <v>admin@kinocompanysas.com.co;girlesa.ruiz@servipilas.com;joriescobar64@gmail.com</v>
      </c>
      <c r="G1019" s="111">
        <v>44600</v>
      </c>
      <c r="H1019" s="31" t="s">
        <v>33</v>
      </c>
      <c r="I1019" s="111">
        <v>44527</v>
      </c>
      <c r="J1019" s="48">
        <v>1728</v>
      </c>
      <c r="K1019" s="26">
        <v>9365300</v>
      </c>
      <c r="L1019" s="26"/>
      <c r="M1019" s="27">
        <v>1779407</v>
      </c>
      <c r="N1019" s="28"/>
      <c r="O1019" s="27">
        <v>0</v>
      </c>
      <c r="P1019" s="28">
        <v>2.5000000000000001E-2</v>
      </c>
      <c r="Q1019" s="27">
        <v>234132.5</v>
      </c>
      <c r="R1019" s="26">
        <v>10910574.5</v>
      </c>
      <c r="S1019" s="115">
        <f ca="1">IF(PROVEEDORES[[#This Row],[FECHA DE PAGO]]=0,TODAY()-PROVEEDORES[[#This Row],[FECHA DE FACTURACIÓN]]-PROVEEDORES[[#This Row],[PLAZO Días]],0)</f>
        <v>0</v>
      </c>
      <c r="T10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0" spans="1:20" ht="21.9" customHeight="1" x14ac:dyDescent="0.3">
      <c r="A1020" s="113" t="str">
        <f>+IF(PROVEEDORES[[#This Row],[FECHA DE PAGO]]=PROVEEDORES[[#This Row],[FECHA DE FACTURACIÓN]],"DE CONTADO","CRÉDITO")</f>
        <v>CRÉDITO</v>
      </c>
      <c r="B1020" s="51" t="str">
        <f>+IF((PROVEEDORES[[#This Row],[FECHA DE PAGO]]-PROVEEDORES[[#This Row],[FECHA DE FACTURACIÓN]])&gt;PROVEEDORES[[#This Row],[PLAZO Días]],"PAGO VENCIDO")</f>
        <v>PAGO VENCIDO</v>
      </c>
      <c r="C1020" s="25">
        <f>+VLOOKUP(PROVEEDORES[[#This Row],[PROVEEDOR]],TERCEROS_INFO[#All],2,FALSE)</f>
        <v>30</v>
      </c>
      <c r="D1020" s="30">
        <f>+SUMIFS(PROVEEDORES[Total],PROVEEDORES[PROVEEDOR],PROVEEDORES[[#This Row],[PROVEEDOR]],PROVEEDORES[FECHA DE PAGO],"")</f>
        <v>0</v>
      </c>
      <c r="E1020" s="30"/>
      <c r="F1020" s="73" t="str">
        <f>+VLOOKUP(PROVEEDORES[[#This Row],[PROVEEDOR]],TERCEROS_INFO[[PROVEEDOR]:[CORREO]],5,FALSE)</f>
        <v>yermingg@hotmail.com;girlesa.ruiz@servipilas.com;joriescobar64@gmail.com</v>
      </c>
      <c r="G1020" s="111">
        <v>44568</v>
      </c>
      <c r="H1020" s="31" t="s">
        <v>1085</v>
      </c>
      <c r="I1020" s="111">
        <v>44529</v>
      </c>
      <c r="J1020" s="48" t="s">
        <v>886</v>
      </c>
      <c r="K1020" s="26">
        <v>56250</v>
      </c>
      <c r="L1020" s="26"/>
      <c r="M1020" s="27">
        <v>0</v>
      </c>
      <c r="N1020" s="28"/>
      <c r="O1020" s="27">
        <v>0</v>
      </c>
      <c r="P1020" s="28">
        <v>0</v>
      </c>
      <c r="Q1020" s="27">
        <v>0</v>
      </c>
      <c r="R1020" s="26">
        <v>56250</v>
      </c>
      <c r="S1020" s="115">
        <f ca="1">IF(PROVEEDORES[[#This Row],[FECHA DE PAGO]]=0,TODAY()-PROVEEDORES[[#This Row],[FECHA DE FACTURACIÓN]]-PROVEEDORES[[#This Row],[PLAZO Días]],0)</f>
        <v>0</v>
      </c>
      <c r="T10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1" spans="1:20" ht="21.9" customHeight="1" x14ac:dyDescent="0.3">
      <c r="A1021" s="113" t="str">
        <f>+IF(PROVEEDORES[[#This Row],[FECHA DE PAGO]]=PROVEEDORES[[#This Row],[FECHA DE FACTURACIÓN]],"DE CONTADO","CRÉDITO")</f>
        <v>CRÉDITO</v>
      </c>
      <c r="B1021" s="51" t="b">
        <f>+IF((PROVEEDORES[[#This Row],[FECHA DE PAGO]]-PROVEEDORES[[#This Row],[FECHA DE FACTURACIÓN]])&gt;PROVEEDORES[[#This Row],[PLAZO Días]],"PAGO VENCIDO")</f>
        <v>0</v>
      </c>
      <c r="C1021" s="25">
        <f>+VLOOKUP(PROVEEDORES[[#This Row],[PROVEEDOR]],TERCEROS_INFO[#All],2,FALSE)</f>
        <v>30</v>
      </c>
      <c r="D1021" s="30">
        <f>+SUMIFS(PROVEEDORES[Total],PROVEEDORES[PROVEEDOR],PROVEEDORES[[#This Row],[PROVEEDOR]],PROVEEDORES[FECHA DE PAGO],"")</f>
        <v>1119790</v>
      </c>
      <c r="E1021" s="30"/>
      <c r="F1021" s="73" t="str">
        <f>+VLOOKUP(PROVEEDORES[[#This Row],[PROVEEDOR]],TERCEROS_INFO[[PROVEEDOR]:[CORREO]],5,FALSE)</f>
        <v>MVALENCIA@mps.com.co;girlesa.ruiz@servipilas.com;joriescobar64@gmail.com</v>
      </c>
      <c r="G1021" s="111">
        <v>44558</v>
      </c>
      <c r="H1021" s="31" t="s">
        <v>17</v>
      </c>
      <c r="I1021" s="111">
        <v>44529</v>
      </c>
      <c r="J1021" s="48">
        <v>1846298</v>
      </c>
      <c r="K1021" s="26">
        <v>300000</v>
      </c>
      <c r="L1021" s="26"/>
      <c r="M1021" s="27">
        <v>57000</v>
      </c>
      <c r="N1021" s="28"/>
      <c r="O1021" s="27">
        <v>0</v>
      </c>
      <c r="P1021" s="28">
        <v>0</v>
      </c>
      <c r="Q1021" s="27">
        <v>0</v>
      </c>
      <c r="R1021" s="26">
        <v>357000</v>
      </c>
      <c r="S1021" s="115">
        <f ca="1">IF(PROVEEDORES[[#This Row],[FECHA DE PAGO]]=0,TODAY()-PROVEEDORES[[#This Row],[FECHA DE FACTURACIÓN]]-PROVEEDORES[[#This Row],[PLAZO Días]],0)</f>
        <v>0</v>
      </c>
      <c r="T10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2" spans="1:20" ht="21.9" customHeight="1" x14ac:dyDescent="0.3">
      <c r="A1022" s="113" t="str">
        <f>+IF(PROVEEDORES[[#This Row],[FECHA DE PAGO]]=PROVEEDORES[[#This Row],[FECHA DE FACTURACIÓN]],"DE CONTADO","CRÉDITO")</f>
        <v>CRÉDITO</v>
      </c>
      <c r="B1022" s="51" t="b">
        <f>+IF((PROVEEDORES[[#This Row],[FECHA DE PAGO]]-PROVEEDORES[[#This Row],[FECHA DE FACTURACIÓN]])&gt;PROVEEDORES[[#This Row],[PLAZO Días]],"PAGO VENCIDO")</f>
        <v>0</v>
      </c>
      <c r="C1022" s="25">
        <f>+VLOOKUP(PROVEEDORES[[#This Row],[PROVEEDOR]],TERCEROS_INFO[#All],2,FALSE)</f>
        <v>30</v>
      </c>
      <c r="D1022" s="30">
        <f>+SUMIFS(PROVEEDORES[Total],PROVEEDORES[PROVEEDOR],PROVEEDORES[[#This Row],[PROVEEDOR]],PROVEEDORES[FECHA DE PAGO],"")</f>
        <v>6482443.1751999995</v>
      </c>
      <c r="E1022" s="30"/>
      <c r="F1022" s="73" t="str">
        <f>+VLOOKUP(PROVEEDORES[[#This Row],[PROVEEDOR]],TERCEROS_INFO[[PROVEEDOR]:[CORREO]],5,FALSE)</f>
        <v>angela.navas@hyrdistribuciones.com;girlesa.ruiz@servipilas.com;joriescobar64@gmail.com</v>
      </c>
      <c r="G1022" s="111">
        <v>44558</v>
      </c>
      <c r="H1022" s="31" t="s">
        <v>18</v>
      </c>
      <c r="I1022" s="111">
        <v>44529</v>
      </c>
      <c r="J1022" s="48">
        <v>1046554</v>
      </c>
      <c r="K1022" s="26">
        <v>1627880</v>
      </c>
      <c r="L1022" s="26"/>
      <c r="M1022" s="27">
        <v>309297.2</v>
      </c>
      <c r="N1022" s="28"/>
      <c r="O1022" s="27">
        <v>0</v>
      </c>
      <c r="P1022" s="28">
        <v>2.5000000000000001E-2</v>
      </c>
      <c r="Q1022" s="27">
        <v>40697</v>
      </c>
      <c r="R1022" s="26">
        <v>1896480.2</v>
      </c>
      <c r="S1022" s="115">
        <f ca="1">IF(PROVEEDORES[[#This Row],[FECHA DE PAGO]]=0,TODAY()-PROVEEDORES[[#This Row],[FECHA DE FACTURACIÓN]]-PROVEEDORES[[#This Row],[PLAZO Días]],0)</f>
        <v>0</v>
      </c>
      <c r="T10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3" spans="1:20" ht="21.9" customHeight="1" x14ac:dyDescent="0.3">
      <c r="A1023" s="113" t="str">
        <f>+IF(PROVEEDORES[[#This Row],[FECHA DE PAGO]]=PROVEEDORES[[#This Row],[FECHA DE FACTURACIÓN]],"DE CONTADO","CRÉDITO")</f>
        <v>CRÉDITO</v>
      </c>
      <c r="B1023" s="51" t="str">
        <f>+IF((PROVEEDORES[[#This Row],[FECHA DE PAGO]]-PROVEEDORES[[#This Row],[FECHA DE FACTURACIÓN]])&gt;PROVEEDORES[[#This Row],[PLAZO Días]],"PAGO VENCIDO")</f>
        <v>PAGO VENCIDO</v>
      </c>
      <c r="C1023" s="25">
        <f>+VLOOKUP(PROVEEDORES[[#This Row],[PROVEEDOR]],TERCEROS_INFO[#All],2,FALSE)</f>
        <v>30</v>
      </c>
      <c r="D1023" s="30">
        <f>+SUMIFS(PROVEEDORES[Total],PROVEEDORES[PROVEEDOR],PROVEEDORES[[#This Row],[PROVEEDOR]],PROVEEDORES[FECHA DE PAGO],"")</f>
        <v>3320000</v>
      </c>
      <c r="E1023" s="30"/>
      <c r="F1023" s="73" t="str">
        <f>+VLOOKUP(PROVEEDORES[[#This Row],[PROVEEDOR]],TERCEROS_INFO[[PROVEEDOR]:[CORREO]],5,FALSE)</f>
        <v>Pygimportadora@gmail.com;girlesa.ruiz@servipilas.com;joriescobar64@gmail.com</v>
      </c>
      <c r="G1023" s="111">
        <v>44568</v>
      </c>
      <c r="H1023" s="31" t="s">
        <v>1068</v>
      </c>
      <c r="I1023" s="111">
        <v>44529</v>
      </c>
      <c r="J1023" s="48" t="s">
        <v>885</v>
      </c>
      <c r="K1023" s="26">
        <v>1678000</v>
      </c>
      <c r="L1023" s="26"/>
      <c r="M1023" s="27">
        <v>0</v>
      </c>
      <c r="N1023" s="28"/>
      <c r="O1023" s="27">
        <v>0</v>
      </c>
      <c r="P1023" s="28">
        <v>0</v>
      </c>
      <c r="Q1023" s="27">
        <v>0</v>
      </c>
      <c r="R1023" s="26">
        <v>1678000</v>
      </c>
      <c r="S1023" s="115">
        <f ca="1">IF(PROVEEDORES[[#This Row],[FECHA DE PAGO]]=0,TODAY()-PROVEEDORES[[#This Row],[FECHA DE FACTURACIÓN]]-PROVEEDORES[[#This Row],[PLAZO Días]],0)</f>
        <v>0</v>
      </c>
      <c r="T10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4" spans="1:20" ht="21.9" customHeight="1" x14ac:dyDescent="0.3">
      <c r="A1024" s="113" t="str">
        <f>+IF(PROVEEDORES[[#This Row],[FECHA DE PAGO]]=PROVEEDORES[[#This Row],[FECHA DE FACTURACIÓN]],"DE CONTADO","CRÉDITO")</f>
        <v>DE CONTADO</v>
      </c>
      <c r="B1024" s="51" t="b">
        <f>+IF((PROVEEDORES[[#This Row],[FECHA DE PAGO]]-PROVEEDORES[[#This Row],[FECHA DE FACTURACIÓN]])&gt;PROVEEDORES[[#This Row],[PLAZO Días]],"PAGO VENCIDO")</f>
        <v>0</v>
      </c>
      <c r="C1024" s="25">
        <f>+VLOOKUP(PROVEEDORES[[#This Row],[PROVEEDOR]],TERCEROS_INFO[#All],2,FALSE)</f>
        <v>30</v>
      </c>
      <c r="D1024" s="30">
        <f>+SUMIFS(PROVEEDORES[Total],PROVEEDORES[PROVEEDOR],PROVEEDORES[[#This Row],[PROVEEDOR]],PROVEEDORES[FECHA DE PAGO],"")</f>
        <v>0</v>
      </c>
      <c r="E1024" s="30"/>
      <c r="F1024" s="73" t="str">
        <f>+VLOOKUP(PROVEEDORES[[#This Row],[PROVEEDOR]],TERCEROS_INFO[[PROVEEDOR]:[CORREO]],5,FALSE)</f>
        <v/>
      </c>
      <c r="G1024" s="111">
        <v>44530</v>
      </c>
      <c r="H1024" s="31" t="s">
        <v>1016</v>
      </c>
      <c r="I1024" s="111">
        <v>44530</v>
      </c>
      <c r="J1024" s="48" t="s">
        <v>666</v>
      </c>
      <c r="K1024" s="26">
        <v>78000</v>
      </c>
      <c r="L1024" s="26"/>
      <c r="M1024" s="27">
        <v>0</v>
      </c>
      <c r="N1024" s="28"/>
      <c r="O1024" s="27">
        <v>0</v>
      </c>
      <c r="P1024" s="28">
        <v>0</v>
      </c>
      <c r="Q1024" s="27">
        <v>0</v>
      </c>
      <c r="R1024" s="26">
        <v>78000</v>
      </c>
      <c r="S1024" s="115">
        <f ca="1">IF(PROVEEDORES[[#This Row],[FECHA DE PAGO]]=0,TODAY()-PROVEEDORES[[#This Row],[FECHA DE FACTURACIÓN]]-PROVEEDORES[[#This Row],[PLAZO Días]],0)</f>
        <v>0</v>
      </c>
      <c r="T10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5" spans="1:20" ht="21.9" customHeight="1" x14ac:dyDescent="0.3">
      <c r="A1025" s="113" t="str">
        <f>+IF(PROVEEDORES[[#This Row],[FECHA DE PAGO]]=PROVEEDORES[[#This Row],[FECHA DE FACTURACIÓN]],"DE CONTADO","CRÉDITO")</f>
        <v>DE CONTADO</v>
      </c>
      <c r="B1025" s="51" t="b">
        <f>+IF((PROVEEDORES[[#This Row],[FECHA DE PAGO]]-PROVEEDORES[[#This Row],[FECHA DE FACTURACIÓN]])&gt;PROVEEDORES[[#This Row],[PLAZO Días]],"PAGO VENCIDO")</f>
        <v>0</v>
      </c>
      <c r="C1025" s="25">
        <f>+VLOOKUP(PROVEEDORES[[#This Row],[PROVEEDOR]],TERCEROS_INFO[#All],2,FALSE)</f>
        <v>30</v>
      </c>
      <c r="D1025" s="30">
        <f>+SUMIFS(PROVEEDORES[Total],PROVEEDORES[PROVEEDOR],PROVEEDORES[[#This Row],[PROVEEDOR]],PROVEEDORES[FECHA DE PAGO],"")</f>
        <v>0</v>
      </c>
      <c r="E1025" s="30"/>
      <c r="F1025" s="73" t="str">
        <f>+VLOOKUP(PROVEEDORES[[#This Row],[PROVEEDOR]],TERCEROS_INFO[[PROVEEDOR]:[CORREO]],5,FALSE)</f>
        <v/>
      </c>
      <c r="G1025" s="111">
        <v>44530</v>
      </c>
      <c r="H1025" s="31" t="s">
        <v>1016</v>
      </c>
      <c r="I1025" s="111">
        <v>44530</v>
      </c>
      <c r="J1025" s="48" t="s">
        <v>837</v>
      </c>
      <c r="K1025" s="26">
        <v>154000</v>
      </c>
      <c r="L1025" s="26"/>
      <c r="M1025" s="27">
        <v>0</v>
      </c>
      <c r="N1025" s="28"/>
      <c r="O1025" s="27">
        <v>0</v>
      </c>
      <c r="P1025" s="28">
        <v>0</v>
      </c>
      <c r="Q1025" s="27">
        <v>0</v>
      </c>
      <c r="R1025" s="26">
        <v>154000</v>
      </c>
      <c r="S1025" s="115">
        <f ca="1">IF(PROVEEDORES[[#This Row],[FECHA DE PAGO]]=0,TODAY()-PROVEEDORES[[#This Row],[FECHA DE FACTURACIÓN]]-PROVEEDORES[[#This Row],[PLAZO Días]],0)</f>
        <v>0</v>
      </c>
      <c r="T102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6" spans="1:20" ht="21.9" customHeight="1" x14ac:dyDescent="0.3">
      <c r="A1026" s="113" t="str">
        <f>+IF(PROVEEDORES[[#This Row],[FECHA DE PAGO]]=PROVEEDORES[[#This Row],[FECHA DE FACTURACIÓN]],"DE CONTADO","CRÉDITO")</f>
        <v>DE CONTADO</v>
      </c>
      <c r="B1026" s="51" t="b">
        <f>+IF((PROVEEDORES[[#This Row],[FECHA DE PAGO]]-PROVEEDORES[[#This Row],[FECHA DE FACTURACIÓN]])&gt;PROVEEDORES[[#This Row],[PLAZO Días]],"PAGO VENCIDO")</f>
        <v>0</v>
      </c>
      <c r="C1026" s="25">
        <f>+VLOOKUP(PROVEEDORES[[#This Row],[PROVEEDOR]],TERCEROS_INFO[#All],2,FALSE)</f>
        <v>30</v>
      </c>
      <c r="D1026" s="30">
        <f>+SUMIFS(PROVEEDORES[Total],PROVEEDORES[PROVEEDOR],PROVEEDORES[[#This Row],[PROVEEDOR]],PROVEEDORES[FECHA DE PAGO],"")</f>
        <v>0</v>
      </c>
      <c r="E1026" s="30"/>
      <c r="F1026" s="73" t="str">
        <f>+VLOOKUP(PROVEEDORES[[#This Row],[PROVEEDOR]],TERCEROS_INFO[[PROVEEDOR]:[CORREO]],5,FALSE)</f>
        <v/>
      </c>
      <c r="G1026" s="111">
        <v>44530</v>
      </c>
      <c r="H1026" s="31" t="s">
        <v>1016</v>
      </c>
      <c r="I1026" s="111">
        <v>44530</v>
      </c>
      <c r="J1026" s="48" t="s">
        <v>887</v>
      </c>
      <c r="K1026" s="26">
        <v>385000</v>
      </c>
      <c r="L1026" s="26"/>
      <c r="M1026" s="27">
        <v>0</v>
      </c>
      <c r="N1026" s="28"/>
      <c r="O1026" s="27">
        <v>0</v>
      </c>
      <c r="P1026" s="28">
        <v>0</v>
      </c>
      <c r="Q1026" s="27">
        <v>0</v>
      </c>
      <c r="R1026" s="26">
        <v>385000</v>
      </c>
      <c r="S1026" s="115">
        <f ca="1">IF(PROVEEDORES[[#This Row],[FECHA DE PAGO]]=0,TODAY()-PROVEEDORES[[#This Row],[FECHA DE FACTURACIÓN]]-PROVEEDORES[[#This Row],[PLAZO Días]],0)</f>
        <v>0</v>
      </c>
      <c r="T102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7" spans="1:20" ht="21.9" customHeight="1" x14ac:dyDescent="0.3">
      <c r="A1027" s="113" t="str">
        <f>+IF(PROVEEDORES[[#This Row],[FECHA DE PAGO]]=PROVEEDORES[[#This Row],[FECHA DE FACTURACIÓN]],"DE CONTADO","CRÉDITO")</f>
        <v>CRÉDITO</v>
      </c>
      <c r="B1027" s="51" t="b">
        <f>+IF((PROVEEDORES[[#This Row],[FECHA DE PAGO]]-PROVEEDORES[[#This Row],[FECHA DE FACTURACIÓN]])&gt;PROVEEDORES[[#This Row],[PLAZO Días]],"PAGO VENCIDO")</f>
        <v>0</v>
      </c>
      <c r="C1027" s="25">
        <f>+VLOOKUP(PROVEEDORES[[#This Row],[PROVEEDOR]],TERCEROS_INFO[#All],2,FALSE)</f>
        <v>30</v>
      </c>
      <c r="D1027" s="30">
        <f>+SUMIFS(PROVEEDORES[Total],PROVEEDORES[PROVEEDOR],PROVEEDORES[[#This Row],[PROVEEDOR]],PROVEEDORES[FECHA DE PAGO],"")</f>
        <v>2324514.0150000001</v>
      </c>
      <c r="E1027" s="30"/>
      <c r="F1027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1027" s="111">
        <v>44558</v>
      </c>
      <c r="H1027" s="31" t="s">
        <v>24</v>
      </c>
      <c r="I1027" s="111">
        <v>44530</v>
      </c>
      <c r="J1027" s="48" t="s">
        <v>640</v>
      </c>
      <c r="K1027" s="26">
        <v>710400</v>
      </c>
      <c r="L1027" s="26"/>
      <c r="M1027" s="27">
        <v>134976</v>
      </c>
      <c r="N1027" s="28"/>
      <c r="O1027" s="27">
        <v>0</v>
      </c>
      <c r="P1027" s="28">
        <v>0</v>
      </c>
      <c r="Q1027" s="27">
        <v>0</v>
      </c>
      <c r="R1027" s="26">
        <v>845376</v>
      </c>
      <c r="S1027" s="115">
        <f ca="1">IF(PROVEEDORES[[#This Row],[FECHA DE PAGO]]=0,TODAY()-PROVEEDORES[[#This Row],[FECHA DE FACTURACIÓN]]-PROVEEDORES[[#This Row],[PLAZO Días]],0)</f>
        <v>0</v>
      </c>
      <c r="T10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8" spans="1:20" ht="21.9" customHeight="1" x14ac:dyDescent="0.3">
      <c r="A1028" s="113" t="str">
        <f>+IF(PROVEEDORES[[#This Row],[FECHA DE PAGO]]=PROVEEDORES[[#This Row],[FECHA DE FACTURACIÓN]],"DE CONTADO","CRÉDITO")</f>
        <v>CRÉDITO</v>
      </c>
      <c r="B1028" s="51" t="b">
        <f>+IF((PROVEEDORES[[#This Row],[FECHA DE PAGO]]-PROVEEDORES[[#This Row],[FECHA DE FACTURACIÓN]])&gt;PROVEEDORES[[#This Row],[PLAZO Días]],"PAGO VENCIDO")</f>
        <v>0</v>
      </c>
      <c r="C1028" s="25">
        <f>+VLOOKUP(PROVEEDORES[[#This Row],[PROVEEDOR]],TERCEROS_INFO[#All],2,FALSE)</f>
        <v>30</v>
      </c>
      <c r="D1028" s="30">
        <f>+SUMIFS(PROVEEDORES[Total],PROVEEDORES[PROVEEDOR],PROVEEDORES[[#This Row],[PROVEEDOR]],PROVEEDORES[FECHA DE PAGO],"")</f>
        <v>4078650.6</v>
      </c>
      <c r="E1028" s="30"/>
      <c r="F1028" s="73" t="str">
        <f>+VLOOKUP(PROVEEDORES[[#This Row],[PROVEEDOR]],TERCEROS_INFO[[PROVEEDOR]:[CORREO]],5,FALSE)</f>
        <v>financiera@nalpicentral.com;girlesa.ruiz@servipilas.com;joriescobar64@gmail.com</v>
      </c>
      <c r="G1028" s="111">
        <v>44558</v>
      </c>
      <c r="H1028" s="31" t="s">
        <v>1095</v>
      </c>
      <c r="I1028" s="111">
        <v>44530</v>
      </c>
      <c r="J1028" s="48">
        <v>23709</v>
      </c>
      <c r="K1028" s="26">
        <v>736000</v>
      </c>
      <c r="L1028" s="26"/>
      <c r="M1028" s="27">
        <v>139840</v>
      </c>
      <c r="N1028" s="28"/>
      <c r="O1028" s="27">
        <v>0</v>
      </c>
      <c r="P1028" s="28">
        <v>0</v>
      </c>
      <c r="Q1028" s="27">
        <v>0</v>
      </c>
      <c r="R1028" s="26">
        <v>875840</v>
      </c>
      <c r="S1028" s="115">
        <f ca="1">IF(PROVEEDORES[[#This Row],[FECHA DE PAGO]]=0,TODAY()-PROVEEDORES[[#This Row],[FECHA DE FACTURACIÓN]]-PROVEEDORES[[#This Row],[PLAZO Días]],0)</f>
        <v>0</v>
      </c>
      <c r="T102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29" spans="1:20" ht="21.9" customHeight="1" x14ac:dyDescent="0.3">
      <c r="A1029" s="113" t="str">
        <f>+IF(PROVEEDORES[[#This Row],[FECHA DE PAGO]]=PROVEEDORES[[#This Row],[FECHA DE FACTURACIÓN]],"DE CONTADO","CRÉDITO")</f>
        <v>DE CONTADO</v>
      </c>
      <c r="B1029" s="51" t="b">
        <f>+IF((PROVEEDORES[[#This Row],[FECHA DE PAGO]]-PROVEEDORES[[#This Row],[FECHA DE FACTURACIÓN]])&gt;PROVEEDORES[[#This Row],[PLAZO Días]],"PAGO VENCIDO")</f>
        <v>0</v>
      </c>
      <c r="C1029" s="25">
        <f>+VLOOKUP(PROVEEDORES[[#This Row],[PROVEEDOR]],TERCEROS_INFO[#All],2,FALSE)</f>
        <v>30</v>
      </c>
      <c r="D1029" s="30">
        <f>+SUMIFS(PROVEEDORES[Total],PROVEEDORES[PROVEEDOR],PROVEEDORES[[#This Row],[PROVEEDOR]],PROVEEDORES[FECHA DE PAGO],"")</f>
        <v>0</v>
      </c>
      <c r="E1029" s="30"/>
      <c r="F1029" s="73" t="str">
        <f>+VLOOKUP(PROVEEDORES[[#This Row],[PROVEEDOR]],TERCEROS_INFO[[PROVEEDOR]:[CORREO]],5,FALSE)</f>
        <v/>
      </c>
      <c r="G1029" s="111">
        <v>44530</v>
      </c>
      <c r="H1029" s="31" t="s">
        <v>1016</v>
      </c>
      <c r="I1029" s="111">
        <v>44530</v>
      </c>
      <c r="J1029" s="48" t="s">
        <v>76</v>
      </c>
      <c r="K1029" s="26">
        <v>739000</v>
      </c>
      <c r="L1029" s="26"/>
      <c r="M1029" s="27">
        <v>0</v>
      </c>
      <c r="N1029" s="28"/>
      <c r="O1029" s="27">
        <v>0</v>
      </c>
      <c r="P1029" s="28">
        <v>0</v>
      </c>
      <c r="Q1029" s="27">
        <v>0</v>
      </c>
      <c r="R1029" s="26">
        <v>739000</v>
      </c>
      <c r="S1029" s="115">
        <f ca="1">IF(PROVEEDORES[[#This Row],[FECHA DE PAGO]]=0,TODAY()-PROVEEDORES[[#This Row],[FECHA DE FACTURACIÓN]]-PROVEEDORES[[#This Row],[PLAZO Días]],0)</f>
        <v>0</v>
      </c>
      <c r="T102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0" spans="1:20" ht="21.9" customHeight="1" x14ac:dyDescent="0.3">
      <c r="A1030" s="113" t="str">
        <f>+IF(PROVEEDORES[[#This Row],[FECHA DE PAGO]]=PROVEEDORES[[#This Row],[FECHA DE FACTURACIÓN]],"DE CONTADO","CRÉDITO")</f>
        <v>DE CONTADO</v>
      </c>
      <c r="B1030" s="51" t="b">
        <f>+IF((PROVEEDORES[[#This Row],[FECHA DE PAGO]]-PROVEEDORES[[#This Row],[FECHA DE FACTURACIÓN]])&gt;PROVEEDORES[[#This Row],[PLAZO Días]],"PAGO VENCIDO")</f>
        <v>0</v>
      </c>
      <c r="C1030" s="25">
        <f>+VLOOKUP(PROVEEDORES[[#This Row],[PROVEEDOR]],TERCEROS_INFO[#All],2,FALSE)</f>
        <v>30</v>
      </c>
      <c r="D1030" s="30">
        <f>+SUMIFS(PROVEEDORES[Total],PROVEEDORES[PROVEEDOR],PROVEEDORES[[#This Row],[PROVEEDOR]],PROVEEDORES[FECHA DE PAGO],"")</f>
        <v>0</v>
      </c>
      <c r="E1030" s="30"/>
      <c r="F1030" s="73" t="str">
        <f>+VLOOKUP(PROVEEDORES[[#This Row],[PROVEEDOR]],TERCEROS_INFO[[PROVEEDOR]:[CORREO]],5,FALSE)</f>
        <v/>
      </c>
      <c r="G1030" s="111">
        <v>44530</v>
      </c>
      <c r="H1030" s="31" t="s">
        <v>1016</v>
      </c>
      <c r="I1030" s="111">
        <v>44530</v>
      </c>
      <c r="J1030" s="48" t="s">
        <v>667</v>
      </c>
      <c r="K1030" s="26">
        <v>755000</v>
      </c>
      <c r="L1030" s="26"/>
      <c r="M1030" s="27">
        <v>0</v>
      </c>
      <c r="N1030" s="28"/>
      <c r="O1030" s="27">
        <v>0</v>
      </c>
      <c r="P1030" s="28">
        <v>0</v>
      </c>
      <c r="Q1030" s="27">
        <v>0</v>
      </c>
      <c r="R1030" s="26">
        <v>755000</v>
      </c>
      <c r="S1030" s="115">
        <f ca="1">IF(PROVEEDORES[[#This Row],[FECHA DE PAGO]]=0,TODAY()-PROVEEDORES[[#This Row],[FECHA DE FACTURACIÓN]]-PROVEEDORES[[#This Row],[PLAZO Días]],0)</f>
        <v>0</v>
      </c>
      <c r="T103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1" spans="1:20" ht="21.9" customHeight="1" x14ac:dyDescent="0.3">
      <c r="A1031" s="113" t="str">
        <f>+IF(PROVEEDORES[[#This Row],[FECHA DE PAGO]]=PROVEEDORES[[#This Row],[FECHA DE FACTURACIÓN]],"DE CONTADO","CRÉDITO")</f>
        <v>CRÉDITO</v>
      </c>
      <c r="B1031" s="51" t="b">
        <f>+IF((PROVEEDORES[[#This Row],[FECHA DE PAGO]]-PROVEEDORES[[#This Row],[FECHA DE FACTURACIÓN]])&gt;PROVEEDORES[[#This Row],[PLAZO Días]],"PAGO VENCIDO")</f>
        <v>0</v>
      </c>
      <c r="C1031" s="25">
        <f>+VLOOKUP(PROVEEDORES[[#This Row],[PROVEEDOR]],TERCEROS_INFO[#All],2,FALSE)</f>
        <v>30</v>
      </c>
      <c r="D1031" s="30">
        <f>+SUMIFS(PROVEEDORES[Total],PROVEEDORES[PROVEEDOR],PROVEEDORES[[#This Row],[PROVEEDOR]],PROVEEDORES[FECHA DE PAGO],"")</f>
        <v>3355018.0749999997</v>
      </c>
      <c r="E1031" s="30"/>
      <c r="F1031" s="73" t="str">
        <f>+VLOOKUP(PROVEEDORES[[#This Row],[PROVEEDOR]],TERCEROS_INFO[[PROVEEDOR]:[CORREO]],5,FALSE)</f>
        <v>yermingg@hotmail.com;girlesa.ruiz@servipilas.com;joriescobar64@gmail.com</v>
      </c>
      <c r="G1031" s="111">
        <v>44552</v>
      </c>
      <c r="H1031" s="31" t="s">
        <v>224</v>
      </c>
      <c r="I1031" s="111">
        <v>44530</v>
      </c>
      <c r="J1031" s="48">
        <v>437</v>
      </c>
      <c r="K1031" s="26">
        <v>1452941</v>
      </c>
      <c r="L1031" s="26"/>
      <c r="M1031" s="27">
        <v>276058.78999999998</v>
      </c>
      <c r="N1031" s="28"/>
      <c r="O1031" s="27">
        <v>0</v>
      </c>
      <c r="P1031" s="28">
        <v>2.5000000000000001E-2</v>
      </c>
      <c r="Q1031" s="27">
        <v>36323.525000000001</v>
      </c>
      <c r="R1031" s="26">
        <v>1692676.2650000001</v>
      </c>
      <c r="S1031" s="115">
        <f ca="1">IF(PROVEEDORES[[#This Row],[FECHA DE PAGO]]=0,TODAY()-PROVEEDORES[[#This Row],[FECHA DE FACTURACIÓN]]-PROVEEDORES[[#This Row],[PLAZO Días]],0)</f>
        <v>0</v>
      </c>
      <c r="T10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2" spans="1:20" ht="21.9" customHeight="1" x14ac:dyDescent="0.3">
      <c r="A1032" s="113" t="str">
        <f>+IF(PROVEEDORES[[#This Row],[FECHA DE PAGO]]=PROVEEDORES[[#This Row],[FECHA DE FACTURACIÓN]],"DE CONTADO","CRÉDITO")</f>
        <v>DE CONTADO</v>
      </c>
      <c r="B1032" s="51" t="b">
        <f>+IF((PROVEEDORES[[#This Row],[FECHA DE PAGO]]-PROVEEDORES[[#This Row],[FECHA DE FACTURACIÓN]])&gt;PROVEEDORES[[#This Row],[PLAZO Días]],"PAGO VENCIDO")</f>
        <v>0</v>
      </c>
      <c r="C1032" s="25">
        <f>+VLOOKUP(PROVEEDORES[[#This Row],[PROVEEDOR]],TERCEROS_INFO[#All],2,FALSE)</f>
        <v>30</v>
      </c>
      <c r="D1032" s="30">
        <f>+SUMIFS(PROVEEDORES[Total],PROVEEDORES[PROVEEDOR],PROVEEDORES[[#This Row],[PROVEEDOR]],PROVEEDORES[FECHA DE PAGO],"")</f>
        <v>0</v>
      </c>
      <c r="E1032" s="30"/>
      <c r="F1032" s="73" t="str">
        <f>+VLOOKUP(PROVEEDORES[[#This Row],[PROVEEDOR]],TERCEROS_INFO[[PROVEEDOR]:[CORREO]],5,FALSE)</f>
        <v/>
      </c>
      <c r="G1032" s="111">
        <v>44530</v>
      </c>
      <c r="H1032" s="31" t="s">
        <v>1016</v>
      </c>
      <c r="I1032" s="111">
        <v>44530</v>
      </c>
      <c r="J1032" s="48" t="s">
        <v>668</v>
      </c>
      <c r="K1032" s="26">
        <v>3153500</v>
      </c>
      <c r="L1032" s="26"/>
      <c r="M1032" s="27">
        <v>0</v>
      </c>
      <c r="N1032" s="28"/>
      <c r="O1032" s="27">
        <v>0</v>
      </c>
      <c r="P1032" s="28">
        <v>0</v>
      </c>
      <c r="Q1032" s="27">
        <v>0</v>
      </c>
      <c r="R1032" s="26">
        <v>3153500</v>
      </c>
      <c r="S1032" s="115">
        <f ca="1">IF(PROVEEDORES[[#This Row],[FECHA DE PAGO]]=0,TODAY()-PROVEEDORES[[#This Row],[FECHA DE FACTURACIÓN]]-PROVEEDORES[[#This Row],[PLAZO Días]],0)</f>
        <v>0</v>
      </c>
      <c r="T10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3" spans="1:20" ht="21.9" customHeight="1" x14ac:dyDescent="0.3">
      <c r="A1033" s="113" t="str">
        <f>+IF(PROVEEDORES[[#This Row],[FECHA DE PAGO]]=PROVEEDORES[[#This Row],[FECHA DE FACTURACIÓN]],"DE CONTADO","CRÉDITO")</f>
        <v>CRÉDITO</v>
      </c>
      <c r="B1033" s="51" t="b">
        <f>+IF((PROVEEDORES[[#This Row],[FECHA DE PAGO]]-PROVEEDORES[[#This Row],[FECHA DE FACTURACIÓN]])&gt;PROVEEDORES[[#This Row],[PLAZO Días]],"PAGO VENCIDO")</f>
        <v>0</v>
      </c>
      <c r="C1033" s="25">
        <f>+VLOOKUP(PROVEEDORES[[#This Row],[PROVEEDOR]],TERCEROS_INFO[#All],2,FALSE)</f>
        <v>30</v>
      </c>
      <c r="D1033" s="30">
        <f>+SUMIFS(PROVEEDORES[Total],PROVEEDORES[PROVEEDOR],PROVEEDORES[[#This Row],[PROVEEDOR]],PROVEEDORES[FECHA DE PAGO],"")</f>
        <v>0</v>
      </c>
      <c r="E1033" s="30"/>
      <c r="F1033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1033" s="111">
        <v>44558</v>
      </c>
      <c r="H1033" s="31" t="s">
        <v>572</v>
      </c>
      <c r="I1033" s="111">
        <v>44530</v>
      </c>
      <c r="J1033" s="48" t="s">
        <v>639</v>
      </c>
      <c r="K1033" s="26">
        <v>8804052</v>
      </c>
      <c r="L1033" s="26"/>
      <c r="M1033" s="27">
        <v>1672769.8800000001</v>
      </c>
      <c r="N1033" s="28"/>
      <c r="O1033" s="27">
        <v>0</v>
      </c>
      <c r="P1033" s="28">
        <v>0</v>
      </c>
      <c r="Q1033" s="27">
        <v>0</v>
      </c>
      <c r="R1033" s="26">
        <v>10476821.880000001</v>
      </c>
      <c r="S1033" s="115">
        <f ca="1">IF(PROVEEDORES[[#This Row],[FECHA DE PAGO]]=0,TODAY()-PROVEEDORES[[#This Row],[FECHA DE FACTURACIÓN]]-PROVEEDORES[[#This Row],[PLAZO Días]],0)</f>
        <v>0</v>
      </c>
      <c r="T10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4" spans="1:20" ht="21.9" customHeight="1" x14ac:dyDescent="0.3">
      <c r="A1034" s="113" t="str">
        <f>+IF(PROVEEDORES[[#This Row],[FECHA DE PAGO]]=PROVEEDORES[[#This Row],[FECHA DE FACTURACIÓN]],"DE CONTADO","CRÉDITO")</f>
        <v>CRÉDITO</v>
      </c>
      <c r="B1034" s="51" t="b">
        <f>+IF((PROVEEDORES[[#This Row],[FECHA DE PAGO]]-PROVEEDORES[[#This Row],[FECHA DE FACTURACIÓN]])&gt;PROVEEDORES[[#This Row],[PLAZO Días]],"PAGO VENCIDO")</f>
        <v>0</v>
      </c>
      <c r="C1034" s="25">
        <f>+VLOOKUP(PROVEEDORES[[#This Row],[PROVEEDOR]],TERCEROS_INFO[#All],2,FALSE)</f>
        <v>13</v>
      </c>
      <c r="D1034" s="30">
        <f>+SUMIFS(PROVEEDORES[Total],PROVEEDORES[PROVEEDOR],PROVEEDORES[[#This Row],[PROVEEDOR]],PROVEEDORES[FECHA DE PAGO],"")</f>
        <v>0</v>
      </c>
      <c r="E1034" s="30"/>
      <c r="F1034" s="73">
        <f>+VLOOKUP(PROVEEDORES[[#This Row],[PROVEEDOR]],TERCEROS_INFO[[PROVEEDOR]:[CORREO]],5,FALSE)</f>
        <v>0</v>
      </c>
      <c r="G1034" s="111">
        <v>44543</v>
      </c>
      <c r="H1034" s="31" t="s">
        <v>329</v>
      </c>
      <c r="I1034" s="111">
        <v>44531</v>
      </c>
      <c r="J1034" s="48" t="s">
        <v>331</v>
      </c>
      <c r="K1034" s="26">
        <v>293847</v>
      </c>
      <c r="L1034" s="26"/>
      <c r="M1034" s="27">
        <v>0</v>
      </c>
      <c r="N1034" s="28"/>
      <c r="O1034" s="27">
        <v>0</v>
      </c>
      <c r="P1034" s="28">
        <v>0</v>
      </c>
      <c r="Q1034" s="27">
        <v>0</v>
      </c>
      <c r="R1034" s="26">
        <v>293847</v>
      </c>
      <c r="S1034" s="115">
        <f ca="1">IF(PROVEEDORES[[#This Row],[FECHA DE PAGO]]=0,TODAY()-PROVEEDORES[[#This Row],[FECHA DE FACTURACIÓN]]-PROVEEDORES[[#This Row],[PLAZO Días]],0)</f>
        <v>0</v>
      </c>
      <c r="T10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5" spans="1:20" ht="21.9" customHeight="1" x14ac:dyDescent="0.3">
      <c r="A1035" s="113" t="str">
        <f>+IF(PROVEEDORES[[#This Row],[FECHA DE PAGO]]=PROVEEDORES[[#This Row],[FECHA DE FACTURACIÓN]],"DE CONTADO","CRÉDITO")</f>
        <v>CRÉDITO</v>
      </c>
      <c r="B1035" s="51" t="b">
        <f>+IF((PROVEEDORES[[#This Row],[FECHA DE PAGO]]-PROVEEDORES[[#This Row],[FECHA DE FACTURACIÓN]])&gt;PROVEEDORES[[#This Row],[PLAZO Días]],"PAGO VENCIDO")</f>
        <v>0</v>
      </c>
      <c r="C1035" s="25">
        <f>+VLOOKUP(PROVEEDORES[[#This Row],[PROVEEDOR]],TERCEROS_INFO[#All],2,FALSE)</f>
        <v>30</v>
      </c>
      <c r="D1035" s="30">
        <f>+SUMIFS(PROVEEDORES[Total],PROVEEDORES[PROVEEDOR],PROVEEDORES[[#This Row],[PROVEEDOR]],PROVEEDORES[FECHA DE PAGO],"")</f>
        <v>0</v>
      </c>
      <c r="E1035" s="30"/>
      <c r="F1035" s="73" t="str">
        <f>+VLOOKUP(PROVEEDORES[[#This Row],[PROVEEDOR]],TERCEROS_INFO[[PROVEEDOR]:[CORREO]],5,FALSE)</f>
        <v>facturacion@losmolinos.com.co</v>
      </c>
      <c r="G1035" s="111">
        <v>44543</v>
      </c>
      <c r="H1035" s="31" t="s">
        <v>345</v>
      </c>
      <c r="I1035" s="111">
        <v>44531</v>
      </c>
      <c r="J1035" s="48">
        <v>65384</v>
      </c>
      <c r="K1035" s="26">
        <v>302624.74</v>
      </c>
      <c r="L1035" s="26"/>
      <c r="M1035" s="27">
        <v>0</v>
      </c>
      <c r="N1035" s="28"/>
      <c r="O1035" s="27">
        <v>49511.08</v>
      </c>
      <c r="P1035" s="28">
        <v>0</v>
      </c>
      <c r="Q1035" s="27">
        <v>0</v>
      </c>
      <c r="R1035" s="26">
        <v>253113.65999999997</v>
      </c>
      <c r="S1035" s="115">
        <f ca="1">IF(PROVEEDORES[[#This Row],[FECHA DE PAGO]]=0,TODAY()-PROVEEDORES[[#This Row],[FECHA DE FACTURACIÓN]]-PROVEEDORES[[#This Row],[PLAZO Días]],0)</f>
        <v>0</v>
      </c>
      <c r="T10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6" spans="1:20" ht="21.9" customHeight="1" x14ac:dyDescent="0.3">
      <c r="A1036" s="113" t="str">
        <f>+IF(PROVEEDORES[[#This Row],[FECHA DE PAGO]]=PROVEEDORES[[#This Row],[FECHA DE FACTURACIÓN]],"DE CONTADO","CRÉDITO")</f>
        <v>CRÉDITO</v>
      </c>
      <c r="B1036" s="51" t="str">
        <f>+IF((PROVEEDORES[[#This Row],[FECHA DE PAGO]]-PROVEEDORES[[#This Row],[FECHA DE FACTURACIÓN]])&gt;PROVEEDORES[[#This Row],[PLAZO Días]],"PAGO VENCIDO")</f>
        <v>PAGO VENCIDO</v>
      </c>
      <c r="C1036" s="25">
        <f>+VLOOKUP(PROVEEDORES[[#This Row],[PROVEEDOR]],TERCEROS_INFO[#All],2,FALSE)</f>
        <v>30</v>
      </c>
      <c r="D1036" s="30">
        <f>+SUMIFS(PROVEEDORES[Total],PROVEEDORES[PROVEEDOR],PROVEEDORES[[#This Row],[PROVEEDOR]],PROVEEDORES[FECHA DE PAGO],"")</f>
        <v>0</v>
      </c>
      <c r="E1036" s="30"/>
      <c r="F1036" s="73" t="str">
        <f>+VLOOKUP(PROVEEDORES[[#This Row],[PROVEEDOR]],TERCEROS_INFO[[PROVEEDOR]:[CORREO]],5,FALSE)</f>
        <v/>
      </c>
      <c r="G1036" s="111">
        <v>44565</v>
      </c>
      <c r="H1036" s="31" t="s">
        <v>1081</v>
      </c>
      <c r="I1036" s="111">
        <v>44531</v>
      </c>
      <c r="J1036" s="48" t="s">
        <v>919</v>
      </c>
      <c r="K1036" s="26">
        <v>304800</v>
      </c>
      <c r="L1036" s="26"/>
      <c r="M1036" s="27">
        <v>0</v>
      </c>
      <c r="N1036" s="28"/>
      <c r="O1036" s="27">
        <v>0</v>
      </c>
      <c r="P1036" s="28">
        <v>0</v>
      </c>
      <c r="Q1036" s="27">
        <v>0</v>
      </c>
      <c r="R1036" s="26">
        <v>304800</v>
      </c>
      <c r="S1036" s="115">
        <f ca="1">IF(PROVEEDORES[[#This Row],[FECHA DE PAGO]]=0,TODAY()-PROVEEDORES[[#This Row],[FECHA DE FACTURACIÓN]]-PROVEEDORES[[#This Row],[PLAZO Días]],0)</f>
        <v>0</v>
      </c>
      <c r="T10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7" spans="1:20" ht="21.9" customHeight="1" x14ac:dyDescent="0.3">
      <c r="A1037" s="113" t="str">
        <f>+IF(PROVEEDORES[[#This Row],[FECHA DE PAGO]]=PROVEEDORES[[#This Row],[FECHA DE FACTURACIÓN]],"DE CONTADO","CRÉDITO")</f>
        <v>CRÉDITO</v>
      </c>
      <c r="B1037" s="51" t="str">
        <f>+IF((PROVEEDORES[[#This Row],[FECHA DE PAGO]]-PROVEEDORES[[#This Row],[FECHA DE FACTURACIÓN]])&gt;PROVEEDORES[[#This Row],[PLAZO Días]],"PAGO VENCIDO")</f>
        <v>PAGO VENCIDO</v>
      </c>
      <c r="C1037" s="25">
        <f>+VLOOKUP(PROVEEDORES[[#This Row],[PROVEEDOR]],TERCEROS_INFO[#All],2,FALSE)</f>
        <v>20</v>
      </c>
      <c r="D1037" s="30">
        <f>+SUMIFS(PROVEEDORES[Total],PROVEEDORES[PROVEEDOR],PROVEEDORES[[#This Row],[PROVEEDOR]],PROVEEDORES[FECHA DE PAGO],"")</f>
        <v>0</v>
      </c>
      <c r="E1037" s="30"/>
      <c r="F1037" s="73" t="str">
        <f>+VLOOKUP(PROVEEDORES[[#This Row],[PROVEEDOR]],TERCEROS_INFO[[PROVEEDOR]:[CORREO]],5,FALSE)</f>
        <v>pse</v>
      </c>
      <c r="G1037" s="111">
        <v>44554</v>
      </c>
      <c r="H1037" s="31" t="s">
        <v>373</v>
      </c>
      <c r="I1037" s="111">
        <v>44531</v>
      </c>
      <c r="J1037" s="48"/>
      <c r="K1037" s="26">
        <v>326243</v>
      </c>
      <c r="L1037" s="26"/>
      <c r="M1037" s="27">
        <v>0</v>
      </c>
      <c r="N1037" s="28"/>
      <c r="O1037" s="27">
        <v>0</v>
      </c>
      <c r="P1037" s="28">
        <v>0</v>
      </c>
      <c r="Q1037" s="27">
        <v>0</v>
      </c>
      <c r="R1037" s="26">
        <v>326243</v>
      </c>
      <c r="S1037" s="115">
        <f ca="1">IF(PROVEEDORES[[#This Row],[FECHA DE PAGO]]=0,TODAY()-PROVEEDORES[[#This Row],[FECHA DE FACTURACIÓN]]-PROVEEDORES[[#This Row],[PLAZO Días]],0)</f>
        <v>0</v>
      </c>
      <c r="T10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8" spans="1:20" ht="21.9" customHeight="1" x14ac:dyDescent="0.3">
      <c r="A1038" s="113" t="str">
        <f>+IF(PROVEEDORES[[#This Row],[FECHA DE PAGO]]=PROVEEDORES[[#This Row],[FECHA DE FACTURACIÓN]],"DE CONTADO","CRÉDITO")</f>
        <v>DE CONTADO</v>
      </c>
      <c r="B1038" s="51" t="b">
        <f>+IF((PROVEEDORES[[#This Row],[FECHA DE PAGO]]-PROVEEDORES[[#This Row],[FECHA DE FACTURACIÓN]])&gt;PROVEEDORES[[#This Row],[PLAZO Días]],"PAGO VENCIDO")</f>
        <v>0</v>
      </c>
      <c r="C1038" s="25">
        <f>+VLOOKUP(PROVEEDORES[[#This Row],[PROVEEDOR]],TERCEROS_INFO[#All],2,FALSE)</f>
        <v>90</v>
      </c>
      <c r="D1038" s="30">
        <f>+SUMIFS(PROVEEDORES[Total],PROVEEDORES[PROVEEDOR],PROVEEDORES[[#This Row],[PROVEEDOR]],PROVEEDORES[FECHA DE PAGO],"")</f>
        <v>39058718</v>
      </c>
      <c r="E1038" s="30"/>
      <c r="F1038" s="73" t="str">
        <f>+VLOOKUP(PROVEEDORES[[#This Row],[PROVEEDOR]],TERCEROS_INFO[[PROVEEDOR]:[CORREO]],5,FALSE)</f>
        <v>mcastillo@kenextrading.com;agarcia@kenextrading.com;girlesa.ruiz@servipilas.com;joriescobar64@gmail.com</v>
      </c>
      <c r="G1038" s="111">
        <v>44531</v>
      </c>
      <c r="H1038" s="31" t="s">
        <v>31</v>
      </c>
      <c r="I1038" s="111">
        <v>44531</v>
      </c>
      <c r="J1038" s="48">
        <v>55161</v>
      </c>
      <c r="K1038" s="26">
        <v>536088</v>
      </c>
      <c r="L1038" s="26"/>
      <c r="M1038" s="27">
        <v>0</v>
      </c>
      <c r="N1038" s="28"/>
      <c r="O1038" s="27">
        <v>0</v>
      </c>
      <c r="P1038" s="28">
        <v>0</v>
      </c>
      <c r="Q1038" s="27">
        <v>0</v>
      </c>
      <c r="R1038" s="26">
        <v>536088</v>
      </c>
      <c r="S1038" s="115">
        <f ca="1">IF(PROVEEDORES[[#This Row],[FECHA DE PAGO]]=0,TODAY()-PROVEEDORES[[#This Row],[FECHA DE FACTURACIÓN]]-PROVEEDORES[[#This Row],[PLAZO Días]],0)</f>
        <v>0</v>
      </c>
      <c r="T103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39" spans="1:20" ht="21.9" customHeight="1" x14ac:dyDescent="0.3">
      <c r="A1039" s="113" t="str">
        <f>+IF(PROVEEDORES[[#This Row],[FECHA DE PAGO]]=PROVEEDORES[[#This Row],[FECHA DE FACTURACIÓN]],"DE CONTADO","CRÉDITO")</f>
        <v>CRÉDITO</v>
      </c>
      <c r="B1039" s="51" t="b">
        <f>+IF((PROVEEDORES[[#This Row],[FECHA DE PAGO]]-PROVEEDORES[[#This Row],[FECHA DE FACTURACIÓN]])&gt;PROVEEDORES[[#This Row],[PLAZO Días]],"PAGO VENCIDO")</f>
        <v>0</v>
      </c>
      <c r="C1039" s="25">
        <f>+VLOOKUP(PROVEEDORES[[#This Row],[PROVEEDOR]],TERCEROS_INFO[#All],2,FALSE)</f>
        <v>30</v>
      </c>
      <c r="D1039" s="30">
        <f>+SUMIFS(PROVEEDORES[Total],PROVEEDORES[PROVEEDOR],PROVEEDORES[[#This Row],[PROVEEDOR]],PROVEEDORES[FECHA DE PAGO],"")</f>
        <v>4862586.33</v>
      </c>
      <c r="E1039" s="30"/>
      <c r="F1039" s="73" t="str">
        <f>+VLOOKUP(PROVEEDORES[[#This Row],[PROVEEDOR]],TERCEROS_INFO[[PROVEEDOR]:[CORREO]],5,FALSE)</f>
        <v>cartera@conbienes.com;girlesa.ruiz@servipilas.com;joriescobar64@gmail.com</v>
      </c>
      <c r="G1039" s="111">
        <v>44554</v>
      </c>
      <c r="H1039" s="31" t="s">
        <v>348</v>
      </c>
      <c r="I1039" s="111">
        <v>44531</v>
      </c>
      <c r="J1039" s="48" t="s">
        <v>637</v>
      </c>
      <c r="K1039" s="26">
        <v>716544</v>
      </c>
      <c r="L1039" s="26"/>
      <c r="M1039" s="27">
        <v>136143.36000000002</v>
      </c>
      <c r="N1039" s="28"/>
      <c r="O1039" s="27">
        <v>0</v>
      </c>
      <c r="P1039" s="28">
        <v>0</v>
      </c>
      <c r="Q1039" s="27">
        <v>0</v>
      </c>
      <c r="R1039" s="26">
        <v>852687.35999999999</v>
      </c>
      <c r="S1039" s="115">
        <f ca="1">IF(PROVEEDORES[[#This Row],[FECHA DE PAGO]]=0,TODAY()-PROVEEDORES[[#This Row],[FECHA DE FACTURACIÓN]]-PROVEEDORES[[#This Row],[PLAZO Días]],0)</f>
        <v>0</v>
      </c>
      <c r="T10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0" spans="1:20" ht="21.9" customHeight="1" x14ac:dyDescent="0.3">
      <c r="A1040" s="113" t="str">
        <f>+IF(PROVEEDORES[[#This Row],[FECHA DE PAGO]]=PROVEEDORES[[#This Row],[FECHA DE FACTURACIÓN]],"DE CONTADO","CRÉDITO")</f>
        <v>CRÉDITO</v>
      </c>
      <c r="B1040" s="51" t="b">
        <f>+IF((PROVEEDORES[[#This Row],[FECHA DE PAGO]]-PROVEEDORES[[#This Row],[FECHA DE FACTURACIÓN]])&gt;PROVEEDORES[[#This Row],[PLAZO Días]],"PAGO VENCIDO")</f>
        <v>0</v>
      </c>
      <c r="C1040" s="25">
        <f>+VLOOKUP(PROVEEDORES[[#This Row],[PROVEEDOR]],TERCEROS_INFO[#All],2,FALSE)</f>
        <v>30</v>
      </c>
      <c r="D1040" s="30">
        <f>+SUMIFS(PROVEEDORES[Total],PROVEEDORES[PROVEEDOR],PROVEEDORES[[#This Row],[PROVEEDOR]],PROVEEDORES[FECHA DE PAGO],"")</f>
        <v>0</v>
      </c>
      <c r="E1040" s="30"/>
      <c r="F1040" s="73" t="str">
        <f>+VLOOKUP(PROVEEDORES[[#This Row],[PROVEEDOR]],TERCEROS_INFO[[PROVEEDOR]:[CORREO]],5,FALSE)</f>
        <v>PSE</v>
      </c>
      <c r="G1040" s="111">
        <v>44543</v>
      </c>
      <c r="H1040" s="31" t="s">
        <v>353</v>
      </c>
      <c r="I1040" s="111">
        <v>44531</v>
      </c>
      <c r="J1040" s="48" t="s">
        <v>354</v>
      </c>
      <c r="K1040" s="26">
        <v>727051</v>
      </c>
      <c r="L1040" s="26"/>
      <c r="M1040" s="27">
        <v>0</v>
      </c>
      <c r="N1040" s="28"/>
      <c r="O1040" s="27">
        <v>0</v>
      </c>
      <c r="P1040" s="28">
        <v>0</v>
      </c>
      <c r="Q1040" s="27">
        <v>0</v>
      </c>
      <c r="R1040" s="26">
        <v>727051</v>
      </c>
      <c r="S1040" s="115">
        <f ca="1">IF(PROVEEDORES[[#This Row],[FECHA DE PAGO]]=0,TODAY()-PROVEEDORES[[#This Row],[FECHA DE FACTURACIÓN]]-PROVEEDORES[[#This Row],[PLAZO Días]],0)</f>
        <v>0</v>
      </c>
      <c r="T10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1" spans="1:20" ht="21.9" customHeight="1" x14ac:dyDescent="0.3">
      <c r="A1041" s="113" t="str">
        <f>+IF(PROVEEDORES[[#This Row],[FECHA DE PAGO]]=PROVEEDORES[[#This Row],[FECHA DE FACTURACIÓN]],"DE CONTADO","CRÉDITO")</f>
        <v>CRÉDITO</v>
      </c>
      <c r="B1041" s="51" t="b">
        <f>+IF((PROVEEDORES[[#This Row],[FECHA DE PAGO]]-PROVEEDORES[[#This Row],[FECHA DE FACTURACIÓN]])&gt;PROVEEDORES[[#This Row],[PLAZO Días]],"PAGO VENCIDO")</f>
        <v>0</v>
      </c>
      <c r="C1041" s="25">
        <f>+VLOOKUP(PROVEEDORES[[#This Row],[PROVEEDOR]],TERCEROS_INFO[#All],2,FALSE)</f>
        <v>30</v>
      </c>
      <c r="D1041" s="30">
        <f>+SUMIFS(PROVEEDORES[Total],PROVEEDORES[PROVEEDOR],PROVEEDORES[[#This Row],[PROVEEDOR]],PROVEEDORES[FECHA DE PAGO],"")</f>
        <v>0</v>
      </c>
      <c r="E1041" s="30"/>
      <c r="F1041" s="73" t="str">
        <f>+VLOOKUP(PROVEEDORES[[#This Row],[PROVEEDOR]],TERCEROS_INFO[[PROVEEDOR]:[CORREO]],5,FALSE)</f>
        <v>PSE</v>
      </c>
      <c r="G1041" s="111">
        <v>44543</v>
      </c>
      <c r="H1041" s="31" t="s">
        <v>353</v>
      </c>
      <c r="I1041" s="111">
        <v>44531</v>
      </c>
      <c r="J1041" s="48" t="s">
        <v>355</v>
      </c>
      <c r="K1041" s="26">
        <v>743959</v>
      </c>
      <c r="L1041" s="26"/>
      <c r="M1041" s="27">
        <v>0</v>
      </c>
      <c r="N1041" s="28"/>
      <c r="O1041" s="27">
        <v>0</v>
      </c>
      <c r="P1041" s="28">
        <v>0</v>
      </c>
      <c r="Q1041" s="27">
        <v>0</v>
      </c>
      <c r="R1041" s="26">
        <v>743959</v>
      </c>
      <c r="S1041" s="115">
        <f ca="1">IF(PROVEEDORES[[#This Row],[FECHA DE PAGO]]=0,TODAY()-PROVEEDORES[[#This Row],[FECHA DE FACTURACIÓN]]-PROVEEDORES[[#This Row],[PLAZO Días]],0)</f>
        <v>0</v>
      </c>
      <c r="T10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2" spans="1:20" ht="21.9" customHeight="1" x14ac:dyDescent="0.3">
      <c r="A1042" s="113" t="str">
        <f>+IF(PROVEEDORES[[#This Row],[FECHA DE PAGO]]=PROVEEDORES[[#This Row],[FECHA DE FACTURACIÓN]],"DE CONTADO","CRÉDITO")</f>
        <v>CRÉDITO</v>
      </c>
      <c r="B1042" s="51" t="b">
        <f>+IF((PROVEEDORES[[#This Row],[FECHA DE PAGO]]-PROVEEDORES[[#This Row],[FECHA DE FACTURACIÓN]])&gt;PROVEEDORES[[#This Row],[PLAZO Días]],"PAGO VENCIDO")</f>
        <v>0</v>
      </c>
      <c r="C1042" s="25">
        <f>+VLOOKUP(PROVEEDORES[[#This Row],[PROVEEDOR]],TERCEROS_INFO[#All],2,FALSE)</f>
        <v>20</v>
      </c>
      <c r="D1042" s="30">
        <f>+SUMIFS(PROVEEDORES[Total],PROVEEDORES[PROVEEDOR],PROVEEDORES[[#This Row],[PROVEEDOR]],PROVEEDORES[FECHA DE PAGO],"")</f>
        <v>0</v>
      </c>
      <c r="E1042" s="30"/>
      <c r="F1042" s="73" t="str">
        <f>+VLOOKUP(PROVEEDORES[[#This Row],[PROVEEDOR]],TERCEROS_INFO[[PROVEEDOR]:[CORREO]],5,FALSE)</f>
        <v>pse</v>
      </c>
      <c r="G1042" s="111">
        <v>44540</v>
      </c>
      <c r="H1042" s="31" t="s">
        <v>374</v>
      </c>
      <c r="I1042" s="111">
        <v>44531</v>
      </c>
      <c r="J1042" s="48"/>
      <c r="K1042" s="26">
        <v>934412</v>
      </c>
      <c r="L1042" s="26"/>
      <c r="M1042" s="27">
        <v>0</v>
      </c>
      <c r="N1042" s="28"/>
      <c r="O1042" s="27">
        <v>0</v>
      </c>
      <c r="P1042" s="28">
        <v>0</v>
      </c>
      <c r="Q1042" s="27">
        <v>0</v>
      </c>
      <c r="R1042" s="26">
        <v>934412</v>
      </c>
      <c r="S1042" s="115">
        <f ca="1">IF(PROVEEDORES[[#This Row],[FECHA DE PAGO]]=0,TODAY()-PROVEEDORES[[#This Row],[FECHA DE FACTURACIÓN]]-PROVEEDORES[[#This Row],[PLAZO Días]],0)</f>
        <v>0</v>
      </c>
      <c r="T10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3" spans="1:20" ht="21.9" customHeight="1" x14ac:dyDescent="0.3">
      <c r="A1043" s="113" t="str">
        <f>+IF(PROVEEDORES[[#This Row],[FECHA DE PAGO]]=PROVEEDORES[[#This Row],[FECHA DE FACTURACIÓN]],"DE CONTADO","CRÉDITO")</f>
        <v>CRÉDITO</v>
      </c>
      <c r="B1043" s="51" t="b">
        <f>+IF((PROVEEDORES[[#This Row],[FECHA DE PAGO]]-PROVEEDORES[[#This Row],[FECHA DE FACTURACIÓN]])&gt;PROVEEDORES[[#This Row],[PLAZO Días]],"PAGO VENCIDO")</f>
        <v>0</v>
      </c>
      <c r="C1043" s="25">
        <f>+VLOOKUP(PROVEEDORES[[#This Row],[PROVEEDOR]],TERCEROS_INFO[#All],2,FALSE)</f>
        <v>30</v>
      </c>
      <c r="D1043" s="30">
        <f>+SUMIFS(PROVEEDORES[Total],PROVEEDORES[PROVEEDOR],PROVEEDORES[[#This Row],[PROVEEDOR]],PROVEEDORES[FECHA DE PAGO],"")</f>
        <v>1296896</v>
      </c>
      <c r="E1043" s="30"/>
      <c r="F1043" s="73" t="str">
        <f>+VLOOKUP(PROVEEDORES[[#This Row],[PROVEEDOR]],TERCEROS_INFO[[PROVEEDOR]:[CORREO]],5,FALSE)</f>
        <v>tesoreria@lacentral.com.co;girlesa.ruiz@servipilas.com;joriescobar64@gmail.com</v>
      </c>
      <c r="G1043" s="111">
        <v>44554</v>
      </c>
      <c r="H1043" s="31" t="s">
        <v>335</v>
      </c>
      <c r="I1043" s="111">
        <v>44531</v>
      </c>
      <c r="J1043" s="48">
        <v>9520</v>
      </c>
      <c r="K1043" s="26">
        <v>1803180</v>
      </c>
      <c r="L1043" s="26"/>
      <c r="M1043" s="27">
        <v>0</v>
      </c>
      <c r="N1043" s="28"/>
      <c r="O1043" s="27">
        <v>331109</v>
      </c>
      <c r="P1043" s="28">
        <v>0</v>
      </c>
      <c r="Q1043" s="27">
        <v>0</v>
      </c>
      <c r="R1043" s="26">
        <v>1472071</v>
      </c>
      <c r="S1043" s="115">
        <f ca="1">IF(PROVEEDORES[[#This Row],[FECHA DE PAGO]]=0,TODAY()-PROVEEDORES[[#This Row],[FECHA DE FACTURACIÓN]]-PROVEEDORES[[#This Row],[PLAZO Días]],0)</f>
        <v>0</v>
      </c>
      <c r="T10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4" spans="1:20" ht="21.9" customHeight="1" x14ac:dyDescent="0.3">
      <c r="A1044" s="113" t="str">
        <f>+IF(PROVEEDORES[[#This Row],[FECHA DE PAGO]]=PROVEEDORES[[#This Row],[FECHA DE FACTURACIÓN]],"DE CONTADO","CRÉDITO")</f>
        <v>CRÉDITO</v>
      </c>
      <c r="B1044" s="51" t="b">
        <f>+IF((PROVEEDORES[[#This Row],[FECHA DE PAGO]]-PROVEEDORES[[#This Row],[FECHA DE FACTURACIÓN]])&gt;PROVEEDORES[[#This Row],[PLAZO Días]],"PAGO VENCIDO")</f>
        <v>0</v>
      </c>
      <c r="C1044" s="25">
        <f>+VLOOKUP(PROVEEDORES[[#This Row],[PROVEEDOR]],TERCEROS_INFO[#All],2,FALSE)</f>
        <v>30</v>
      </c>
      <c r="D1044" s="30">
        <f>+SUMIFS(PROVEEDORES[Total],PROVEEDORES[PROVEEDOR],PROVEEDORES[[#This Row],[PROVEEDOR]],PROVEEDORES[FECHA DE PAGO],"")</f>
        <v>0</v>
      </c>
      <c r="E1044" s="30"/>
      <c r="F1044" s="73" t="str">
        <f>+VLOOKUP(PROVEEDORES[[#This Row],[PROVEEDOR]],TERCEROS_INFO[[PROVEEDOR]:[CORREO]],5,FALSE)</f>
        <v/>
      </c>
      <c r="G1044" s="111">
        <v>44536</v>
      </c>
      <c r="H1044" s="31" t="s">
        <v>1075</v>
      </c>
      <c r="I1044" s="111">
        <v>44531</v>
      </c>
      <c r="J1044" s="48" t="s">
        <v>653</v>
      </c>
      <c r="K1044" s="26">
        <v>2377245</v>
      </c>
      <c r="L1044" s="26"/>
      <c r="M1044" s="27">
        <v>0</v>
      </c>
      <c r="N1044" s="28"/>
      <c r="O1044" s="27">
        <v>0</v>
      </c>
      <c r="P1044" s="28">
        <v>0</v>
      </c>
      <c r="Q1044" s="27">
        <v>0</v>
      </c>
      <c r="R1044" s="26">
        <v>2377245</v>
      </c>
      <c r="S1044" s="115">
        <f ca="1">IF(PROVEEDORES[[#This Row],[FECHA DE PAGO]]=0,TODAY()-PROVEEDORES[[#This Row],[FECHA DE FACTURACIÓN]]-PROVEEDORES[[#This Row],[PLAZO Días]],0)</f>
        <v>0</v>
      </c>
      <c r="T104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5" spans="1:20" ht="21.9" customHeight="1" x14ac:dyDescent="0.3">
      <c r="A1045" s="113" t="str">
        <f>+IF(PROVEEDORES[[#This Row],[FECHA DE PAGO]]=PROVEEDORES[[#This Row],[FECHA DE FACTURACIÓN]],"DE CONTADO","CRÉDITO")</f>
        <v>CRÉDITO</v>
      </c>
      <c r="B1045" s="51" t="b">
        <f>+IF((PROVEEDORES[[#This Row],[FECHA DE PAGO]]-PROVEEDORES[[#This Row],[FECHA DE FACTURACIÓN]])&gt;PROVEEDORES[[#This Row],[PLAZO Días]],"PAGO VENCIDO")</f>
        <v>0</v>
      </c>
      <c r="C1045" s="25">
        <f>+VLOOKUP(PROVEEDORES[[#This Row],[PROVEEDOR]],TERCEROS_INFO[#All],2,FALSE)</f>
        <v>30</v>
      </c>
      <c r="D1045" s="30">
        <f>+SUMIFS(PROVEEDORES[Total],PROVEEDORES[PROVEEDOR],PROVEEDORES[[#This Row],[PROVEEDOR]],PROVEEDORES[FECHA DE PAGO],"")</f>
        <v>0</v>
      </c>
      <c r="E1045" s="30"/>
      <c r="F1045" s="73" t="str">
        <f>+VLOOKUP(PROVEEDORES[[#This Row],[PROVEEDOR]],TERCEROS_INFO[[PROVEEDOR]:[CORREO]],5,FALSE)</f>
        <v>propertymarketingsas@hotmail.com;girlesa.ruiz@servipilas.com;joriescobar64@gmail.com</v>
      </c>
      <c r="G1045" s="111">
        <v>44554</v>
      </c>
      <c r="H1045" s="31" t="s">
        <v>486</v>
      </c>
      <c r="I1045" s="111">
        <v>44531</v>
      </c>
      <c r="J1045" s="48" t="s">
        <v>649</v>
      </c>
      <c r="K1045" s="26">
        <v>2789636</v>
      </c>
      <c r="L1045" s="26"/>
      <c r="M1045" s="27">
        <v>0</v>
      </c>
      <c r="N1045" s="28"/>
      <c r="O1045" s="27">
        <v>0</v>
      </c>
      <c r="P1045" s="28">
        <v>3.5000000000000003E-2</v>
      </c>
      <c r="Q1045" s="27">
        <v>97637.260000000009</v>
      </c>
      <c r="R1045" s="26">
        <v>2691998.74</v>
      </c>
      <c r="S1045" s="115">
        <f ca="1">IF(PROVEEDORES[[#This Row],[FECHA DE PAGO]]=0,TODAY()-PROVEEDORES[[#This Row],[FECHA DE FACTURACIÓN]]-PROVEEDORES[[#This Row],[PLAZO Días]],0)</f>
        <v>0</v>
      </c>
      <c r="T10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6" spans="1:20" ht="21.9" customHeight="1" x14ac:dyDescent="0.3">
      <c r="A1046" s="113" t="str">
        <f>+IF(PROVEEDORES[[#This Row],[FECHA DE PAGO]]=PROVEEDORES[[#This Row],[FECHA DE FACTURACIÓN]],"DE CONTADO","CRÉDITO")</f>
        <v>CRÉDITO</v>
      </c>
      <c r="B1046" s="51" t="b">
        <f>+IF((PROVEEDORES[[#This Row],[FECHA DE PAGO]]-PROVEEDORES[[#This Row],[FECHA DE FACTURACIÓN]])&gt;PROVEEDORES[[#This Row],[PLAZO Días]],"PAGO VENCIDO")</f>
        <v>0</v>
      </c>
      <c r="C1046" s="25">
        <f>+VLOOKUP(PROVEEDORES[[#This Row],[PROVEEDOR]],TERCEROS_INFO[#All],2,FALSE)</f>
        <v>30</v>
      </c>
      <c r="D1046" s="30">
        <f>+SUMIFS(PROVEEDORES[Total],PROVEEDORES[PROVEEDOR],PROVEEDORES[[#This Row],[PROVEEDOR]],PROVEEDORES[FECHA DE PAGO],"")</f>
        <v>4862586.33</v>
      </c>
      <c r="E1046" s="30"/>
      <c r="F1046" s="73" t="str">
        <f>+VLOOKUP(PROVEEDORES[[#This Row],[PROVEEDOR]],TERCEROS_INFO[[PROVEEDOR]:[CORREO]],5,FALSE)</f>
        <v>cartera@conbienes.com;girlesa.ruiz@servipilas.com;joriescobar64@gmail.com</v>
      </c>
      <c r="G1046" s="111">
        <v>44554</v>
      </c>
      <c r="H1046" s="31" t="s">
        <v>348</v>
      </c>
      <c r="I1046" s="111">
        <v>44531</v>
      </c>
      <c r="J1046" s="48" t="s">
        <v>638</v>
      </c>
      <c r="K1046" s="26">
        <v>3061166</v>
      </c>
      <c r="L1046" s="26"/>
      <c r="M1046" s="27">
        <v>581621.54</v>
      </c>
      <c r="N1046" s="28"/>
      <c r="O1046" s="27">
        <v>0</v>
      </c>
      <c r="P1046" s="28">
        <v>0</v>
      </c>
      <c r="Q1046" s="27">
        <v>0</v>
      </c>
      <c r="R1046" s="26">
        <v>3642787.54</v>
      </c>
      <c r="S1046" s="115">
        <f ca="1">IF(PROVEEDORES[[#This Row],[FECHA DE PAGO]]=0,TODAY()-PROVEEDORES[[#This Row],[FECHA DE FACTURACIÓN]]-PROVEEDORES[[#This Row],[PLAZO Días]],0)</f>
        <v>0</v>
      </c>
      <c r="T104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7" spans="1:20" ht="21.9" customHeight="1" x14ac:dyDescent="0.3">
      <c r="A1047" s="113" t="str">
        <f>+IF(PROVEEDORES[[#This Row],[FECHA DE PAGO]]=PROVEEDORES[[#This Row],[FECHA DE FACTURACIÓN]],"DE CONTADO","CRÉDITO")</f>
        <v>CRÉDITO</v>
      </c>
      <c r="B1047" s="51" t="b">
        <f>+IF((PROVEEDORES[[#This Row],[FECHA DE PAGO]]-PROVEEDORES[[#This Row],[FECHA DE FACTURACIÓN]])&gt;PROVEEDORES[[#This Row],[PLAZO Días]],"PAGO VENCIDO")</f>
        <v>0</v>
      </c>
      <c r="C1047" s="25">
        <f>+VLOOKUP(PROVEEDORES[[#This Row],[PROVEEDOR]],TERCEROS_INFO[#All],2,FALSE)</f>
        <v>30</v>
      </c>
      <c r="D1047" s="30">
        <f>+SUMIFS(PROVEEDORES[Total],PROVEEDORES[PROVEEDOR],PROVEEDORES[[#This Row],[PROVEEDOR]],PROVEEDORES[FECHA DE PAGO],"")</f>
        <v>0</v>
      </c>
      <c r="E1047" s="30"/>
      <c r="F1047" s="73" t="str">
        <f>+VLOOKUP(PROVEEDORES[[#This Row],[PROVEEDOR]],TERCEROS_INFO[[PROVEEDOR]:[CORREO]],5,FALSE)</f>
        <v>girlesa.ruiz@servipilas.com;joriescobar64@gmail.com</v>
      </c>
      <c r="G1047" s="111">
        <v>44554</v>
      </c>
      <c r="H1047" s="31" t="s">
        <v>339</v>
      </c>
      <c r="I1047" s="111">
        <v>44531</v>
      </c>
      <c r="J1047" s="48" t="s">
        <v>936</v>
      </c>
      <c r="K1047" s="26">
        <v>3937653</v>
      </c>
      <c r="L1047" s="26"/>
      <c r="M1047" s="27">
        <v>0</v>
      </c>
      <c r="N1047" s="28"/>
      <c r="O1047" s="27">
        <v>0</v>
      </c>
      <c r="P1047" s="28">
        <v>3.5000000000000003E-2</v>
      </c>
      <c r="Q1047" s="27">
        <v>137817.85500000001</v>
      </c>
      <c r="R1047" s="26">
        <v>3799835.145</v>
      </c>
      <c r="S1047" s="115">
        <f ca="1">IF(PROVEEDORES[[#This Row],[FECHA DE PAGO]]=0,TODAY()-PROVEEDORES[[#This Row],[FECHA DE FACTURACIÓN]]-PROVEEDORES[[#This Row],[PLAZO Días]],0)</f>
        <v>0</v>
      </c>
      <c r="T104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8" spans="1:20" ht="21.9" customHeight="1" x14ac:dyDescent="0.3">
      <c r="A1048" s="113" t="str">
        <f>+IF(PROVEEDORES[[#This Row],[FECHA DE PAGO]]=PROVEEDORES[[#This Row],[FECHA DE FACTURACIÓN]],"DE CONTADO","CRÉDITO")</f>
        <v>CRÉDITO</v>
      </c>
      <c r="B1048" s="51" t="b">
        <f>+IF((PROVEEDORES[[#This Row],[FECHA DE PAGO]]-PROVEEDORES[[#This Row],[FECHA DE FACTURACIÓN]])&gt;PROVEEDORES[[#This Row],[PLAZO Días]],"PAGO VENCIDO")</f>
        <v>0</v>
      </c>
      <c r="C1048" s="25">
        <f>+VLOOKUP(PROVEEDORES[[#This Row],[PROVEEDOR]],TERCEROS_INFO[#All],2,FALSE)</f>
        <v>30</v>
      </c>
      <c r="D1048" s="30">
        <f>+SUMIFS(PROVEEDORES[Total],PROVEEDORES[PROVEEDOR],PROVEEDORES[[#This Row],[PROVEEDOR]],PROVEEDORES[FECHA DE PAGO],"")</f>
        <v>5060410.5999999996</v>
      </c>
      <c r="E1048" s="30"/>
      <c r="F1048" s="73" t="str">
        <f>+VLOOKUP(PROVEEDORES[[#This Row],[PROVEEDOR]],TERCEROS_INFO[[PROVEEDOR]:[CORREO]],5,FALSE)</f>
        <v>CBastidas@vyp.com.co;girlesa.ruiz@servipilas.com;joriescobar64@gmail.com</v>
      </c>
      <c r="G1048" s="111">
        <v>44554</v>
      </c>
      <c r="H1048" s="31" t="s">
        <v>347</v>
      </c>
      <c r="I1048" s="111">
        <v>44531</v>
      </c>
      <c r="J1048" s="48">
        <v>41293</v>
      </c>
      <c r="K1048" s="26">
        <v>4430000</v>
      </c>
      <c r="L1048" s="26"/>
      <c r="M1048" s="27">
        <v>841700</v>
      </c>
      <c r="N1048" s="28"/>
      <c r="O1048" s="27">
        <v>0</v>
      </c>
      <c r="P1048" s="28">
        <v>3.5000000000000003E-2</v>
      </c>
      <c r="Q1048" s="27">
        <v>155050.00000000003</v>
      </c>
      <c r="R1048" s="26">
        <v>5116650</v>
      </c>
      <c r="S1048" s="115">
        <f ca="1">IF(PROVEEDORES[[#This Row],[FECHA DE PAGO]]=0,TODAY()-PROVEEDORES[[#This Row],[FECHA DE FACTURACIÓN]]-PROVEEDORES[[#This Row],[PLAZO Días]],0)</f>
        <v>0</v>
      </c>
      <c r="T10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49" spans="1:20" ht="21.9" customHeight="1" x14ac:dyDescent="0.3">
      <c r="A1049" s="113" t="str">
        <f>+IF(PROVEEDORES[[#This Row],[FECHA DE PAGO]]=PROVEEDORES[[#This Row],[FECHA DE FACTURACIÓN]],"DE CONTADO","CRÉDITO")</f>
        <v>CRÉDITO</v>
      </c>
      <c r="B1049" s="51" t="str">
        <f>+IF((PROVEEDORES[[#This Row],[FECHA DE PAGO]]-PROVEEDORES[[#This Row],[FECHA DE FACTURACIÓN]])&gt;PROVEEDORES[[#This Row],[PLAZO Días]],"PAGO VENCIDO")</f>
        <v>PAGO VENCIDO</v>
      </c>
      <c r="C1049" s="25">
        <f>+VLOOKUP(PROVEEDORES[[#This Row],[PROVEEDOR]],TERCEROS_INFO[#All],2,FALSE)</f>
        <v>30</v>
      </c>
      <c r="D1049" s="30">
        <f>+SUMIFS(PROVEEDORES[Total],PROVEEDORES[PROVEEDOR],PROVEEDORES[[#This Row],[PROVEEDOR]],PROVEEDORES[FECHA DE PAGO],"")</f>
        <v>0</v>
      </c>
      <c r="E1049" s="30"/>
      <c r="F1049" s="73" t="str">
        <f>+VLOOKUP(PROVEEDORES[[#This Row],[PROVEEDOR]],TERCEROS_INFO[[PROVEEDOR]:[CORREO]],5,FALSE)</f>
        <v>vcortes@power-sonic.com;alexander.baur@power-sonic.com;jirias@power-sonic.com;girlesa.ruiz@servipilas.com;joriescobar64@gmail.com;info@servipilas.com</v>
      </c>
      <c r="G1049" s="111">
        <v>44572</v>
      </c>
      <c r="H1049" s="31" t="s">
        <v>38</v>
      </c>
      <c r="I1049" s="111">
        <v>44531</v>
      </c>
      <c r="J1049" s="48" t="s">
        <v>921</v>
      </c>
      <c r="K1049" s="26">
        <v>5091096</v>
      </c>
      <c r="L1049" s="26"/>
      <c r="M1049" s="27">
        <v>0</v>
      </c>
      <c r="N1049" s="28"/>
      <c r="O1049" s="27">
        <v>0</v>
      </c>
      <c r="P1049" s="28">
        <v>0</v>
      </c>
      <c r="Q1049" s="27">
        <v>0</v>
      </c>
      <c r="R1049" s="26">
        <v>5091096</v>
      </c>
      <c r="S1049" s="115">
        <f ca="1">IF(PROVEEDORES[[#This Row],[FECHA DE PAGO]]=0,TODAY()-PROVEEDORES[[#This Row],[FECHA DE FACTURACIÓN]]-PROVEEDORES[[#This Row],[PLAZO Días]],0)</f>
        <v>0</v>
      </c>
      <c r="T104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0" spans="1:20" ht="21.9" customHeight="1" x14ac:dyDescent="0.3">
      <c r="A1050" s="113" t="str">
        <f>+IF(PROVEEDORES[[#This Row],[FECHA DE PAGO]]=PROVEEDORES[[#This Row],[FECHA DE FACTURACIÓN]],"DE CONTADO","CRÉDITO")</f>
        <v>CRÉDITO</v>
      </c>
      <c r="B1050" s="51" t="str">
        <f>+IF((PROVEEDORES[[#This Row],[FECHA DE PAGO]]-PROVEEDORES[[#This Row],[FECHA DE FACTURACIÓN]])&gt;PROVEEDORES[[#This Row],[PLAZO Días]],"PAGO VENCIDO")</f>
        <v>PAGO VENCIDO</v>
      </c>
      <c r="C1050" s="25">
        <f>+VLOOKUP(PROVEEDORES[[#This Row],[PROVEEDOR]],TERCEROS_INFO[#All],2,FALSE)</f>
        <v>60</v>
      </c>
      <c r="D1050" s="30">
        <f>+SUMIFS(PROVEEDORES[Total],PROVEEDORES[PROVEEDOR],PROVEEDORES[[#This Row],[PROVEEDOR]],PROVEEDORES[FECHA DE PAGO],"")</f>
        <v>0</v>
      </c>
      <c r="E1050" s="30"/>
      <c r="F1050" s="73" t="str">
        <f>+VLOOKUP(PROVEEDORES[[#This Row],[PROVEEDOR]],TERCEROS_INFO[[PROVEEDOR]:[CORREO]],5,FALSE)</f>
        <v>gloritasz@gmail.com;girlesa.ruiz@servipilas.com;joriescobar64@gmail.com</v>
      </c>
      <c r="G1050" s="111">
        <v>44658</v>
      </c>
      <c r="H1050" s="31" t="s">
        <v>1036</v>
      </c>
      <c r="I1050" s="111">
        <v>44531</v>
      </c>
      <c r="J1050" s="48" t="s">
        <v>888</v>
      </c>
      <c r="K1050" s="26">
        <v>5285000</v>
      </c>
      <c r="L1050" s="26"/>
      <c r="M1050" s="27">
        <v>0</v>
      </c>
      <c r="N1050" s="28"/>
      <c r="O1050" s="27">
        <v>0</v>
      </c>
      <c r="P1050" s="28">
        <v>0</v>
      </c>
      <c r="Q1050" s="27">
        <v>0</v>
      </c>
      <c r="R1050" s="26">
        <v>5285000</v>
      </c>
      <c r="S1050" s="115">
        <f ca="1">IF(PROVEEDORES[[#This Row],[FECHA DE PAGO]]=0,TODAY()-PROVEEDORES[[#This Row],[FECHA DE FACTURACIÓN]]-PROVEEDORES[[#This Row],[PLAZO Días]],0)</f>
        <v>0</v>
      </c>
      <c r="T105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1" spans="1:20" ht="21.9" customHeight="1" x14ac:dyDescent="0.3">
      <c r="A1051" s="113" t="str">
        <f>+IF(PROVEEDORES[[#This Row],[FECHA DE PAGO]]=PROVEEDORES[[#This Row],[FECHA DE FACTURACIÓN]],"DE CONTADO","CRÉDITO")</f>
        <v>CRÉDITO</v>
      </c>
      <c r="B1051" s="51" t="str">
        <f>+IF((PROVEEDORES[[#This Row],[FECHA DE PAGO]]-PROVEEDORES[[#This Row],[FECHA DE FACTURACIÓN]])&gt;PROVEEDORES[[#This Row],[PLAZO Días]],"PAGO VENCIDO")</f>
        <v>PAGO VENCIDO</v>
      </c>
      <c r="C1051" s="25">
        <f>+VLOOKUP(PROVEEDORES[[#This Row],[PROVEEDOR]],TERCEROS_INFO[#All],2,FALSE)</f>
        <v>13</v>
      </c>
      <c r="D1051" s="30">
        <f>+SUMIFS(PROVEEDORES[Total],PROVEEDORES[PROVEEDOR],PROVEEDORES[[#This Row],[PROVEEDOR]],PROVEEDORES[FECHA DE PAGO],"")</f>
        <v>0</v>
      </c>
      <c r="E1051" s="30"/>
      <c r="F1051" s="73">
        <f>+VLOOKUP(PROVEEDORES[[#This Row],[PROVEEDOR]],TERCEROS_INFO[[PROVEEDOR]:[CORREO]],5,FALSE)</f>
        <v>0</v>
      </c>
      <c r="G1051" s="111">
        <v>44550</v>
      </c>
      <c r="H1051" s="31" t="s">
        <v>329</v>
      </c>
      <c r="I1051" s="111">
        <v>44531</v>
      </c>
      <c r="J1051" s="48" t="s">
        <v>924</v>
      </c>
      <c r="K1051" s="26">
        <v>5450061</v>
      </c>
      <c r="L1051" s="26"/>
      <c r="M1051" s="27">
        <v>0</v>
      </c>
      <c r="N1051" s="28"/>
      <c r="O1051" s="27">
        <v>0</v>
      </c>
      <c r="P1051" s="28">
        <v>0</v>
      </c>
      <c r="Q1051" s="27">
        <v>0</v>
      </c>
      <c r="R1051" s="26">
        <v>5450061</v>
      </c>
      <c r="S1051" s="115">
        <f ca="1">IF(PROVEEDORES[[#This Row],[FECHA DE PAGO]]=0,TODAY()-PROVEEDORES[[#This Row],[FECHA DE FACTURACIÓN]]-PROVEEDORES[[#This Row],[PLAZO Días]],0)</f>
        <v>0</v>
      </c>
      <c r="T105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2" spans="1:20" ht="21.9" customHeight="1" x14ac:dyDescent="0.3">
      <c r="A1052" s="113" t="str">
        <f>+IF(PROVEEDORES[[#This Row],[FECHA DE PAGO]]=PROVEEDORES[[#This Row],[FECHA DE FACTURACIÓN]],"DE CONTADO","CRÉDITO")</f>
        <v>CRÉDITO</v>
      </c>
      <c r="B1052" s="51" t="b">
        <f>+IF((PROVEEDORES[[#This Row],[FECHA DE PAGO]]-PROVEEDORES[[#This Row],[FECHA DE FACTURACIÓN]])&gt;PROVEEDORES[[#This Row],[PLAZO Días]],"PAGO VENCIDO")</f>
        <v>0</v>
      </c>
      <c r="C1052" s="25">
        <f>+VLOOKUP(PROVEEDORES[[#This Row],[PROVEEDOR]],TERCEROS_INFO[#All],2,FALSE)</f>
        <v>10</v>
      </c>
      <c r="D1052" s="30">
        <f>+SUMIFS(PROVEEDORES[Total],PROVEEDORES[PROVEEDOR],PROVEEDORES[[#This Row],[PROVEEDOR]],PROVEEDORES[FECHA DE PAGO],"")</f>
        <v>0</v>
      </c>
      <c r="E1052" s="30"/>
      <c r="F1052" s="73" t="str">
        <f>+VLOOKUP(PROVEEDORES[[#This Row],[PROVEEDOR]],TERCEROS_INFO[[PROVEEDOR]:[CORREO]],5,FALSE)</f>
        <v/>
      </c>
      <c r="G1052" s="111">
        <v>44536</v>
      </c>
      <c r="H1052" s="31" t="s">
        <v>23</v>
      </c>
      <c r="I1052" s="111">
        <v>44531</v>
      </c>
      <c r="J1052" s="48">
        <v>286942</v>
      </c>
      <c r="K1052" s="26">
        <v>10287615</v>
      </c>
      <c r="L1052" s="26"/>
      <c r="M1052" s="27">
        <v>0</v>
      </c>
      <c r="N1052" s="28"/>
      <c r="O1052" s="27">
        <v>0</v>
      </c>
      <c r="P1052" s="28">
        <v>0</v>
      </c>
      <c r="Q1052" s="27">
        <v>0</v>
      </c>
      <c r="R1052" s="26">
        <v>10287615</v>
      </c>
      <c r="S1052" s="115">
        <f ca="1">IF(PROVEEDORES[[#This Row],[FECHA DE PAGO]]=0,TODAY()-PROVEEDORES[[#This Row],[FECHA DE FACTURACIÓN]]-PROVEEDORES[[#This Row],[PLAZO Días]],0)</f>
        <v>0</v>
      </c>
      <c r="T10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3" spans="1:20" ht="21.9" customHeight="1" x14ac:dyDescent="0.3">
      <c r="A1053" s="113" t="str">
        <f>+IF(PROVEEDORES[[#This Row],[FECHA DE PAGO]]=PROVEEDORES[[#This Row],[FECHA DE FACTURACIÓN]],"DE CONTADO","CRÉDITO")</f>
        <v>CRÉDITO</v>
      </c>
      <c r="B1053" s="51" t="str">
        <f>+IF((PROVEEDORES[[#This Row],[FECHA DE PAGO]]-PROVEEDORES[[#This Row],[FECHA DE FACTURACIÓN]])&gt;PROVEEDORES[[#This Row],[PLAZO Días]],"PAGO VENCIDO")</f>
        <v>PAGO VENCIDO</v>
      </c>
      <c r="C1053" s="25">
        <f>+VLOOKUP(PROVEEDORES[[#This Row],[PROVEEDOR]],TERCEROS_INFO[#All],2,FALSE)</f>
        <v>30</v>
      </c>
      <c r="D1053" s="30">
        <f>+SUMIFS(PROVEEDORES[Total],PROVEEDORES[PROVEEDOR],PROVEEDORES[[#This Row],[PROVEEDOR]],PROVEEDORES[FECHA DE PAGO],"")</f>
        <v>0</v>
      </c>
      <c r="E1053" s="30"/>
      <c r="F1053" s="73" t="str">
        <f>+VLOOKUP(PROVEEDORES[[#This Row],[PROVEEDOR]],TERCEROS_INFO[[PROVEEDOR]:[CORREO]],5,FALSE)</f>
        <v>vcortes@power-sonic.com;alexander.baur@power-sonic.com;jirias@power-sonic.com;girlesa.ruiz@servipilas.com;joriescobar64@gmail.com;info@servipilas.com</v>
      </c>
      <c r="G1053" s="111">
        <v>44572</v>
      </c>
      <c r="H1053" s="31" t="s">
        <v>38</v>
      </c>
      <c r="I1053" s="111">
        <v>44531</v>
      </c>
      <c r="J1053" s="48" t="s">
        <v>922</v>
      </c>
      <c r="K1053" s="26">
        <v>22083872</v>
      </c>
      <c r="L1053" s="26"/>
      <c r="M1053" s="27">
        <v>0</v>
      </c>
      <c r="N1053" s="28"/>
      <c r="O1053" s="27">
        <v>0</v>
      </c>
      <c r="P1053" s="28">
        <v>0</v>
      </c>
      <c r="Q1053" s="27">
        <v>0</v>
      </c>
      <c r="R1053" s="26">
        <v>22083872</v>
      </c>
      <c r="S1053" s="115">
        <f ca="1">IF(PROVEEDORES[[#This Row],[FECHA DE PAGO]]=0,TODAY()-PROVEEDORES[[#This Row],[FECHA DE FACTURACIÓN]]-PROVEEDORES[[#This Row],[PLAZO Días]],0)</f>
        <v>0</v>
      </c>
      <c r="T105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4" spans="1:20" ht="21.9" customHeight="1" x14ac:dyDescent="0.3">
      <c r="A1054" s="113" t="str">
        <f>+IF(PROVEEDORES[[#This Row],[FECHA DE PAGO]]=PROVEEDORES[[#This Row],[FECHA DE FACTURACIÓN]],"DE CONTADO","CRÉDITO")</f>
        <v>CRÉDITO</v>
      </c>
      <c r="B1054" s="51" t="b">
        <f>+IF((PROVEEDORES[[#This Row],[FECHA DE PAGO]]-PROVEEDORES[[#This Row],[FECHA DE FACTURACIÓN]])&gt;PROVEEDORES[[#This Row],[PLAZO Días]],"PAGO VENCIDO")</f>
        <v>0</v>
      </c>
      <c r="C1054" s="25">
        <f>+VLOOKUP(PROVEEDORES[[#This Row],[PROVEEDOR]],TERCEROS_INFO[#All],2,FALSE)</f>
        <v>90</v>
      </c>
      <c r="D1054" s="30">
        <f>+SUMIFS(PROVEEDORES[Total],PROVEEDORES[PROVEEDOR],PROVEEDORES[[#This Row],[PROVEEDOR]],PROVEEDORES[FECHA DE PAGO],"")</f>
        <v>39058718</v>
      </c>
      <c r="E1054" s="30"/>
      <c r="F1054" s="73" t="str">
        <f>+VLOOKUP(PROVEEDORES[[#This Row],[PROVEEDOR]],TERCEROS_INFO[[PROVEEDOR]:[CORREO]],5,FALSE)</f>
        <v>mcastillo@kenextrading.com;agarcia@kenextrading.com;girlesa.ruiz@servipilas.com;joriescobar64@gmail.com</v>
      </c>
      <c r="G1054" s="111">
        <v>44578</v>
      </c>
      <c r="H1054" s="31" t="s">
        <v>31</v>
      </c>
      <c r="I1054" s="111">
        <v>44531</v>
      </c>
      <c r="J1054" s="48">
        <v>55546</v>
      </c>
      <c r="K1054" s="26">
        <v>57896217.960000001</v>
      </c>
      <c r="L1054" s="26"/>
      <c r="M1054" s="27">
        <v>0</v>
      </c>
      <c r="N1054" s="28"/>
      <c r="O1054" s="27">
        <v>0</v>
      </c>
      <c r="P1054" s="28">
        <v>0</v>
      </c>
      <c r="Q1054" s="27">
        <v>0</v>
      </c>
      <c r="R1054" s="26">
        <v>57896217.960000001</v>
      </c>
      <c r="S1054" s="115">
        <f ca="1">IF(PROVEEDORES[[#This Row],[FECHA DE PAGO]]=0,TODAY()-PROVEEDORES[[#This Row],[FECHA DE FACTURACIÓN]]-PROVEEDORES[[#This Row],[PLAZO Días]],0)</f>
        <v>0</v>
      </c>
      <c r="T10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5" spans="1:20" ht="21.9" customHeight="1" x14ac:dyDescent="0.3">
      <c r="A1055" s="113" t="str">
        <f>+IF(PROVEEDORES[[#This Row],[FECHA DE PAGO]]=PROVEEDORES[[#This Row],[FECHA DE FACTURACIÓN]],"DE CONTADO","CRÉDITO")</f>
        <v>DE CONTADO</v>
      </c>
      <c r="B1055" s="51" t="b">
        <f>+IF((PROVEEDORES[[#This Row],[FECHA DE PAGO]]-PROVEEDORES[[#This Row],[FECHA DE FACTURACIÓN]])&gt;PROVEEDORES[[#This Row],[PLAZO Días]],"PAGO VENCIDO")</f>
        <v>0</v>
      </c>
      <c r="C1055" s="25">
        <f>+VLOOKUP(PROVEEDORES[[#This Row],[PROVEEDOR]],TERCEROS_INFO[#All],2,FALSE)</f>
        <v>30</v>
      </c>
      <c r="D1055" s="30">
        <f>+SUMIFS(PROVEEDORES[Total],PROVEEDORES[PROVEEDOR],PROVEEDORES[[#This Row],[PROVEEDOR]],PROVEEDORES[FECHA DE PAGO],"")</f>
        <v>0</v>
      </c>
      <c r="E1055" s="30"/>
      <c r="F1055" s="73" t="str">
        <f>+VLOOKUP(PROVEEDORES[[#This Row],[PROVEEDOR]],TERCEROS_INFO[[PROVEEDOR]:[CORREO]],5,FALSE)</f>
        <v/>
      </c>
      <c r="G1055" s="111">
        <v>44532</v>
      </c>
      <c r="H1055" s="31" t="s">
        <v>1016</v>
      </c>
      <c r="I1055" s="111">
        <v>44532</v>
      </c>
      <c r="J1055" s="48" t="s">
        <v>889</v>
      </c>
      <c r="K1055" s="26">
        <v>124000</v>
      </c>
      <c r="L1055" s="26"/>
      <c r="M1055" s="27">
        <v>0</v>
      </c>
      <c r="N1055" s="28"/>
      <c r="O1055" s="27">
        <v>0</v>
      </c>
      <c r="P1055" s="28">
        <v>0</v>
      </c>
      <c r="Q1055" s="27">
        <v>0</v>
      </c>
      <c r="R1055" s="26">
        <v>124000</v>
      </c>
      <c r="S1055" s="115">
        <f ca="1">IF(PROVEEDORES[[#This Row],[FECHA DE PAGO]]=0,TODAY()-PROVEEDORES[[#This Row],[FECHA DE FACTURACIÓN]]-PROVEEDORES[[#This Row],[PLAZO Días]],0)</f>
        <v>0</v>
      </c>
      <c r="T10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6" spans="1:20" ht="21.9" customHeight="1" x14ac:dyDescent="0.3">
      <c r="A1056" s="113" t="str">
        <f>+IF(PROVEEDORES[[#This Row],[FECHA DE PAGO]]=PROVEEDORES[[#This Row],[FECHA DE FACTURACIÓN]],"DE CONTADO","CRÉDITO")</f>
        <v>DE CONTADO</v>
      </c>
      <c r="B1056" s="51" t="b">
        <f>+IF((PROVEEDORES[[#This Row],[FECHA DE PAGO]]-PROVEEDORES[[#This Row],[FECHA DE FACTURACIÓN]])&gt;PROVEEDORES[[#This Row],[PLAZO Días]],"PAGO VENCIDO")</f>
        <v>0</v>
      </c>
      <c r="C1056" s="25">
        <f>+VLOOKUP(PROVEEDORES[[#This Row],[PROVEEDOR]],TERCEROS_INFO[#All],2,FALSE)</f>
        <v>30</v>
      </c>
      <c r="D1056" s="30">
        <f>+SUMIFS(PROVEEDORES[Total],PROVEEDORES[PROVEEDOR],PROVEEDORES[[#This Row],[PROVEEDOR]],PROVEEDORES[FECHA DE PAGO],"")</f>
        <v>0</v>
      </c>
      <c r="E1056" s="30"/>
      <c r="F1056" s="73">
        <f>+VLOOKUP(PROVEEDORES[[#This Row],[PROVEEDOR]],TERCEROS_INFO[[PROVEEDOR]:[CORREO]],5,FALSE)</f>
        <v>0</v>
      </c>
      <c r="G1056" s="111">
        <v>44532</v>
      </c>
      <c r="H1056" s="31" t="s">
        <v>1089</v>
      </c>
      <c r="I1056" s="111">
        <v>44532</v>
      </c>
      <c r="J1056" s="48">
        <v>310</v>
      </c>
      <c r="K1056" s="26">
        <v>130252</v>
      </c>
      <c r="L1056" s="26"/>
      <c r="M1056" s="27">
        <v>24747.88</v>
      </c>
      <c r="N1056" s="28"/>
      <c r="O1056" s="27">
        <v>0</v>
      </c>
      <c r="P1056" s="28">
        <v>0</v>
      </c>
      <c r="Q1056" s="27">
        <v>0</v>
      </c>
      <c r="R1056" s="26">
        <v>154999.88</v>
      </c>
      <c r="S1056" s="115">
        <f ca="1">IF(PROVEEDORES[[#This Row],[FECHA DE PAGO]]=0,TODAY()-PROVEEDORES[[#This Row],[FECHA DE FACTURACIÓN]]-PROVEEDORES[[#This Row],[PLAZO Días]],0)</f>
        <v>0</v>
      </c>
      <c r="T105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7" spans="1:20" ht="21.9" customHeight="1" x14ac:dyDescent="0.3">
      <c r="A1057" s="113" t="str">
        <f>+IF(PROVEEDORES[[#This Row],[FECHA DE PAGO]]=PROVEEDORES[[#This Row],[FECHA DE FACTURACIÓN]],"DE CONTADO","CRÉDITO")</f>
        <v>CRÉDITO</v>
      </c>
      <c r="B1057" s="51" t="b">
        <f>+IF((PROVEEDORES[[#This Row],[FECHA DE PAGO]]-PROVEEDORES[[#This Row],[FECHA DE FACTURACIÓN]])&gt;PROVEEDORES[[#This Row],[PLAZO Días]],"PAGO VENCIDO")</f>
        <v>0</v>
      </c>
      <c r="C1057" s="25">
        <f>+VLOOKUP(PROVEEDORES[[#This Row],[PROVEEDOR]],TERCEROS_INFO[#All],2,FALSE)</f>
        <v>30</v>
      </c>
      <c r="D1057" s="30">
        <f>+SUMIFS(PROVEEDORES[Total],PROVEEDORES[PROVEEDOR],PROVEEDORES[[#This Row],[PROVEEDOR]],PROVEEDORES[FECHA DE PAGO],"")</f>
        <v>6482443.1751999995</v>
      </c>
      <c r="E1057" s="30"/>
      <c r="F1057" s="73" t="str">
        <f>+VLOOKUP(PROVEEDORES[[#This Row],[PROVEEDOR]],TERCEROS_INFO[[PROVEEDOR]:[CORREO]],5,FALSE)</f>
        <v>angela.navas@hyrdistribuciones.com;girlesa.ruiz@servipilas.com;joriescobar64@gmail.com</v>
      </c>
      <c r="G1057" s="111">
        <v>44558</v>
      </c>
      <c r="H1057" s="31" t="s">
        <v>18</v>
      </c>
      <c r="I1057" s="111">
        <v>44532</v>
      </c>
      <c r="J1057" s="48">
        <v>1046843</v>
      </c>
      <c r="K1057" s="26">
        <v>164571.6</v>
      </c>
      <c r="L1057" s="26"/>
      <c r="M1057" s="27">
        <v>31268.604000000003</v>
      </c>
      <c r="N1057" s="28"/>
      <c r="O1057" s="27">
        <v>0</v>
      </c>
      <c r="P1057" s="28">
        <v>0</v>
      </c>
      <c r="Q1057" s="27">
        <v>0</v>
      </c>
      <c r="R1057" s="26">
        <v>0</v>
      </c>
      <c r="S1057" s="115">
        <f ca="1">IF(PROVEEDORES[[#This Row],[FECHA DE PAGO]]=0,TODAY()-PROVEEDORES[[#This Row],[FECHA DE FACTURACIÓN]]-PROVEEDORES[[#This Row],[PLAZO Días]],0)</f>
        <v>0</v>
      </c>
      <c r="T105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8" spans="1:20" ht="21.9" customHeight="1" x14ac:dyDescent="0.3">
      <c r="A1058" s="113" t="str">
        <f>+IF(PROVEEDORES[[#This Row],[FECHA DE PAGO]]=PROVEEDORES[[#This Row],[FECHA DE FACTURACIÓN]],"DE CONTADO","CRÉDITO")</f>
        <v>CRÉDITO</v>
      </c>
      <c r="B1058" s="51" t="str">
        <f>+IF((PROVEEDORES[[#This Row],[FECHA DE PAGO]]-PROVEEDORES[[#This Row],[FECHA DE FACTURACIÓN]])&gt;PROVEEDORES[[#This Row],[PLAZO Días]],"PAGO VENCIDO")</f>
        <v>PAGO VENCIDO</v>
      </c>
      <c r="C1058" s="25">
        <f>+VLOOKUP(PROVEEDORES[[#This Row],[PROVEEDOR]],TERCEROS_INFO[#All],2,FALSE)</f>
        <v>45</v>
      </c>
      <c r="D1058" s="30">
        <f>+SUMIFS(PROVEEDORES[Total],PROVEEDORES[PROVEEDOR],PROVEEDORES[[#This Row],[PROVEEDOR]],PROVEEDORES[FECHA DE PAGO],"")</f>
        <v>1070024.2</v>
      </c>
      <c r="E1058" s="30"/>
      <c r="F1058" s="73" t="str">
        <f>+VLOOKUP(PROVEEDORES[[#This Row],[PROVEEDOR]],TERCEROS_INFO[[PROVEEDOR]:[CORREO]],5,FALSE)</f>
        <v>libardopineda@tronex.com;girlesa.ruiz@servipilas.com;joriescobar64@gmail.com</v>
      </c>
      <c r="G1058" s="111">
        <v>44600</v>
      </c>
      <c r="H1058" s="31" t="s">
        <v>10</v>
      </c>
      <c r="I1058" s="111">
        <v>44532</v>
      </c>
      <c r="J1058" s="48" t="s">
        <v>642</v>
      </c>
      <c r="K1058" s="26">
        <v>420000</v>
      </c>
      <c r="L1058" s="26"/>
      <c r="M1058" s="27">
        <v>79800</v>
      </c>
      <c r="N1058" s="28"/>
      <c r="O1058" s="27">
        <v>0</v>
      </c>
      <c r="P1058" s="28">
        <v>0</v>
      </c>
      <c r="Q1058" s="27">
        <v>0</v>
      </c>
      <c r="R1058" s="26">
        <v>499800</v>
      </c>
      <c r="S1058" s="115">
        <f ca="1">IF(PROVEEDORES[[#This Row],[FECHA DE PAGO]]=0,TODAY()-PROVEEDORES[[#This Row],[FECHA DE FACTURACIÓN]]-PROVEEDORES[[#This Row],[PLAZO Días]],0)</f>
        <v>0</v>
      </c>
      <c r="T105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59" spans="1:20" ht="21.9" customHeight="1" x14ac:dyDescent="0.3">
      <c r="A1059" s="113" t="str">
        <f>+IF(PROVEEDORES[[#This Row],[FECHA DE PAGO]]=PROVEEDORES[[#This Row],[FECHA DE FACTURACIÓN]],"DE CONTADO","CRÉDITO")</f>
        <v>CRÉDITO</v>
      </c>
      <c r="B1059" s="51" t="b">
        <f>+IF((PROVEEDORES[[#This Row],[FECHA DE PAGO]]-PROVEEDORES[[#This Row],[FECHA DE FACTURACIÓN]])&gt;PROVEEDORES[[#This Row],[PLAZO Días]],"PAGO VENCIDO")</f>
        <v>0</v>
      </c>
      <c r="C1059" s="25">
        <f>+VLOOKUP(PROVEEDORES[[#This Row],[PROVEEDOR]],TERCEROS_INFO[#All],2,FALSE)</f>
        <v>30</v>
      </c>
      <c r="D1059" s="30">
        <f>+SUMIFS(PROVEEDORES[Total],PROVEEDORES[PROVEEDOR],PROVEEDORES[[#This Row],[PROVEEDOR]],PROVEEDORES[FECHA DE PAGO],"")</f>
        <v>6482443.1751999995</v>
      </c>
      <c r="E1059" s="30"/>
      <c r="F1059" s="73" t="str">
        <f>+VLOOKUP(PROVEEDORES[[#This Row],[PROVEEDOR]],TERCEROS_INFO[[PROVEEDOR]:[CORREO]],5,FALSE)</f>
        <v>angela.navas@hyrdistribuciones.com;girlesa.ruiz@servipilas.com;joriescobar64@gmail.com</v>
      </c>
      <c r="G1059" s="111">
        <v>44558</v>
      </c>
      <c r="H1059" s="31" t="s">
        <v>18</v>
      </c>
      <c r="I1059" s="111">
        <v>44532</v>
      </c>
      <c r="J1059" s="48">
        <v>1046842</v>
      </c>
      <c r="K1059" s="26">
        <v>850000</v>
      </c>
      <c r="L1059" s="26"/>
      <c r="M1059" s="27">
        <v>161500</v>
      </c>
      <c r="N1059" s="28"/>
      <c r="O1059" s="27">
        <v>0</v>
      </c>
      <c r="P1059" s="28">
        <v>0</v>
      </c>
      <c r="Q1059" s="27">
        <v>0</v>
      </c>
      <c r="R1059" s="26">
        <v>1011500</v>
      </c>
      <c r="S1059" s="115">
        <f ca="1">IF(PROVEEDORES[[#This Row],[FECHA DE PAGO]]=0,TODAY()-PROVEEDORES[[#This Row],[FECHA DE FACTURACIÓN]]-PROVEEDORES[[#This Row],[PLAZO Días]],0)</f>
        <v>0</v>
      </c>
      <c r="T10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0" spans="1:20" ht="21.9" customHeight="1" x14ac:dyDescent="0.3">
      <c r="A1060" s="113" t="str">
        <f>+IF(PROVEEDORES[[#This Row],[FECHA DE PAGO]]=PROVEEDORES[[#This Row],[FECHA DE FACTURACIÓN]],"DE CONTADO","CRÉDITO")</f>
        <v>CRÉDITO</v>
      </c>
      <c r="B1060" s="51" t="b">
        <f>+IF((PROVEEDORES[[#This Row],[FECHA DE PAGO]]-PROVEEDORES[[#This Row],[FECHA DE FACTURACIÓN]])&gt;PROVEEDORES[[#This Row],[PLAZO Días]],"PAGO VENCIDO")</f>
        <v>0</v>
      </c>
      <c r="C1060" s="25">
        <f>+VLOOKUP(PROVEEDORES[[#This Row],[PROVEEDOR]],TERCEROS_INFO[#All],2,FALSE)</f>
        <v>30</v>
      </c>
      <c r="D1060" s="30">
        <f>+SUMIFS(PROVEEDORES[Total],PROVEEDORES[PROVEEDOR],PROVEEDORES[[#This Row],[PROVEEDOR]],PROVEEDORES[FECHA DE PAGO],"")</f>
        <v>6482443.1751999995</v>
      </c>
      <c r="E1060" s="30"/>
      <c r="F1060" s="73" t="str">
        <f>+VLOOKUP(PROVEEDORES[[#This Row],[PROVEEDOR]],TERCEROS_INFO[[PROVEEDOR]:[CORREO]],5,FALSE)</f>
        <v>angela.navas@hyrdistribuciones.com;girlesa.ruiz@servipilas.com;joriescobar64@gmail.com</v>
      </c>
      <c r="G1060" s="111">
        <v>44558</v>
      </c>
      <c r="H1060" s="31" t="s">
        <v>18</v>
      </c>
      <c r="I1060" s="111">
        <v>44532</v>
      </c>
      <c r="J1060" s="48">
        <v>1046801</v>
      </c>
      <c r="K1060" s="26">
        <v>4441621.4400000004</v>
      </c>
      <c r="L1060" s="26"/>
      <c r="M1060" s="27">
        <v>843908.07360000012</v>
      </c>
      <c r="N1060" s="28"/>
      <c r="O1060" s="27">
        <v>0</v>
      </c>
      <c r="P1060" s="28">
        <v>2.5000000000000001E-2</v>
      </c>
      <c r="Q1060" s="27">
        <v>111040.53600000002</v>
      </c>
      <c r="R1060" s="26">
        <v>5174488.9775999999</v>
      </c>
      <c r="S1060" s="115">
        <f ca="1">IF(PROVEEDORES[[#This Row],[FECHA DE PAGO]]=0,TODAY()-PROVEEDORES[[#This Row],[FECHA DE FACTURACIÓN]]-PROVEEDORES[[#This Row],[PLAZO Días]],0)</f>
        <v>0</v>
      </c>
      <c r="T106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1" spans="1:20" ht="21.9" customHeight="1" x14ac:dyDescent="0.3">
      <c r="A1061" s="113" t="str">
        <f>+IF(PROVEEDORES[[#This Row],[FECHA DE PAGO]]=PROVEEDORES[[#This Row],[FECHA DE FACTURACIÓN]],"DE CONTADO","CRÉDITO")</f>
        <v>DE CONTADO</v>
      </c>
      <c r="B1061" s="51" t="b">
        <f>+IF((PROVEEDORES[[#This Row],[FECHA DE PAGO]]-PROVEEDORES[[#This Row],[FECHA DE FACTURACIÓN]])&gt;PROVEEDORES[[#This Row],[PLAZO Días]],"PAGO VENCIDO")</f>
        <v>0</v>
      </c>
      <c r="C1061" s="25">
        <f>+VLOOKUP(PROVEEDORES[[#This Row],[PROVEEDOR]],TERCEROS_INFO[#All],2,FALSE)</f>
        <v>90</v>
      </c>
      <c r="D1061" s="30">
        <f>+SUMIFS(PROVEEDORES[Total],PROVEEDORES[PROVEEDOR],PROVEEDORES[[#This Row],[PROVEEDOR]],PROVEEDORES[FECHA DE PAGO],"")</f>
        <v>24974028.109999996</v>
      </c>
      <c r="E1061" s="30"/>
      <c r="F1061" s="73" t="str">
        <f>+VLOOKUP(PROVEEDORES[[#This Row],[PROVEEDOR]],TERCEROS_INFO[[PROVEEDOR]:[CORREO]],5,FALSE)</f>
        <v>criszapata1234@gmail.com;girlesa.ruiz@servipilas.com;joriescobar64@gmail.com</v>
      </c>
      <c r="G1061" s="111">
        <v>44533</v>
      </c>
      <c r="H1061" s="31" t="s">
        <v>78</v>
      </c>
      <c r="I1061" s="111">
        <v>44533</v>
      </c>
      <c r="J1061" s="48" t="s">
        <v>600</v>
      </c>
      <c r="K1061" s="26">
        <v>-11772165</v>
      </c>
      <c r="L1061" s="26"/>
      <c r="M1061" s="27">
        <v>0</v>
      </c>
      <c r="N1061" s="28"/>
      <c r="O1061" s="27">
        <v>0</v>
      </c>
      <c r="P1061" s="28">
        <v>0</v>
      </c>
      <c r="Q1061" s="27">
        <v>0</v>
      </c>
      <c r="R1061" s="26">
        <v>-11772165</v>
      </c>
      <c r="S1061" s="115">
        <f ca="1">IF(PROVEEDORES[[#This Row],[FECHA DE PAGO]]=0,TODAY()-PROVEEDORES[[#This Row],[FECHA DE FACTURACIÓN]]-PROVEEDORES[[#This Row],[PLAZO Días]],0)</f>
        <v>0</v>
      </c>
      <c r="T106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2" spans="1:20" ht="21.9" customHeight="1" x14ac:dyDescent="0.3">
      <c r="A1062" s="113" t="str">
        <f>+IF(PROVEEDORES[[#This Row],[FECHA DE PAGO]]=PROVEEDORES[[#This Row],[FECHA DE FACTURACIÓN]],"DE CONTADO","CRÉDITO")</f>
        <v>DE CONTADO</v>
      </c>
      <c r="B1062" s="51" t="b">
        <f>+IF((PROVEEDORES[[#This Row],[FECHA DE PAGO]]-PROVEEDORES[[#This Row],[FECHA DE FACTURACIÓN]])&gt;PROVEEDORES[[#This Row],[PLAZO Días]],"PAGO VENCIDO")</f>
        <v>0</v>
      </c>
      <c r="C1062" s="25">
        <f>+VLOOKUP(PROVEEDORES[[#This Row],[PROVEEDOR]],TERCEROS_INFO[#All],2,FALSE)</f>
        <v>30</v>
      </c>
      <c r="D1062" s="30">
        <f>+SUMIFS(PROVEEDORES[Total],PROVEEDORES[PROVEEDOR],PROVEEDORES[[#This Row],[PROVEEDOR]],PROVEEDORES[FECHA DE PAGO],"")</f>
        <v>21832129.73</v>
      </c>
      <c r="E1062" s="30"/>
      <c r="F1062" s="73" t="str">
        <f>+VLOOKUP(PROVEEDORES[[#This Row],[PROVEEDOR]],TERCEROS_INFO[[PROVEEDOR]:[CORREO]],5,FALSE)</f>
        <v>cartera1@grupostatur.com;girlesa.ruiz@servipilas.com;joriescobar64@gmail.com</v>
      </c>
      <c r="G1062" s="111">
        <v>44533</v>
      </c>
      <c r="H1062" s="31" t="s">
        <v>9</v>
      </c>
      <c r="I1062" s="111">
        <v>44533</v>
      </c>
      <c r="J1062" s="48" t="s">
        <v>870</v>
      </c>
      <c r="K1062" s="26">
        <v>-6253444</v>
      </c>
      <c r="L1062" s="26"/>
      <c r="M1062" s="27">
        <v>0</v>
      </c>
      <c r="N1062" s="28"/>
      <c r="O1062" s="27">
        <v>0</v>
      </c>
      <c r="P1062" s="28">
        <v>0</v>
      </c>
      <c r="Q1062" s="27">
        <v>0</v>
      </c>
      <c r="R1062" s="26">
        <v>-6253444</v>
      </c>
      <c r="S1062" s="115">
        <f ca="1">IF(PROVEEDORES[[#This Row],[FECHA DE PAGO]]=0,TODAY()-PROVEEDORES[[#This Row],[FECHA DE FACTURACIÓN]]-PROVEEDORES[[#This Row],[PLAZO Días]],0)</f>
        <v>0</v>
      </c>
      <c r="T10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3" spans="1:20" ht="21.9" customHeight="1" x14ac:dyDescent="0.3">
      <c r="A1063" s="113" t="str">
        <f>+IF(PROVEEDORES[[#This Row],[FECHA DE PAGO]]=PROVEEDORES[[#This Row],[FECHA DE FACTURACIÓN]],"DE CONTADO","CRÉDITO")</f>
        <v>CRÉDITO</v>
      </c>
      <c r="B1063" s="51" t="str">
        <f>+IF((PROVEEDORES[[#This Row],[FECHA DE PAGO]]-PROVEEDORES[[#This Row],[FECHA DE FACTURACIÓN]])&gt;PROVEEDORES[[#This Row],[PLAZO Días]],"PAGO VENCIDO")</f>
        <v>PAGO VENCIDO</v>
      </c>
      <c r="C1063" s="25">
        <f>+VLOOKUP(PROVEEDORES[[#This Row],[PROVEEDOR]],TERCEROS_INFO[#All],2,FALSE)</f>
        <v>30</v>
      </c>
      <c r="D1063" s="30">
        <f>+SUMIFS(PROVEEDORES[Total],PROVEEDORES[PROVEEDOR],PROVEEDORES[[#This Row],[PROVEEDOR]],PROVEEDORES[FECHA DE PAGO],"")</f>
        <v>2719966.6375000002</v>
      </c>
      <c r="E1063" s="30"/>
      <c r="F1063" s="73" t="str">
        <f>+VLOOKUP(PROVEEDORES[[#This Row],[PROVEEDOR]],TERCEROS_INFO[[PROVEEDOR]:[CORREO]],5,FALSE)</f>
        <v>aleja-1305agudelo@hotmail.com;provecol@une.net.co;girlesa.ruiz@servipilas.com;joriescobar64@gmail.com</v>
      </c>
      <c r="G1063" s="111">
        <v>44600</v>
      </c>
      <c r="H1063" s="31" t="s">
        <v>460</v>
      </c>
      <c r="I1063" s="111">
        <v>44533</v>
      </c>
      <c r="J1063" s="48" t="s">
        <v>1158</v>
      </c>
      <c r="K1063" s="26">
        <v>-4503132.55</v>
      </c>
      <c r="L1063" s="26"/>
      <c r="M1063" s="27">
        <v>0</v>
      </c>
      <c r="N1063" s="28"/>
      <c r="O1063" s="27">
        <v>0</v>
      </c>
      <c r="P1063" s="28">
        <v>0</v>
      </c>
      <c r="Q1063" s="27">
        <v>0</v>
      </c>
      <c r="R1063" s="26">
        <v>-4503132.55</v>
      </c>
      <c r="S1063" s="115">
        <f ca="1">IF(PROVEEDORES[[#This Row],[FECHA DE PAGO]]=0,TODAY()-PROVEEDORES[[#This Row],[FECHA DE FACTURACIÓN]]-PROVEEDORES[[#This Row],[PLAZO Días]],0)</f>
        <v>0</v>
      </c>
      <c r="T10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4" spans="1:20" ht="21.9" customHeight="1" x14ac:dyDescent="0.3">
      <c r="A1064" s="113" t="str">
        <f>+IF(PROVEEDORES[[#This Row],[FECHA DE PAGO]]=PROVEEDORES[[#This Row],[FECHA DE FACTURACIÓN]],"DE CONTADO","CRÉDITO")</f>
        <v>CRÉDITO</v>
      </c>
      <c r="B1064" s="51" t="b">
        <f>+IF((PROVEEDORES[[#This Row],[FECHA DE PAGO]]-PROVEEDORES[[#This Row],[FECHA DE FACTURACIÓN]])&gt;PROVEEDORES[[#This Row],[PLAZO Días]],"PAGO VENCIDO")</f>
        <v>0</v>
      </c>
      <c r="C1064" s="25">
        <f>+VLOOKUP(PROVEEDORES[[#This Row],[PROVEEDOR]],TERCEROS_INFO[#All],2,FALSE)</f>
        <v>60</v>
      </c>
      <c r="D1064" s="30">
        <f>+SUMIFS(PROVEEDORES[Total],PROVEEDORES[PROVEEDOR],PROVEEDORES[[#This Row],[PROVEEDOR]],PROVEEDORES[FECHA DE PAGO],"")</f>
        <v>602800</v>
      </c>
      <c r="E1064" s="30"/>
      <c r="F1064" s="73" t="str">
        <f>+VLOOKUP(PROVEEDORES[[#This Row],[PROVEEDOR]],TERCEROS_INFO[[PROVEEDOR]:[CORREO]],5,FALSE)</f>
        <v>jessica.barios.com@carpainternacional;girlesa.ruiz@servipilas.com;joriescobar64@gmail.com</v>
      </c>
      <c r="G1064" s="111">
        <v>44586</v>
      </c>
      <c r="H1064" s="31" t="s">
        <v>607</v>
      </c>
      <c r="I1064" s="111">
        <v>44533</v>
      </c>
      <c r="J1064" s="48" t="s">
        <v>891</v>
      </c>
      <c r="K1064" s="26">
        <v>201600</v>
      </c>
      <c r="L1064" s="26"/>
      <c r="M1064" s="27">
        <v>0</v>
      </c>
      <c r="N1064" s="28"/>
      <c r="O1064" s="27">
        <v>0</v>
      </c>
      <c r="P1064" s="28">
        <v>0</v>
      </c>
      <c r="Q1064" s="27">
        <v>0</v>
      </c>
      <c r="R1064" s="26">
        <v>201600</v>
      </c>
      <c r="S1064" s="115">
        <f ca="1">IF(PROVEEDORES[[#This Row],[FECHA DE PAGO]]=0,TODAY()-PROVEEDORES[[#This Row],[FECHA DE FACTURACIÓN]]-PROVEEDORES[[#This Row],[PLAZO Días]],0)</f>
        <v>0</v>
      </c>
      <c r="T10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5" spans="1:20" ht="21.9" customHeight="1" x14ac:dyDescent="0.3">
      <c r="A1065" s="113" t="str">
        <f>+IF(PROVEEDORES[[#This Row],[FECHA DE PAGO]]=PROVEEDORES[[#This Row],[FECHA DE FACTURACIÓN]],"DE CONTADO","CRÉDITO")</f>
        <v>CRÉDITO</v>
      </c>
      <c r="B1065" s="51" t="b">
        <f>+IF((PROVEEDORES[[#This Row],[FECHA DE PAGO]]-PROVEEDORES[[#This Row],[FECHA DE FACTURACIÓN]])&gt;PROVEEDORES[[#This Row],[PLAZO Días]],"PAGO VENCIDO")</f>
        <v>0</v>
      </c>
      <c r="C1065" s="25">
        <f>+VLOOKUP(PROVEEDORES[[#This Row],[PROVEEDOR]],TERCEROS_INFO[#All],2,FALSE)</f>
        <v>30</v>
      </c>
      <c r="D1065" s="30">
        <f>+SUMIFS(PROVEEDORES[Total],PROVEEDORES[PROVEEDOR],PROVEEDORES[[#This Row],[PROVEEDOR]],PROVEEDORES[FECHA DE PAGO],"")</f>
        <v>0</v>
      </c>
      <c r="E1065" s="30"/>
      <c r="F1065" s="73" t="str">
        <f>+VLOOKUP(PROVEEDORES[[#This Row],[PROVEEDOR]],TERCEROS_INFO[[PROVEEDOR]:[CORREO]],5,FALSE)</f>
        <v>Tuspilas.co@gmail.com;girlesa.ruiz@servipilas.com;joriescobar64@gmail.com</v>
      </c>
      <c r="G1065" s="111">
        <v>44550</v>
      </c>
      <c r="H1065" s="31" t="s">
        <v>43</v>
      </c>
      <c r="I1065" s="111">
        <v>44533</v>
      </c>
      <c r="J1065" s="48" t="s">
        <v>648</v>
      </c>
      <c r="K1065" s="26">
        <v>297278.40000000002</v>
      </c>
      <c r="L1065" s="26"/>
      <c r="M1065" s="27">
        <v>56482.896000000008</v>
      </c>
      <c r="N1065" s="28"/>
      <c r="O1065" s="27">
        <v>0</v>
      </c>
      <c r="P1065" s="28">
        <v>0</v>
      </c>
      <c r="Q1065" s="27">
        <v>0</v>
      </c>
      <c r="R1065" s="26">
        <v>353761.29600000003</v>
      </c>
      <c r="S1065" s="115">
        <f ca="1">IF(PROVEEDORES[[#This Row],[FECHA DE PAGO]]=0,TODAY()-PROVEEDORES[[#This Row],[FECHA DE FACTURACIÓN]]-PROVEEDORES[[#This Row],[PLAZO Días]],0)</f>
        <v>0</v>
      </c>
      <c r="T10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6" spans="1:20" ht="21.9" customHeight="1" x14ac:dyDescent="0.3">
      <c r="A1066" s="113" t="str">
        <f>+IF(PROVEEDORES[[#This Row],[FECHA DE PAGO]]=PROVEEDORES[[#This Row],[FECHA DE FACTURACIÓN]],"DE CONTADO","CRÉDITO")</f>
        <v>DE CONTADO</v>
      </c>
      <c r="B1066" s="51" t="b">
        <f>+IF((PROVEEDORES[[#This Row],[FECHA DE PAGO]]-PROVEEDORES[[#This Row],[FECHA DE FACTURACIÓN]])&gt;PROVEEDORES[[#This Row],[PLAZO Días]],"PAGO VENCIDO")</f>
        <v>0</v>
      </c>
      <c r="C1066" s="25">
        <f>+VLOOKUP(PROVEEDORES[[#This Row],[PROVEEDOR]],TERCEROS_INFO[#All],2,FALSE)</f>
        <v>30</v>
      </c>
      <c r="D1066" s="30">
        <f>+SUMIFS(PROVEEDORES[Total],PROVEEDORES[PROVEEDOR],PROVEEDORES[[#This Row],[PROVEEDOR]],PROVEEDORES[FECHA DE PAGO],"")</f>
        <v>0</v>
      </c>
      <c r="E1066" s="30"/>
      <c r="F1066" s="73" t="str">
        <f>+VLOOKUP(PROVEEDORES[[#This Row],[PROVEEDOR]],TERCEROS_INFO[[PROVEEDOR]:[CORREO]],5,FALSE)</f>
        <v/>
      </c>
      <c r="G1066" s="111">
        <v>44533</v>
      </c>
      <c r="H1066" s="31" t="s">
        <v>1037</v>
      </c>
      <c r="I1066" s="111">
        <v>44533</v>
      </c>
      <c r="J1066" s="48" t="s">
        <v>890</v>
      </c>
      <c r="K1066" s="26">
        <v>424000</v>
      </c>
      <c r="L1066" s="26"/>
      <c r="M1066" s="27">
        <v>0</v>
      </c>
      <c r="N1066" s="28"/>
      <c r="O1066" s="27">
        <v>0</v>
      </c>
      <c r="P1066" s="28">
        <v>0</v>
      </c>
      <c r="Q1066" s="27">
        <v>0</v>
      </c>
      <c r="R1066" s="26">
        <v>424000</v>
      </c>
      <c r="S1066" s="115">
        <f ca="1">IF(PROVEEDORES[[#This Row],[FECHA DE PAGO]]=0,TODAY()-PROVEEDORES[[#This Row],[FECHA DE FACTURACIÓN]]-PROVEEDORES[[#This Row],[PLAZO Días]],0)</f>
        <v>0</v>
      </c>
      <c r="T106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7" spans="1:20" ht="21.9" customHeight="1" x14ac:dyDescent="0.3">
      <c r="A1067" s="113" t="str">
        <f>+IF(PROVEEDORES[[#This Row],[FECHA DE PAGO]]=PROVEEDORES[[#This Row],[FECHA DE FACTURACIÓN]],"DE CONTADO","CRÉDITO")</f>
        <v>CRÉDITO</v>
      </c>
      <c r="B1067" s="51" t="b">
        <f>+IF((PROVEEDORES[[#This Row],[FECHA DE PAGO]]-PROVEEDORES[[#This Row],[FECHA DE FACTURACIÓN]])&gt;PROVEEDORES[[#This Row],[PLAZO Días]],"PAGO VENCIDO")</f>
        <v>0</v>
      </c>
      <c r="C1067" s="25">
        <f>+VLOOKUP(PROVEEDORES[[#This Row],[PROVEEDOR]],TERCEROS_INFO[#All],2,FALSE)</f>
        <v>60</v>
      </c>
      <c r="D1067" s="30">
        <f>+SUMIFS(PROVEEDORES[Total],PROVEEDORES[PROVEEDOR],PROVEEDORES[[#This Row],[PROVEEDOR]],PROVEEDORES[FECHA DE PAGO],"")</f>
        <v>602800</v>
      </c>
      <c r="E1067" s="30"/>
      <c r="F1067" s="73" t="str">
        <f>+VLOOKUP(PROVEEDORES[[#This Row],[PROVEEDOR]],TERCEROS_INFO[[PROVEEDOR]:[CORREO]],5,FALSE)</f>
        <v>jessica.barios.com@carpainternacional;girlesa.ruiz@servipilas.com;joriescobar64@gmail.com</v>
      </c>
      <c r="G1067" s="111">
        <v>44586</v>
      </c>
      <c r="H1067" s="31" t="s">
        <v>607</v>
      </c>
      <c r="I1067" s="111">
        <v>44533</v>
      </c>
      <c r="J1067" s="48" t="s">
        <v>892</v>
      </c>
      <c r="K1067" s="26">
        <v>487200</v>
      </c>
      <c r="L1067" s="26"/>
      <c r="M1067" s="27">
        <v>0</v>
      </c>
      <c r="N1067" s="28"/>
      <c r="O1067" s="27">
        <v>0</v>
      </c>
      <c r="P1067" s="28">
        <v>0</v>
      </c>
      <c r="Q1067" s="27">
        <v>0</v>
      </c>
      <c r="R1067" s="26">
        <v>487200</v>
      </c>
      <c r="S1067" s="115">
        <f ca="1">IF(PROVEEDORES[[#This Row],[FECHA DE PAGO]]=0,TODAY()-PROVEEDORES[[#This Row],[FECHA DE FACTURACIÓN]]-PROVEEDORES[[#This Row],[PLAZO Días]],0)</f>
        <v>0</v>
      </c>
      <c r="T10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8" spans="1:20" ht="21.9" customHeight="1" x14ac:dyDescent="0.3">
      <c r="A1068" s="113" t="str">
        <f>+IF(PROVEEDORES[[#This Row],[FECHA DE PAGO]]=PROVEEDORES[[#This Row],[FECHA DE FACTURACIÓN]],"DE CONTADO","CRÉDITO")</f>
        <v>DE CONTADO</v>
      </c>
      <c r="B1068" s="51" t="b">
        <f>+IF((PROVEEDORES[[#This Row],[FECHA DE PAGO]]-PROVEEDORES[[#This Row],[FECHA DE FACTURACIÓN]])&gt;PROVEEDORES[[#This Row],[PLAZO Días]],"PAGO VENCIDO")</f>
        <v>0</v>
      </c>
      <c r="C1068" s="25">
        <f>+VLOOKUP(PROVEEDORES[[#This Row],[PROVEEDOR]],TERCEROS_INFO[#All],2,FALSE)</f>
        <v>30</v>
      </c>
      <c r="D1068" s="30">
        <f>+SUMIFS(PROVEEDORES[Total],PROVEEDORES[PROVEEDOR],PROVEEDORES[[#This Row],[PROVEEDOR]],PROVEEDORES[FECHA DE PAGO],"")</f>
        <v>0</v>
      </c>
      <c r="E1068" s="30"/>
      <c r="F1068" s="73" t="str">
        <f>+VLOOKUP(PROVEEDORES[[#This Row],[PROVEEDOR]],TERCEROS_INFO[[PROVEEDOR]:[CORREO]],5,FALSE)</f>
        <v/>
      </c>
      <c r="G1068" s="111">
        <v>44533</v>
      </c>
      <c r="H1068" s="31" t="s">
        <v>1052</v>
      </c>
      <c r="I1068" s="111">
        <v>44533</v>
      </c>
      <c r="J1068" s="48"/>
      <c r="K1068" s="26">
        <v>1000000</v>
      </c>
      <c r="L1068" s="26"/>
      <c r="M1068" s="27">
        <v>0</v>
      </c>
      <c r="N1068" s="28"/>
      <c r="O1068" s="27">
        <v>0</v>
      </c>
      <c r="P1068" s="28">
        <v>0</v>
      </c>
      <c r="Q1068" s="27">
        <v>0</v>
      </c>
      <c r="R1068" s="26">
        <v>1000000</v>
      </c>
      <c r="S1068" s="115">
        <f ca="1">IF(PROVEEDORES[[#This Row],[FECHA DE PAGO]]=0,TODAY()-PROVEEDORES[[#This Row],[FECHA DE FACTURACIÓN]]-PROVEEDORES[[#This Row],[PLAZO Días]],0)</f>
        <v>0</v>
      </c>
      <c r="T10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69" spans="1:20" ht="21.9" customHeight="1" x14ac:dyDescent="0.3">
      <c r="A1069" s="113" t="str">
        <f>+IF(PROVEEDORES[[#This Row],[FECHA DE PAGO]]=PROVEEDORES[[#This Row],[FECHA DE FACTURACIÓN]],"DE CONTADO","CRÉDITO")</f>
        <v>CRÉDITO</v>
      </c>
      <c r="B1069" s="51" t="b">
        <f>+IF((PROVEEDORES[[#This Row],[FECHA DE PAGO]]-PROVEEDORES[[#This Row],[FECHA DE FACTURACIÓN]])&gt;PROVEEDORES[[#This Row],[PLAZO Días]],"PAGO VENCIDO")</f>
        <v>0</v>
      </c>
      <c r="C1069" s="25">
        <f>+VLOOKUP(PROVEEDORES[[#This Row],[PROVEEDOR]],TERCEROS_INFO[#All],2,FALSE)</f>
        <v>30</v>
      </c>
      <c r="D1069" s="30">
        <f>+SUMIFS(PROVEEDORES[Total],PROVEEDORES[PROVEEDOR],PROVEEDORES[[#This Row],[PROVEEDOR]],PROVEEDORES[FECHA DE PAGO],"")</f>
        <v>10764600</v>
      </c>
      <c r="E1069" s="30"/>
      <c r="F1069" s="73" t="str">
        <f>+VLOOKUP(PROVEEDORES[[#This Row],[PROVEEDOR]],TERCEROS_INFO[[PROVEEDOR]:[CORREO]],5,FALSE)</f>
        <v>apresupuesto@widexcolombia.com;girlesa.ruiz@servipilas.com;joriescobar64@gmail.com</v>
      </c>
      <c r="G1069" s="111">
        <v>44558</v>
      </c>
      <c r="H1069" s="31" t="s">
        <v>11</v>
      </c>
      <c r="I1069" s="111">
        <v>44533</v>
      </c>
      <c r="J1069" s="48" t="s">
        <v>647</v>
      </c>
      <c r="K1069" s="26">
        <v>4995000</v>
      </c>
      <c r="L1069" s="26"/>
      <c r="M1069" s="27">
        <v>949050</v>
      </c>
      <c r="N1069" s="28"/>
      <c r="O1069" s="27">
        <v>0</v>
      </c>
      <c r="P1069" s="28">
        <v>2.5000000000000001E-2</v>
      </c>
      <c r="Q1069" s="27">
        <v>124875</v>
      </c>
      <c r="R1069" s="26">
        <v>5819175</v>
      </c>
      <c r="S1069" s="115">
        <f ca="1">IF(PROVEEDORES[[#This Row],[FECHA DE PAGO]]=0,TODAY()-PROVEEDORES[[#This Row],[FECHA DE FACTURACIÓN]]-PROVEEDORES[[#This Row],[PLAZO Días]],0)</f>
        <v>0</v>
      </c>
      <c r="T106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0" spans="1:20" ht="21.9" customHeight="1" x14ac:dyDescent="0.3">
      <c r="A1070" s="113" t="str">
        <f>+IF(PROVEEDORES[[#This Row],[FECHA DE PAGO]]=PROVEEDORES[[#This Row],[FECHA DE FACTURACIÓN]],"DE CONTADO","CRÉDITO")</f>
        <v>CRÉDITO</v>
      </c>
      <c r="B1070" s="51" t="b">
        <f>+IF((PROVEEDORES[[#This Row],[FECHA DE PAGO]]-PROVEEDORES[[#This Row],[FECHA DE FACTURACIÓN]])&gt;PROVEEDORES[[#This Row],[PLAZO Días]],"PAGO VENCIDO")</f>
        <v>0</v>
      </c>
      <c r="C1070" s="25">
        <f>+VLOOKUP(PROVEEDORES[[#This Row],[PROVEEDOR]],TERCEROS_INFO[#All],2,FALSE)</f>
        <v>30</v>
      </c>
      <c r="D1070" s="30">
        <f>+SUMIFS(PROVEEDORES[Total],PROVEEDORES[PROVEEDOR],PROVEEDORES[[#This Row],[PROVEEDOR]],PROVEEDORES[FECHA DE PAGO],"")</f>
        <v>2324514.0150000001</v>
      </c>
      <c r="E1070" s="30"/>
      <c r="F1070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1070" s="111">
        <v>44558</v>
      </c>
      <c r="H1070" s="31" t="s">
        <v>24</v>
      </c>
      <c r="I1070" s="111">
        <v>44533</v>
      </c>
      <c r="J1070" s="48" t="s">
        <v>650</v>
      </c>
      <c r="K1070" s="26">
        <v>7960000</v>
      </c>
      <c r="L1070" s="26"/>
      <c r="M1070" s="27">
        <v>1512400</v>
      </c>
      <c r="N1070" s="28"/>
      <c r="O1070" s="27">
        <v>0</v>
      </c>
      <c r="P1070" s="28">
        <v>2.5000000000000001E-2</v>
      </c>
      <c r="Q1070" s="27">
        <v>199000</v>
      </c>
      <c r="R1070" s="26">
        <v>0</v>
      </c>
      <c r="S1070" s="115">
        <f ca="1">IF(PROVEEDORES[[#This Row],[FECHA DE PAGO]]=0,TODAY()-PROVEEDORES[[#This Row],[FECHA DE FACTURACIÓN]]-PROVEEDORES[[#This Row],[PLAZO Días]],0)</f>
        <v>0</v>
      </c>
      <c r="T107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1" spans="1:20" ht="21.9" customHeight="1" x14ac:dyDescent="0.3">
      <c r="A1071" s="113" t="str">
        <f>+IF(PROVEEDORES[[#This Row],[FECHA DE PAGO]]=PROVEEDORES[[#This Row],[FECHA DE FACTURACIÓN]],"DE CONTADO","CRÉDITO")</f>
        <v>CRÉDITO</v>
      </c>
      <c r="B1071" s="51" t="b">
        <f>+IF((PROVEEDORES[[#This Row],[FECHA DE PAGO]]-PROVEEDORES[[#This Row],[FECHA DE FACTURACIÓN]])&gt;PROVEEDORES[[#This Row],[PLAZO Días]],"PAGO VENCIDO")</f>
        <v>0</v>
      </c>
      <c r="C1071" s="25">
        <f>+VLOOKUP(PROVEEDORES[[#This Row],[PROVEEDOR]],TERCEROS_INFO[#All],2,FALSE)</f>
        <v>30</v>
      </c>
      <c r="D1071" s="30">
        <f>+SUMIFS(PROVEEDORES[Total],PROVEEDORES[PROVEEDOR],PROVEEDORES[[#This Row],[PROVEEDOR]],PROVEEDORES[FECHA DE PAGO],"")</f>
        <v>0</v>
      </c>
      <c r="E1071" s="30"/>
      <c r="F1071" s="73" t="str">
        <f>+VLOOKUP(PROVEEDORES[[#This Row],[PROVEEDOR]],TERCEROS_INFO[[PROVEEDOR]:[CORREO]],5,FALSE)</f>
        <v>contabilidad@comercialweb.com.co;info@servipilas.com</v>
      </c>
      <c r="G1071" s="111">
        <v>44552</v>
      </c>
      <c r="H1071" s="31" t="s">
        <v>344</v>
      </c>
      <c r="I1071" s="111">
        <v>44536</v>
      </c>
      <c r="J1071" s="48">
        <v>804</v>
      </c>
      <c r="K1071" s="26">
        <v>600000</v>
      </c>
      <c r="L1071" s="26"/>
      <c r="M1071" s="27">
        <v>0</v>
      </c>
      <c r="N1071" s="28"/>
      <c r="O1071" s="27">
        <v>0</v>
      </c>
      <c r="P1071" s="28">
        <v>0</v>
      </c>
      <c r="Q1071" s="27">
        <v>0</v>
      </c>
      <c r="R1071" s="26">
        <v>600000</v>
      </c>
      <c r="S1071" s="115">
        <f ca="1">IF(PROVEEDORES[[#This Row],[FECHA DE PAGO]]=0,TODAY()-PROVEEDORES[[#This Row],[FECHA DE FACTURACIÓN]]-PROVEEDORES[[#This Row],[PLAZO Días]],0)</f>
        <v>0</v>
      </c>
      <c r="T10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2" spans="1:20" ht="21.9" customHeight="1" x14ac:dyDescent="0.3">
      <c r="A1072" s="113" t="str">
        <f>+IF(PROVEEDORES[[#This Row],[FECHA DE PAGO]]=PROVEEDORES[[#This Row],[FECHA DE FACTURACIÓN]],"DE CONTADO","CRÉDITO")</f>
        <v>CRÉDITO</v>
      </c>
      <c r="B1072" s="51" t="b">
        <f>+IF((PROVEEDORES[[#This Row],[FECHA DE PAGO]]-PROVEEDORES[[#This Row],[FECHA DE FACTURACIÓN]])&gt;PROVEEDORES[[#This Row],[PLAZO Días]],"PAGO VENCIDO")</f>
        <v>0</v>
      </c>
      <c r="C1072" s="25">
        <f>+VLOOKUP(PROVEEDORES[[#This Row],[PROVEEDOR]],TERCEROS_INFO[#All],2,FALSE)</f>
        <v>30</v>
      </c>
      <c r="D1072" s="30">
        <f>+SUMIFS(PROVEEDORES[Total],PROVEEDORES[PROVEEDOR],PROVEEDORES[[#This Row],[PROVEEDOR]],PROVEEDORES[FECHA DE PAGO],"")</f>
        <v>0</v>
      </c>
      <c r="E1072" s="30"/>
      <c r="F1072" s="73" t="str">
        <f>+VLOOKUP(PROVEEDORES[[#This Row],[PROVEEDOR]],TERCEROS_INFO[[PROVEEDOR]:[CORREO]],5,FALSE)</f>
        <v>CARLOSARCILAMENSAJERIA@gmail.com;girlesa.ruiz@servipilas.com;joriescobar64@gmail.com</v>
      </c>
      <c r="G1072" s="111">
        <v>44543</v>
      </c>
      <c r="H1072" s="31" t="s">
        <v>143</v>
      </c>
      <c r="I1072" s="111">
        <v>44536</v>
      </c>
      <c r="J1072" s="48">
        <v>176</v>
      </c>
      <c r="K1072" s="26">
        <v>767000</v>
      </c>
      <c r="L1072" s="26"/>
      <c r="M1072" s="27">
        <v>0</v>
      </c>
      <c r="N1072" s="28"/>
      <c r="O1072" s="27">
        <v>0</v>
      </c>
      <c r="P1072" s="28">
        <v>0.01</v>
      </c>
      <c r="Q1072" s="27">
        <v>7670</v>
      </c>
      <c r="R1072" s="26">
        <v>759330</v>
      </c>
      <c r="S1072" s="115">
        <f ca="1">IF(PROVEEDORES[[#This Row],[FECHA DE PAGO]]=0,TODAY()-PROVEEDORES[[#This Row],[FECHA DE FACTURACIÓN]]-PROVEEDORES[[#This Row],[PLAZO Días]],0)</f>
        <v>0</v>
      </c>
      <c r="T107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3" spans="1:20" ht="21.9" customHeight="1" x14ac:dyDescent="0.3">
      <c r="A1073" s="113" t="str">
        <f>+IF(PROVEEDORES[[#This Row],[FECHA DE PAGO]]=PROVEEDORES[[#This Row],[FECHA DE FACTURACIÓN]],"DE CONTADO","CRÉDITO")</f>
        <v>CRÉDITO</v>
      </c>
      <c r="B1073" s="51" t="b">
        <f>+IF((PROVEEDORES[[#This Row],[FECHA DE PAGO]]-PROVEEDORES[[#This Row],[FECHA DE FACTURACIÓN]])&gt;PROVEEDORES[[#This Row],[PLAZO Días]],"PAGO VENCIDO")</f>
        <v>0</v>
      </c>
      <c r="C1073" s="25">
        <f>+VLOOKUP(PROVEEDORES[[#This Row],[PROVEEDOR]],TERCEROS_INFO[#All],2,FALSE)</f>
        <v>30</v>
      </c>
      <c r="D1073" s="30">
        <f>+SUMIFS(PROVEEDORES[Total],PROVEEDORES[PROVEEDOR],PROVEEDORES[[#This Row],[PROVEEDOR]],PROVEEDORES[FECHA DE PAGO],"")</f>
        <v>264406</v>
      </c>
      <c r="E1073" s="30"/>
      <c r="F1073" s="73" t="str">
        <f>+VLOOKUP(PROVEEDORES[[#This Row],[PROVEEDOR]],TERCEROS_INFO[[PROVEEDOR]:[CORREO]],5,FALSE)</f>
        <v>oswaldo.alvarez@logimexsas.com;girlesa.ruiz@servipilas.com;joriescobar64@gmail.com</v>
      </c>
      <c r="G1073" s="111">
        <v>44537</v>
      </c>
      <c r="H1073" s="31" t="s">
        <v>393</v>
      </c>
      <c r="I1073" s="111">
        <v>44536</v>
      </c>
      <c r="J1073" s="48" t="s">
        <v>893</v>
      </c>
      <c r="K1073" s="26">
        <v>1781000</v>
      </c>
      <c r="L1073" s="26"/>
      <c r="M1073" s="27">
        <v>0</v>
      </c>
      <c r="N1073" s="28"/>
      <c r="O1073" s="27">
        <v>0</v>
      </c>
      <c r="P1073" s="28">
        <v>0</v>
      </c>
      <c r="Q1073" s="27">
        <v>0</v>
      </c>
      <c r="R1073" s="26">
        <v>1781000</v>
      </c>
      <c r="S1073" s="115">
        <f ca="1">IF(PROVEEDORES[[#This Row],[FECHA DE PAGO]]=0,TODAY()-PROVEEDORES[[#This Row],[FECHA DE FACTURACIÓN]]-PROVEEDORES[[#This Row],[PLAZO Días]],0)</f>
        <v>0</v>
      </c>
      <c r="T107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4" spans="1:20" ht="21.9" customHeight="1" x14ac:dyDescent="0.3">
      <c r="A1074" s="113" t="str">
        <f>+IF(PROVEEDORES[[#This Row],[FECHA DE PAGO]]=PROVEEDORES[[#This Row],[FECHA DE FACTURACIÓN]],"DE CONTADO","CRÉDITO")</f>
        <v>CRÉDITO</v>
      </c>
      <c r="B1074" s="51" t="b">
        <f>+IF((PROVEEDORES[[#This Row],[FECHA DE PAGO]]-PROVEEDORES[[#This Row],[FECHA DE FACTURACIÓN]])&gt;PROVEEDORES[[#This Row],[PLAZO Días]],"PAGO VENCIDO")</f>
        <v>0</v>
      </c>
      <c r="C1074" s="25">
        <f>+VLOOKUP(PROVEEDORES[[#This Row],[PROVEEDOR]],TERCEROS_INFO[#All],2,FALSE)</f>
        <v>30</v>
      </c>
      <c r="D1074" s="30">
        <f>+SUMIFS(PROVEEDORES[Total],PROVEEDORES[PROVEEDOR],PROVEEDORES[[#This Row],[PROVEEDOR]],PROVEEDORES[FECHA DE PAGO],"")</f>
        <v>0</v>
      </c>
      <c r="E1074" s="30"/>
      <c r="F1074" s="73" t="str">
        <f>+VLOOKUP(PROVEEDORES[[#This Row],[PROVEEDOR]],TERCEROS_INFO[[PROVEEDOR]:[CORREO]],5,FALSE)</f>
        <v/>
      </c>
      <c r="G1074" s="111">
        <v>44537</v>
      </c>
      <c r="H1074" s="31" t="s">
        <v>54</v>
      </c>
      <c r="I1074" s="111">
        <v>44536</v>
      </c>
      <c r="J1074" s="48">
        <v>286942</v>
      </c>
      <c r="K1074" s="26">
        <v>2175000</v>
      </c>
      <c r="L1074" s="26"/>
      <c r="M1074" s="27">
        <v>0</v>
      </c>
      <c r="N1074" s="28"/>
      <c r="O1074" s="27">
        <v>0</v>
      </c>
      <c r="P1074" s="28">
        <v>0</v>
      </c>
      <c r="Q1074" s="27">
        <v>0</v>
      </c>
      <c r="R1074" s="26">
        <v>2175000</v>
      </c>
      <c r="S1074" s="115">
        <f ca="1">IF(PROVEEDORES[[#This Row],[FECHA DE PAGO]]=0,TODAY()-PROVEEDORES[[#This Row],[FECHA DE FACTURACIÓN]]-PROVEEDORES[[#This Row],[PLAZO Días]],0)</f>
        <v>0</v>
      </c>
      <c r="T107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5" spans="1:20" ht="21.9" customHeight="1" x14ac:dyDescent="0.3">
      <c r="A1075" s="113" t="str">
        <f>+IF(PROVEEDORES[[#This Row],[FECHA DE PAGO]]=PROVEEDORES[[#This Row],[FECHA DE FACTURACIÓN]],"DE CONTADO","CRÉDITO")</f>
        <v>CRÉDITO</v>
      </c>
      <c r="B1075" s="51" t="b">
        <f>+IF((PROVEEDORES[[#This Row],[FECHA DE PAGO]]-PROVEEDORES[[#This Row],[FECHA DE FACTURACIÓN]])&gt;PROVEEDORES[[#This Row],[PLAZO Días]],"PAGO VENCIDO")</f>
        <v>0</v>
      </c>
      <c r="C1075" s="25">
        <f>+VLOOKUP(PROVEEDORES[[#This Row],[PROVEEDOR]],TERCEROS_INFO[#All],2,FALSE)</f>
        <v>30</v>
      </c>
      <c r="D1075" s="30">
        <f>+SUMIFS(PROVEEDORES[Total],PROVEEDORES[PROVEEDOR],PROVEEDORES[[#This Row],[PROVEEDOR]],PROVEEDORES[FECHA DE PAGO],"")</f>
        <v>195500</v>
      </c>
      <c r="E1075" s="30"/>
      <c r="F1075" s="73" t="str">
        <f>+VLOOKUP(PROVEEDORES[[#This Row],[PROVEEDOR]],TERCEROS_INFO[[PROVEEDOR]:[CORREO]],5,FALSE)</f>
        <v/>
      </c>
      <c r="G1075" s="111">
        <v>44553</v>
      </c>
      <c r="H1075" s="31" t="s">
        <v>1053</v>
      </c>
      <c r="I1075" s="111">
        <v>44537</v>
      </c>
      <c r="J1075" s="48" t="s">
        <v>894</v>
      </c>
      <c r="K1075" s="26">
        <v>119980</v>
      </c>
      <c r="L1075" s="26"/>
      <c r="M1075" s="27">
        <v>0</v>
      </c>
      <c r="N1075" s="28"/>
      <c r="O1075" s="27">
        <v>0</v>
      </c>
      <c r="P1075" s="28">
        <v>0</v>
      </c>
      <c r="Q1075" s="27">
        <v>0</v>
      </c>
      <c r="R1075" s="26">
        <v>119980</v>
      </c>
      <c r="S1075" s="115">
        <f ca="1">IF(PROVEEDORES[[#This Row],[FECHA DE PAGO]]=0,TODAY()-PROVEEDORES[[#This Row],[FECHA DE FACTURACIÓN]]-PROVEEDORES[[#This Row],[PLAZO Días]],0)</f>
        <v>0</v>
      </c>
      <c r="T107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6" spans="1:20" ht="21.9" customHeight="1" x14ac:dyDescent="0.3">
      <c r="A1076" s="113" t="str">
        <f>+IF(PROVEEDORES[[#This Row],[FECHA DE PAGO]]=PROVEEDORES[[#This Row],[FECHA DE FACTURACIÓN]],"DE CONTADO","CRÉDITO")</f>
        <v>CRÉDITO</v>
      </c>
      <c r="B1076" s="51" t="b">
        <f>+IF((PROVEEDORES[[#This Row],[FECHA DE PAGO]]-PROVEEDORES[[#This Row],[FECHA DE FACTURACIÓN]])&gt;PROVEEDORES[[#This Row],[PLAZO Días]],"PAGO VENCIDO")</f>
        <v>0</v>
      </c>
      <c r="C1076" s="25">
        <f>+VLOOKUP(PROVEEDORES[[#This Row],[PROVEEDOR]],TERCEROS_INFO[#All],2,FALSE)</f>
        <v>60</v>
      </c>
      <c r="D1076" s="30">
        <f>+SUMIFS(PROVEEDORES[Total],PROVEEDORES[PROVEEDOR],PROVEEDORES[[#This Row],[PROVEEDOR]],PROVEEDORES[FECHA DE PAGO],"")</f>
        <v>602800</v>
      </c>
      <c r="E1076" s="30"/>
      <c r="F1076" s="73" t="str">
        <f>+VLOOKUP(PROVEEDORES[[#This Row],[PROVEEDOR]],TERCEROS_INFO[[PROVEEDOR]:[CORREO]],5,FALSE)</f>
        <v>jessica.barios.com@carpainternacional;girlesa.ruiz@servipilas.com;joriescobar64@gmail.com</v>
      </c>
      <c r="G1076" s="111">
        <v>44586</v>
      </c>
      <c r="H1076" s="31" t="s">
        <v>607</v>
      </c>
      <c r="I1076" s="111">
        <v>44537</v>
      </c>
      <c r="J1076" s="48" t="s">
        <v>895</v>
      </c>
      <c r="K1076" s="26">
        <v>252000</v>
      </c>
      <c r="L1076" s="26"/>
      <c r="M1076" s="27">
        <v>0</v>
      </c>
      <c r="N1076" s="28"/>
      <c r="O1076" s="27">
        <v>0</v>
      </c>
      <c r="P1076" s="28">
        <v>0</v>
      </c>
      <c r="Q1076" s="27">
        <v>0</v>
      </c>
      <c r="R1076" s="26">
        <v>252000</v>
      </c>
      <c r="S1076" s="115">
        <f ca="1">IF(PROVEEDORES[[#This Row],[FECHA DE PAGO]]=0,TODAY()-PROVEEDORES[[#This Row],[FECHA DE FACTURACIÓN]]-PROVEEDORES[[#This Row],[PLAZO Días]],0)</f>
        <v>0</v>
      </c>
      <c r="T10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7" spans="1:20" ht="21.9" customHeight="1" x14ac:dyDescent="0.3">
      <c r="A1077" s="113" t="str">
        <f>+IF(PROVEEDORES[[#This Row],[FECHA DE PAGO]]=PROVEEDORES[[#This Row],[FECHA DE FACTURACIÓN]],"DE CONTADO","CRÉDITO")</f>
        <v>CRÉDITO</v>
      </c>
      <c r="B1077" s="51" t="b">
        <f>+IF((PROVEEDORES[[#This Row],[FECHA DE PAGO]]-PROVEEDORES[[#This Row],[FECHA DE FACTURACIÓN]])&gt;PROVEEDORES[[#This Row],[PLAZO Días]],"PAGO VENCIDO")</f>
        <v>0</v>
      </c>
      <c r="C1077" s="25">
        <f>+VLOOKUP(PROVEEDORES[[#This Row],[PROVEEDOR]],TERCEROS_INFO[#All],2,FALSE)</f>
        <v>10</v>
      </c>
      <c r="D1077" s="30">
        <f>+SUMIFS(PROVEEDORES[Total],PROVEEDORES[PROVEEDOR],PROVEEDORES[[#This Row],[PROVEEDOR]],PROVEEDORES[FECHA DE PAGO],"")</f>
        <v>0</v>
      </c>
      <c r="E1077" s="30"/>
      <c r="F1077" s="73">
        <f>+VLOOKUP(PROVEEDORES[[#This Row],[PROVEEDOR]],TERCEROS_INFO[[PROVEEDOR]:[CORREO]],5,FALSE)</f>
        <v>0</v>
      </c>
      <c r="G1077" s="111">
        <v>44540</v>
      </c>
      <c r="H1077" s="31" t="s">
        <v>645</v>
      </c>
      <c r="I1077" s="111">
        <v>44539</v>
      </c>
      <c r="J1077" s="48" t="s">
        <v>646</v>
      </c>
      <c r="K1077" s="26">
        <v>100840.34</v>
      </c>
      <c r="L1077" s="26"/>
      <c r="M1077" s="27">
        <v>19159.6646</v>
      </c>
      <c r="N1077" s="28"/>
      <c r="O1077" s="27">
        <v>0</v>
      </c>
      <c r="P1077" s="28">
        <v>0</v>
      </c>
      <c r="Q1077" s="27">
        <v>0</v>
      </c>
      <c r="R1077" s="26">
        <v>120000.0046</v>
      </c>
      <c r="S1077" s="115">
        <f ca="1">IF(PROVEEDORES[[#This Row],[FECHA DE PAGO]]=0,TODAY()-PROVEEDORES[[#This Row],[FECHA DE FACTURACIÓN]]-PROVEEDORES[[#This Row],[PLAZO Días]],0)</f>
        <v>0</v>
      </c>
      <c r="T10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8" spans="1:20" ht="21.9" customHeight="1" x14ac:dyDescent="0.3">
      <c r="A1078" s="113" t="str">
        <f>+IF(PROVEEDORES[[#This Row],[FECHA DE PAGO]]=PROVEEDORES[[#This Row],[FECHA DE FACTURACIÓN]],"DE CONTADO","CRÉDITO")</f>
        <v>CRÉDITO</v>
      </c>
      <c r="B1078" s="51" t="b">
        <f>+IF((PROVEEDORES[[#This Row],[FECHA DE PAGO]]-PROVEEDORES[[#This Row],[FECHA DE FACTURACIÓN]])&gt;PROVEEDORES[[#This Row],[PLAZO Días]],"PAGO VENCIDO")</f>
        <v>0</v>
      </c>
      <c r="C1078" s="25">
        <f>+VLOOKUP(PROVEEDORES[[#This Row],[PROVEEDOR]],TERCEROS_INFO[#All],2,FALSE)</f>
        <v>30</v>
      </c>
      <c r="D1078" s="30">
        <f>+SUMIFS(PROVEEDORES[Total],PROVEEDORES[PROVEEDOR],PROVEEDORES[[#This Row],[PROVEEDOR]],PROVEEDORES[FECHA DE PAGO],"")</f>
        <v>0</v>
      </c>
      <c r="E1078" s="30"/>
      <c r="F1078" s="73">
        <f>+VLOOKUP(PROVEEDORES[[#This Row],[PROVEEDOR]],TERCEROS_INFO[[PROVEEDOR]:[CORREO]],5,FALSE)</f>
        <v>0</v>
      </c>
      <c r="G1078" s="111">
        <v>44543</v>
      </c>
      <c r="H1078" s="31" t="s">
        <v>1086</v>
      </c>
      <c r="I1078" s="111">
        <v>44539</v>
      </c>
      <c r="J1078" s="48" t="s">
        <v>897</v>
      </c>
      <c r="K1078" s="26">
        <v>1001000</v>
      </c>
      <c r="L1078" s="26"/>
      <c r="M1078" s="27">
        <v>0</v>
      </c>
      <c r="N1078" s="28"/>
      <c r="O1078" s="27">
        <v>0</v>
      </c>
      <c r="P1078" s="28">
        <v>0</v>
      </c>
      <c r="Q1078" s="27">
        <v>0</v>
      </c>
      <c r="R1078" s="26">
        <v>1001000</v>
      </c>
      <c r="S1078" s="115">
        <f ca="1">IF(PROVEEDORES[[#This Row],[FECHA DE PAGO]]=0,TODAY()-PROVEEDORES[[#This Row],[FECHA DE FACTURACIÓN]]-PROVEEDORES[[#This Row],[PLAZO Días]],0)</f>
        <v>0</v>
      </c>
      <c r="T107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79" spans="1:20" ht="21.9" customHeight="1" x14ac:dyDescent="0.3">
      <c r="A1079" s="113" t="str">
        <f>+IF(PROVEEDORES[[#This Row],[FECHA DE PAGO]]=PROVEEDORES[[#This Row],[FECHA DE FACTURACIÓN]],"DE CONTADO","CRÉDITO")</f>
        <v>CRÉDITO</v>
      </c>
      <c r="B1079" s="51" t="b">
        <f>+IF((PROVEEDORES[[#This Row],[FECHA DE PAGO]]-PROVEEDORES[[#This Row],[FECHA DE FACTURACIÓN]])&gt;PROVEEDORES[[#This Row],[PLAZO Días]],"PAGO VENCIDO")</f>
        <v>0</v>
      </c>
      <c r="C1079" s="25">
        <f>+VLOOKUP(PROVEEDORES[[#This Row],[PROVEEDOR]],TERCEROS_INFO[#All],2,FALSE)</f>
        <v>30</v>
      </c>
      <c r="D1079" s="30">
        <f>+SUMIFS(PROVEEDORES[Total],PROVEEDORES[PROVEEDOR],PROVEEDORES[[#This Row],[PROVEEDOR]],PROVEEDORES[FECHA DE PAGO],"")</f>
        <v>1119790</v>
      </c>
      <c r="E1079" s="30"/>
      <c r="F1079" s="73" t="str">
        <f>+VLOOKUP(PROVEEDORES[[#This Row],[PROVEEDOR]],TERCEROS_INFO[[PROVEEDOR]:[CORREO]],5,FALSE)</f>
        <v>MVALENCIA@mps.com.co;girlesa.ruiz@servipilas.com;joriescobar64@gmail.com</v>
      </c>
      <c r="G1079" s="111">
        <v>44558</v>
      </c>
      <c r="H1079" s="31" t="s">
        <v>17</v>
      </c>
      <c r="I1079" s="111">
        <v>44539</v>
      </c>
      <c r="J1079" s="48">
        <v>1851854</v>
      </c>
      <c r="K1079" s="26">
        <v>1045000</v>
      </c>
      <c r="L1079" s="26"/>
      <c r="M1079" s="27">
        <v>198550</v>
      </c>
      <c r="N1079" s="28"/>
      <c r="O1079" s="27">
        <v>0</v>
      </c>
      <c r="P1079" s="28">
        <v>0</v>
      </c>
      <c r="Q1079" s="27">
        <v>0</v>
      </c>
      <c r="R1079" s="26">
        <v>1243550</v>
      </c>
      <c r="S1079" s="115">
        <f ca="1">IF(PROVEEDORES[[#This Row],[FECHA DE PAGO]]=0,TODAY()-PROVEEDORES[[#This Row],[FECHA DE FACTURACIÓN]]-PROVEEDORES[[#This Row],[PLAZO Días]],0)</f>
        <v>0</v>
      </c>
      <c r="T10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0" spans="1:20" ht="21.9" customHeight="1" x14ac:dyDescent="0.3">
      <c r="A1080" s="113" t="str">
        <f>+IF(PROVEEDORES[[#This Row],[FECHA DE PAGO]]=PROVEEDORES[[#This Row],[FECHA DE FACTURACIÓN]],"DE CONTADO","CRÉDITO")</f>
        <v>CRÉDITO</v>
      </c>
      <c r="B1080" s="51" t="str">
        <f>+IF((PROVEEDORES[[#This Row],[FECHA DE PAGO]]-PROVEEDORES[[#This Row],[FECHA DE FACTURACIÓN]])&gt;PROVEEDORES[[#This Row],[PLAZO Días]],"PAGO VENCIDO")</f>
        <v>PAGO VENCIDO</v>
      </c>
      <c r="C1080" s="25">
        <f>+VLOOKUP(PROVEEDORES[[#This Row],[PROVEEDOR]],TERCEROS_INFO[#All],2,FALSE)</f>
        <v>30</v>
      </c>
      <c r="D1080" s="30">
        <f>+SUMIFS(PROVEEDORES[Total],PROVEEDORES[PROVEEDOR],PROVEEDORES[[#This Row],[PROVEEDOR]],PROVEEDORES[FECHA DE PAGO],"")</f>
        <v>3400186.8245000001</v>
      </c>
      <c r="E1080" s="30"/>
      <c r="F1080" s="73" t="str">
        <f>+VLOOKUP(PROVEEDORES[[#This Row],[PROVEEDOR]],TERCEROS_INFO[[PROVEEDOR]:[CORREO]],5,FALSE)</f>
        <v>contabilidad@amgimportadora.com;mcastellanos@amgimportadora.com;girlesa.ruiz@servipilas.com;joriescobar64@gmail.com</v>
      </c>
      <c r="G1080" s="111">
        <v>44588</v>
      </c>
      <c r="H1080" s="31" t="s">
        <v>20</v>
      </c>
      <c r="I1080" s="111">
        <v>44539</v>
      </c>
      <c r="J1080" s="48">
        <v>5819</v>
      </c>
      <c r="K1080" s="26">
        <v>1053853.1000000001</v>
      </c>
      <c r="L1080" s="26"/>
      <c r="M1080" s="27">
        <v>200232.08900000001</v>
      </c>
      <c r="N1080" s="28"/>
      <c r="O1080" s="27">
        <v>0</v>
      </c>
      <c r="P1080" s="28">
        <v>2.5000000000000001E-2</v>
      </c>
      <c r="Q1080" s="27">
        <v>26346.327500000003</v>
      </c>
      <c r="R1080" s="26">
        <v>1227738.8615000001</v>
      </c>
      <c r="S1080" s="115">
        <f ca="1">IF(PROVEEDORES[[#This Row],[FECHA DE PAGO]]=0,TODAY()-PROVEEDORES[[#This Row],[FECHA DE FACTURACIÓN]]-PROVEEDORES[[#This Row],[PLAZO Días]],0)</f>
        <v>0</v>
      </c>
      <c r="T10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1" spans="1:20" ht="21.9" customHeight="1" x14ac:dyDescent="0.3">
      <c r="A1081" s="113" t="str">
        <f>+IF(PROVEEDORES[[#This Row],[FECHA DE PAGO]]=PROVEEDORES[[#This Row],[FECHA DE FACTURACIÓN]],"DE CONTADO","CRÉDITO")</f>
        <v>CRÉDITO</v>
      </c>
      <c r="B1081" s="51" t="str">
        <f>+IF((PROVEEDORES[[#This Row],[FECHA DE PAGO]]-PROVEEDORES[[#This Row],[FECHA DE FACTURACIÓN]])&gt;PROVEEDORES[[#This Row],[PLAZO Días]],"PAGO VENCIDO")</f>
        <v>PAGO VENCIDO</v>
      </c>
      <c r="C1081" s="25">
        <f>+VLOOKUP(PROVEEDORES[[#This Row],[PROVEEDOR]],TERCEROS_INFO[#All],2,FALSE)</f>
        <v>45</v>
      </c>
      <c r="D1081" s="30">
        <f>+SUMIFS(PROVEEDORES[Total],PROVEEDORES[PROVEEDOR],PROVEEDORES[[#This Row],[PROVEEDOR]],PROVEEDORES[FECHA DE PAGO],"")</f>
        <v>1328100</v>
      </c>
      <c r="E1081" s="30"/>
      <c r="F1081" s="73" t="str">
        <f>+VLOOKUP(PROVEEDORES[[#This Row],[PROVEEDOR]],TERCEROS_INFO[[PROVEEDOR]:[CORREO]],5,FALSE)</f>
        <v>jessica.barios.com@carpainternacional;girlesa.ruiz@servipilas.com;joriescobar64@gmail.com</v>
      </c>
      <c r="G1081" s="111">
        <v>44586</v>
      </c>
      <c r="H1081" s="31" t="s">
        <v>609</v>
      </c>
      <c r="I1081" s="111">
        <v>44539</v>
      </c>
      <c r="J1081" s="48" t="s">
        <v>658</v>
      </c>
      <c r="K1081" s="26">
        <v>2352000</v>
      </c>
      <c r="L1081" s="26"/>
      <c r="M1081" s="27">
        <v>0</v>
      </c>
      <c r="N1081" s="28"/>
      <c r="O1081" s="27">
        <v>0</v>
      </c>
      <c r="P1081" s="28">
        <v>0</v>
      </c>
      <c r="Q1081" s="27">
        <v>0</v>
      </c>
      <c r="R1081" s="26">
        <v>2352000</v>
      </c>
      <c r="S1081" s="115">
        <f ca="1">IF(PROVEEDORES[[#This Row],[FECHA DE PAGO]]=0,TODAY()-PROVEEDORES[[#This Row],[FECHA DE FACTURACIÓN]]-PROVEEDORES[[#This Row],[PLAZO Días]],0)</f>
        <v>0</v>
      </c>
      <c r="T10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2" spans="1:20" ht="21.9" customHeight="1" x14ac:dyDescent="0.3">
      <c r="A1082" s="113" t="str">
        <f>+IF(PROVEEDORES[[#This Row],[FECHA DE PAGO]]=PROVEEDORES[[#This Row],[FECHA DE FACTURACIÓN]],"DE CONTADO","CRÉDITO")</f>
        <v>CRÉDITO</v>
      </c>
      <c r="B1082" s="51" t="b">
        <f>+IF((PROVEEDORES[[#This Row],[FECHA DE PAGO]]-PROVEEDORES[[#This Row],[FECHA DE FACTURACIÓN]])&gt;PROVEEDORES[[#This Row],[PLAZO Días]],"PAGO VENCIDO")</f>
        <v>0</v>
      </c>
      <c r="C1082" s="25">
        <f>+VLOOKUP(PROVEEDORES[[#This Row],[PROVEEDOR]],TERCEROS_INFO[#All],2,FALSE)</f>
        <v>30</v>
      </c>
      <c r="D1082" s="30">
        <f>+SUMIFS(PROVEEDORES[Total],PROVEEDORES[PROVEEDOR],PROVEEDORES[[#This Row],[PROVEEDOR]],PROVEEDORES[FECHA DE PAGO],"")</f>
        <v>0</v>
      </c>
      <c r="E1082" s="30"/>
      <c r="F1082" s="73" t="str">
        <f>+VLOOKUP(PROVEEDORES[[#This Row],[PROVEEDOR]],TERCEROS_INFO[[PROVEEDOR]:[CORREO]],5,FALSE)</f>
        <v>cartera@aerosan.com;girlesa.ruiz@servipilas.com;joriescobar64@gmail.com</v>
      </c>
      <c r="G1082" s="111">
        <v>44540</v>
      </c>
      <c r="H1082" s="31" t="s">
        <v>57</v>
      </c>
      <c r="I1082" s="111">
        <v>44539</v>
      </c>
      <c r="J1082" s="48" t="s">
        <v>652</v>
      </c>
      <c r="K1082" s="26">
        <v>3853480</v>
      </c>
      <c r="L1082" s="26"/>
      <c r="M1082" s="27">
        <v>732161.2</v>
      </c>
      <c r="N1082" s="28"/>
      <c r="O1082" s="27">
        <v>0</v>
      </c>
      <c r="P1082" s="28">
        <v>2.5000000000000001E-2</v>
      </c>
      <c r="Q1082" s="27">
        <v>96337</v>
      </c>
      <c r="R1082" s="26">
        <v>4489304.2</v>
      </c>
      <c r="S1082" s="115">
        <f ca="1">IF(PROVEEDORES[[#This Row],[FECHA DE PAGO]]=0,TODAY()-PROVEEDORES[[#This Row],[FECHA DE FACTURACIÓN]]-PROVEEDORES[[#This Row],[PLAZO Días]],0)</f>
        <v>0</v>
      </c>
      <c r="T108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3" spans="1:20" ht="21.9" customHeight="1" x14ac:dyDescent="0.3">
      <c r="A1083" s="113" t="str">
        <f>+IF(PROVEEDORES[[#This Row],[FECHA DE PAGO]]=PROVEEDORES[[#This Row],[FECHA DE FACTURACIÓN]],"DE CONTADO","CRÉDITO")</f>
        <v>CRÉDITO</v>
      </c>
      <c r="B1083" s="51" t="b">
        <f>+IF((PROVEEDORES[[#This Row],[FECHA DE PAGO]]-PROVEEDORES[[#This Row],[FECHA DE FACTURACIÓN]])&gt;PROVEEDORES[[#This Row],[PLAZO Días]],"PAGO VENCIDO")</f>
        <v>0</v>
      </c>
      <c r="C1083" s="25">
        <f>+VLOOKUP(PROVEEDORES[[#This Row],[PROVEEDOR]],TERCEROS_INFO[#All],2,FALSE)</f>
        <v>30</v>
      </c>
      <c r="D1083" s="30">
        <f>+SUMIFS(PROVEEDORES[Total],PROVEEDORES[PROVEEDOR],PROVEEDORES[[#This Row],[PROVEEDOR]],PROVEEDORES[FECHA DE PAGO],"")</f>
        <v>0</v>
      </c>
      <c r="E1083" s="30"/>
      <c r="F1083" s="73" t="str">
        <f>+VLOOKUP(PROVEEDORES[[#This Row],[PROVEEDOR]],TERCEROS_INFO[[PROVEEDOR]:[CORREO]],5,FALSE)</f>
        <v/>
      </c>
      <c r="G1083" s="111">
        <v>44540</v>
      </c>
      <c r="H1083" s="31" t="s">
        <v>1007</v>
      </c>
      <c r="I1083" s="111">
        <v>44539</v>
      </c>
      <c r="J1083" s="48" t="s">
        <v>896</v>
      </c>
      <c r="K1083" s="26">
        <v>7237400</v>
      </c>
      <c r="L1083" s="26"/>
      <c r="M1083" s="27">
        <v>0</v>
      </c>
      <c r="N1083" s="28"/>
      <c r="O1083" s="27">
        <v>0</v>
      </c>
      <c r="P1083" s="28">
        <v>0</v>
      </c>
      <c r="Q1083" s="27">
        <v>0</v>
      </c>
      <c r="R1083" s="26">
        <v>7237400</v>
      </c>
      <c r="S1083" s="115">
        <f ca="1">IF(PROVEEDORES[[#This Row],[FECHA DE PAGO]]=0,TODAY()-PROVEEDORES[[#This Row],[FECHA DE FACTURACIÓN]]-PROVEEDORES[[#This Row],[PLAZO Días]],0)</f>
        <v>0</v>
      </c>
      <c r="T108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4" spans="1:20" ht="21.9" customHeight="1" x14ac:dyDescent="0.3">
      <c r="A1084" s="113" t="str">
        <f>+IF(PROVEEDORES[[#This Row],[FECHA DE PAGO]]=PROVEEDORES[[#This Row],[FECHA DE FACTURACIÓN]],"DE CONTADO","CRÉDITO")</f>
        <v>CRÉDITO</v>
      </c>
      <c r="B1084" s="51" t="str">
        <f>+IF((PROVEEDORES[[#This Row],[FECHA DE PAGO]]-PROVEEDORES[[#This Row],[FECHA DE FACTURACIÓN]])&gt;PROVEEDORES[[#This Row],[PLAZO Días]],"PAGO VENCIDO")</f>
        <v>PAGO VENCIDO</v>
      </c>
      <c r="C1084" s="25">
        <f>+VLOOKUP(PROVEEDORES[[#This Row],[PROVEEDOR]],TERCEROS_INFO[#All],2,FALSE)</f>
        <v>30</v>
      </c>
      <c r="D1084" s="30">
        <f>+SUMIFS(PROVEEDORES[Total],PROVEEDORES[PROVEEDOR],PROVEEDORES[[#This Row],[PROVEEDOR]],PROVEEDORES[FECHA DE PAGO],"")</f>
        <v>148000</v>
      </c>
      <c r="E1084" s="30"/>
      <c r="F1084" s="73" t="str">
        <f>+VLOOKUP(PROVEEDORES[[#This Row],[PROVEEDOR]],TERCEROS_INFO[[PROVEEDOR]:[CORREO]],5,FALSE)</f>
        <v>jarlysas@gmail.com;o.clockinternational@gmail.com;girlesa.ruiz@servipilas.com;joriescobar64@gmail.com</v>
      </c>
      <c r="G1084" s="111">
        <v>44573</v>
      </c>
      <c r="H1084" s="31" t="s">
        <v>1048</v>
      </c>
      <c r="I1084" s="111">
        <v>44539</v>
      </c>
      <c r="J1084" s="48" t="s">
        <v>662</v>
      </c>
      <c r="K1084" s="26">
        <v>9473700</v>
      </c>
      <c r="L1084" s="26"/>
      <c r="M1084" s="27">
        <v>0</v>
      </c>
      <c r="N1084" s="28">
        <v>0.09</v>
      </c>
      <c r="O1084" s="27">
        <v>852633</v>
      </c>
      <c r="P1084" s="28">
        <v>0</v>
      </c>
      <c r="Q1084" s="27">
        <v>0</v>
      </c>
      <c r="R1084" s="26">
        <v>8621067</v>
      </c>
      <c r="S1084" s="115">
        <f ca="1">IF(PROVEEDORES[[#This Row],[FECHA DE PAGO]]=0,TODAY()-PROVEEDORES[[#This Row],[FECHA DE FACTURACIÓN]]-PROVEEDORES[[#This Row],[PLAZO Días]],0)</f>
        <v>0</v>
      </c>
      <c r="T10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5" spans="1:20" ht="21.9" customHeight="1" x14ac:dyDescent="0.3">
      <c r="A1085" s="113" t="str">
        <f>+IF(PROVEEDORES[[#This Row],[FECHA DE PAGO]]=PROVEEDORES[[#This Row],[FECHA DE FACTURACIÓN]],"DE CONTADO","CRÉDITO")</f>
        <v>CRÉDITO</v>
      </c>
      <c r="B1085" s="51" t="str">
        <f>+IF((PROVEEDORES[[#This Row],[FECHA DE PAGO]]-PROVEEDORES[[#This Row],[FECHA DE FACTURACIÓN]])&gt;PROVEEDORES[[#This Row],[PLAZO Días]],"PAGO VENCIDO")</f>
        <v>PAGO VENCIDO</v>
      </c>
      <c r="C1085" s="25">
        <f>+VLOOKUP(PROVEEDORES[[#This Row],[PROVEEDOR]],TERCEROS_INFO[#All],2,FALSE)</f>
        <v>30</v>
      </c>
      <c r="D1085" s="30">
        <f>+SUMIFS(PROVEEDORES[Total],PROVEEDORES[PROVEEDOR],PROVEEDORES[[#This Row],[PROVEEDOR]],PROVEEDORES[FECHA DE PAGO],"")</f>
        <v>0</v>
      </c>
      <c r="E1085" s="30"/>
      <c r="F1085" s="73" t="str">
        <f>+VLOOKUP(PROVEEDORES[[#This Row],[PROVEEDOR]],TERCEROS_INFO[[PROVEEDOR]:[CORREO]],5,FALSE)</f>
        <v>jarlysas@gmail.com;o.clockinternational@gmail.com;girlesa.ruiz@servipilas.com;joriescobar64@gmail.com</v>
      </c>
      <c r="G1085" s="111">
        <v>44592</v>
      </c>
      <c r="H1085" s="31" t="s">
        <v>459</v>
      </c>
      <c r="I1085" s="111">
        <v>44539</v>
      </c>
      <c r="J1085" s="48">
        <v>111</v>
      </c>
      <c r="K1085" s="26">
        <v>21679100</v>
      </c>
      <c r="L1085" s="26"/>
      <c r="M1085" s="27">
        <v>4119029</v>
      </c>
      <c r="N1085" s="28">
        <v>0.09</v>
      </c>
      <c r="O1085" s="27">
        <v>1951119</v>
      </c>
      <c r="P1085" s="28">
        <v>2.5000000000000001E-2</v>
      </c>
      <c r="Q1085" s="27">
        <v>541977.5</v>
      </c>
      <c r="R1085" s="26">
        <v>23305032.5</v>
      </c>
      <c r="S1085" s="115">
        <f ca="1">IF(PROVEEDORES[[#This Row],[FECHA DE PAGO]]=0,TODAY()-PROVEEDORES[[#This Row],[FECHA DE FACTURACIÓN]]-PROVEEDORES[[#This Row],[PLAZO Días]],0)</f>
        <v>0</v>
      </c>
      <c r="T108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6" spans="1:20" ht="21.9" customHeight="1" x14ac:dyDescent="0.3">
      <c r="A1086" s="113" t="str">
        <f>+IF(PROVEEDORES[[#This Row],[FECHA DE PAGO]]=PROVEEDORES[[#This Row],[FECHA DE FACTURACIÓN]],"DE CONTADO","CRÉDITO")</f>
        <v>CRÉDITO</v>
      </c>
      <c r="B1086" s="51" t="str">
        <f>+IF((PROVEEDORES[[#This Row],[FECHA DE PAGO]]-PROVEEDORES[[#This Row],[FECHA DE FACTURACIÓN]])&gt;PROVEEDORES[[#This Row],[PLAZO Días]],"PAGO VENCIDO")</f>
        <v>PAGO VENCIDO</v>
      </c>
      <c r="C1086" s="25">
        <f>+VLOOKUP(PROVEEDORES[[#This Row],[PROVEEDOR]],TERCEROS_INFO[#All],2,FALSE)</f>
        <v>30</v>
      </c>
      <c r="D1086" s="30">
        <f>+SUMIFS(PROVEEDORES[Total],PROVEEDORES[PROVEEDOR],PROVEEDORES[[#This Row],[PROVEEDOR]],PROVEEDORES[FECHA DE PAGO],"")</f>
        <v>21832129.73</v>
      </c>
      <c r="E1086" s="30"/>
      <c r="F1086" s="73" t="str">
        <f>+VLOOKUP(PROVEEDORES[[#This Row],[PROVEEDOR]],TERCEROS_INFO[[PROVEEDOR]:[CORREO]],5,FALSE)</f>
        <v>cartera1@grupostatur.com;girlesa.ruiz@servipilas.com;joriescobar64@gmail.com</v>
      </c>
      <c r="G1086" s="111">
        <v>44643</v>
      </c>
      <c r="H1086" s="31" t="s">
        <v>9</v>
      </c>
      <c r="I1086" s="111">
        <v>44539</v>
      </c>
      <c r="J1086" s="48">
        <v>73279</v>
      </c>
      <c r="K1086" s="26">
        <v>25587085</v>
      </c>
      <c r="L1086" s="26"/>
      <c r="M1086" s="27">
        <v>4861546.1500000004</v>
      </c>
      <c r="N1086" s="28"/>
      <c r="O1086" s="27">
        <v>0</v>
      </c>
      <c r="P1086" s="28">
        <v>2.5000000000000001E-2</v>
      </c>
      <c r="Q1086" s="27">
        <v>639677.125</v>
      </c>
      <c r="R1086" s="26">
        <v>29808954.024999999</v>
      </c>
      <c r="S1086" s="115">
        <f ca="1">IF(PROVEEDORES[[#This Row],[FECHA DE PAGO]]=0,TODAY()-PROVEEDORES[[#This Row],[FECHA DE FACTURACIÓN]]-PROVEEDORES[[#This Row],[PLAZO Días]],0)</f>
        <v>0</v>
      </c>
      <c r="T108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7" spans="1:20" ht="21.9" customHeight="1" x14ac:dyDescent="0.3">
      <c r="A1087" s="113" t="str">
        <f>+IF(PROVEEDORES[[#This Row],[FECHA DE PAGO]]=PROVEEDORES[[#This Row],[FECHA DE FACTURACIÓN]],"DE CONTADO","CRÉDITO")</f>
        <v>CRÉDITO</v>
      </c>
      <c r="B1087" s="51" t="str">
        <f>+IF((PROVEEDORES[[#This Row],[FECHA DE PAGO]]-PROVEEDORES[[#This Row],[FECHA DE FACTURACIÓN]])&gt;PROVEEDORES[[#This Row],[PLAZO Días]],"PAGO VENCIDO")</f>
        <v>PAGO VENCIDO</v>
      </c>
      <c r="C1087" s="25">
        <f>+VLOOKUP(PROVEEDORES[[#This Row],[PROVEEDOR]],TERCEROS_INFO[#All],2,FALSE)</f>
        <v>30</v>
      </c>
      <c r="D1087" s="30">
        <f>+SUMIFS(PROVEEDORES[Total],PROVEEDORES[PROVEEDOR],PROVEEDORES[[#This Row],[PROVEEDOR]],PROVEEDORES[FECHA DE PAGO],"")</f>
        <v>936000</v>
      </c>
      <c r="E1087" s="30"/>
      <c r="F1087" s="73" t="str">
        <f>+VLOOKUP(PROVEEDORES[[#This Row],[PROVEEDOR]],TERCEROS_INFO[[PROVEEDOR]:[CORREO]],5,FALSE)</f>
        <v>stabarbaradistronik@gmail.com;girlesa.ruiz@servipilas.com;joriescobar64@gmail.com</v>
      </c>
      <c r="G1087" s="111">
        <v>44592</v>
      </c>
      <c r="H1087" s="31" t="s">
        <v>1072</v>
      </c>
      <c r="I1087" s="111">
        <v>44540</v>
      </c>
      <c r="J1087" s="48" t="s">
        <v>663</v>
      </c>
      <c r="K1087" s="26">
        <v>700000</v>
      </c>
      <c r="L1087" s="26"/>
      <c r="M1087" s="27">
        <v>0</v>
      </c>
      <c r="N1087" s="28"/>
      <c r="O1087" s="27">
        <v>0</v>
      </c>
      <c r="P1087" s="28">
        <v>0</v>
      </c>
      <c r="Q1087" s="27">
        <v>0</v>
      </c>
      <c r="R1087" s="26">
        <v>700000</v>
      </c>
      <c r="S1087" s="115">
        <f ca="1">IF(PROVEEDORES[[#This Row],[FECHA DE PAGO]]=0,TODAY()-PROVEEDORES[[#This Row],[FECHA DE FACTURACIÓN]]-PROVEEDORES[[#This Row],[PLAZO Días]],0)</f>
        <v>0</v>
      </c>
      <c r="T10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8" spans="1:20" ht="21.9" customHeight="1" x14ac:dyDescent="0.3">
      <c r="A1088" s="113" t="str">
        <f>+IF(PROVEEDORES[[#This Row],[FECHA DE PAGO]]=PROVEEDORES[[#This Row],[FECHA DE FACTURACIÓN]],"DE CONTADO","CRÉDITO")</f>
        <v>CRÉDITO</v>
      </c>
      <c r="B1088" s="51" t="str">
        <f>+IF((PROVEEDORES[[#This Row],[FECHA DE PAGO]]-PROVEEDORES[[#This Row],[FECHA DE FACTURACIÓN]])&gt;PROVEEDORES[[#This Row],[PLAZO Días]],"PAGO VENCIDO")</f>
        <v>PAGO VENCIDO</v>
      </c>
      <c r="C1088" s="25">
        <f>+VLOOKUP(PROVEEDORES[[#This Row],[PROVEEDOR]],TERCEROS_INFO[#All],2,FALSE)</f>
        <v>45</v>
      </c>
      <c r="D1088" s="30">
        <f>+SUMIFS(PROVEEDORES[Total],PROVEEDORES[PROVEEDOR],PROVEEDORES[[#This Row],[PROVEEDOR]],PROVEEDORES[FECHA DE PAGO],"")</f>
        <v>1070024.2</v>
      </c>
      <c r="E1088" s="30"/>
      <c r="F1088" s="73" t="str">
        <f>+VLOOKUP(PROVEEDORES[[#This Row],[PROVEEDOR]],TERCEROS_INFO[[PROVEEDOR]:[CORREO]],5,FALSE)</f>
        <v>libardopineda@tronex.com;girlesa.ruiz@servipilas.com;joriescobar64@gmail.com</v>
      </c>
      <c r="G1088" s="111">
        <v>44600</v>
      </c>
      <c r="H1088" s="31" t="s">
        <v>10</v>
      </c>
      <c r="I1088" s="111">
        <v>44540</v>
      </c>
      <c r="J1088" s="48" t="s">
        <v>654</v>
      </c>
      <c r="K1088" s="26">
        <v>770000</v>
      </c>
      <c r="L1088" s="26"/>
      <c r="M1088" s="27">
        <v>146300</v>
      </c>
      <c r="N1088" s="28"/>
      <c r="O1088" s="27">
        <v>0</v>
      </c>
      <c r="P1088" s="28">
        <v>0</v>
      </c>
      <c r="Q1088" s="27">
        <v>0</v>
      </c>
      <c r="R1088" s="26">
        <v>916300</v>
      </c>
      <c r="S1088" s="115">
        <f ca="1">IF(PROVEEDORES[[#This Row],[FECHA DE PAGO]]=0,TODAY()-PROVEEDORES[[#This Row],[FECHA DE FACTURACIÓN]]-PROVEEDORES[[#This Row],[PLAZO Días]],0)</f>
        <v>0</v>
      </c>
      <c r="T10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89" spans="1:20" ht="21.9" customHeight="1" x14ac:dyDescent="0.3">
      <c r="A1089" s="113" t="str">
        <f>+IF(PROVEEDORES[[#This Row],[FECHA DE PAGO]]=PROVEEDORES[[#This Row],[FECHA DE FACTURACIÓN]],"DE CONTADO","CRÉDITO")</f>
        <v>CRÉDITO</v>
      </c>
      <c r="B1089" s="51" t="b">
        <f>+IF((PROVEEDORES[[#This Row],[FECHA DE PAGO]]-PROVEEDORES[[#This Row],[FECHA DE FACTURACIÓN]])&gt;PROVEEDORES[[#This Row],[PLAZO Días]],"PAGO VENCIDO")</f>
        <v>0</v>
      </c>
      <c r="C1089" s="25">
        <f>+VLOOKUP(PROVEEDORES[[#This Row],[PROVEEDOR]],TERCEROS_INFO[#All],2,FALSE)</f>
        <v>30</v>
      </c>
      <c r="D1089" s="30">
        <f>+SUMIFS(PROVEEDORES[Total],PROVEEDORES[PROVEEDOR],PROVEEDORES[[#This Row],[PROVEEDOR]],PROVEEDORES[FECHA DE PAGO],"")</f>
        <v>0</v>
      </c>
      <c r="E1089" s="30"/>
      <c r="F1089" s="73" t="str">
        <f>+VLOOKUP(PROVEEDORES[[#This Row],[PROVEEDOR]],TERCEROS_INFO[[PROVEEDOR]:[CORREO]],5,FALSE)</f>
        <v/>
      </c>
      <c r="G1089" s="111">
        <v>44557</v>
      </c>
      <c r="H1089" s="31" t="s">
        <v>1007</v>
      </c>
      <c r="I1089" s="111">
        <v>44540</v>
      </c>
      <c r="J1089" s="48" t="s">
        <v>912</v>
      </c>
      <c r="K1089" s="26">
        <v>1444000</v>
      </c>
      <c r="L1089" s="26"/>
      <c r="M1089" s="27">
        <v>0</v>
      </c>
      <c r="N1089" s="28"/>
      <c r="O1089" s="27">
        <v>0</v>
      </c>
      <c r="P1089" s="28">
        <v>0</v>
      </c>
      <c r="Q1089" s="27">
        <v>0</v>
      </c>
      <c r="R1089" s="26">
        <v>1444000</v>
      </c>
      <c r="S1089" s="115">
        <f ca="1">IF(PROVEEDORES[[#This Row],[FECHA DE PAGO]]=0,TODAY()-PROVEEDORES[[#This Row],[FECHA DE FACTURACIÓN]]-PROVEEDORES[[#This Row],[PLAZO Días]],0)</f>
        <v>0</v>
      </c>
      <c r="T10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0" spans="1:20" ht="21.9" customHeight="1" x14ac:dyDescent="0.3">
      <c r="A1090" s="113" t="str">
        <f>+IF(PROVEEDORES[[#This Row],[FECHA DE PAGO]]=PROVEEDORES[[#This Row],[FECHA DE FACTURACIÓN]],"DE CONTADO","CRÉDITO")</f>
        <v>CRÉDITO</v>
      </c>
      <c r="B1090" s="51" t="str">
        <f>+IF((PROVEEDORES[[#This Row],[FECHA DE PAGO]]-PROVEEDORES[[#This Row],[FECHA DE FACTURACIÓN]])&gt;PROVEEDORES[[#This Row],[PLAZO Días]],"PAGO VENCIDO")</f>
        <v>PAGO VENCIDO</v>
      </c>
      <c r="C1090" s="25">
        <f>+VLOOKUP(PROVEEDORES[[#This Row],[PROVEEDOR]],TERCEROS_INFO[#All],2,FALSE)</f>
        <v>30</v>
      </c>
      <c r="D1090" s="30">
        <f>+SUMIFS(PROVEEDORES[Total],PROVEEDORES[PROVEEDOR],PROVEEDORES[[#This Row],[PROVEEDOR]],PROVEEDORES[FECHA DE PAGO],"")</f>
        <v>6482443.1751999995</v>
      </c>
      <c r="E1090" s="30"/>
      <c r="F1090" s="73" t="str">
        <f>+VLOOKUP(PROVEEDORES[[#This Row],[PROVEEDOR]],TERCEROS_INFO[[PROVEEDOR]:[CORREO]],5,FALSE)</f>
        <v>angela.navas@hyrdistribuciones.com;girlesa.ruiz@servipilas.com;joriescobar64@gmail.com</v>
      </c>
      <c r="G1090" s="111">
        <v>44582</v>
      </c>
      <c r="H1090" s="31" t="s">
        <v>18</v>
      </c>
      <c r="I1090" s="111">
        <v>44540</v>
      </c>
      <c r="J1090" s="48">
        <v>1047095</v>
      </c>
      <c r="K1090" s="26">
        <v>5212873.47</v>
      </c>
      <c r="L1090" s="26"/>
      <c r="M1090" s="27">
        <v>990445.95929999999</v>
      </c>
      <c r="N1090" s="28"/>
      <c r="O1090" s="27">
        <v>0</v>
      </c>
      <c r="P1090" s="28">
        <v>2.5000000000000001E-2</v>
      </c>
      <c r="Q1090" s="27">
        <v>130321.83675</v>
      </c>
      <c r="R1090" s="26">
        <v>6072997.5925500002</v>
      </c>
      <c r="S1090" s="115">
        <f ca="1">IF(PROVEEDORES[[#This Row],[FECHA DE PAGO]]=0,TODAY()-PROVEEDORES[[#This Row],[FECHA DE FACTURACIÓN]]-PROVEEDORES[[#This Row],[PLAZO Días]],0)</f>
        <v>0</v>
      </c>
      <c r="T10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1" spans="1:20" ht="21.9" customHeight="1" x14ac:dyDescent="0.3">
      <c r="A1091" s="113" t="str">
        <f>+IF(PROVEEDORES[[#This Row],[FECHA DE PAGO]]=PROVEEDORES[[#This Row],[FECHA DE FACTURACIÓN]],"DE CONTADO","CRÉDITO")</f>
        <v>CRÉDITO</v>
      </c>
      <c r="B1091" s="51" t="b">
        <f>+IF((PROVEEDORES[[#This Row],[FECHA DE PAGO]]-PROVEEDORES[[#This Row],[FECHA DE FACTURACIÓN]])&gt;PROVEEDORES[[#This Row],[PLAZO Días]],"PAGO VENCIDO")</f>
        <v>0</v>
      </c>
      <c r="C1091" s="25">
        <f>+VLOOKUP(PROVEEDORES[[#This Row],[PROVEEDOR]],TERCEROS_INFO[#All],2,FALSE)</f>
        <v>30</v>
      </c>
      <c r="D1091" s="30">
        <f>+SUMIFS(PROVEEDORES[Total],PROVEEDORES[PROVEEDOR],PROVEEDORES[[#This Row],[PROVEEDOR]],PROVEEDORES[FECHA DE PAGO],"")</f>
        <v>3406</v>
      </c>
      <c r="E1091" s="30"/>
      <c r="F1091" s="73" t="str">
        <f>+VLOOKUP(PROVEEDORES[[#This Row],[PROVEEDOR]],TERCEROS_INFO[[PROVEEDOR]:[CORREO]],5,FALSE)</f>
        <v>ventas@ismartsas.com;girlesa.ruiz@servipilas.com;joriescobar64@gmail.com</v>
      </c>
      <c r="G1091" s="111">
        <v>44558</v>
      </c>
      <c r="H1091" s="31" t="s">
        <v>48</v>
      </c>
      <c r="I1091" s="111">
        <v>44541</v>
      </c>
      <c r="J1091" s="48">
        <v>33923</v>
      </c>
      <c r="K1091" s="26">
        <v>766609</v>
      </c>
      <c r="L1091" s="26"/>
      <c r="M1091" s="27">
        <v>145655.71</v>
      </c>
      <c r="N1091" s="28"/>
      <c r="O1091" s="27">
        <v>0</v>
      </c>
      <c r="P1091" s="28">
        <v>0</v>
      </c>
      <c r="Q1091" s="27">
        <v>0</v>
      </c>
      <c r="R1091" s="26">
        <v>912264.71</v>
      </c>
      <c r="S1091" s="115">
        <f ca="1">IF(PROVEEDORES[[#This Row],[FECHA DE PAGO]]=0,TODAY()-PROVEEDORES[[#This Row],[FECHA DE FACTURACIÓN]]-PROVEEDORES[[#This Row],[PLAZO Días]],0)</f>
        <v>0</v>
      </c>
      <c r="T10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2" spans="1:20" ht="21.9" customHeight="1" x14ac:dyDescent="0.3">
      <c r="A1092" s="113" t="str">
        <f>+IF(PROVEEDORES[[#This Row],[FECHA DE PAGO]]=PROVEEDORES[[#This Row],[FECHA DE FACTURACIÓN]],"DE CONTADO","CRÉDITO")</f>
        <v>DE CONTADO</v>
      </c>
      <c r="B1092" s="51" t="b">
        <f>+IF((PROVEEDORES[[#This Row],[FECHA DE PAGO]]-PROVEEDORES[[#This Row],[FECHA DE FACTURACIÓN]])&gt;PROVEEDORES[[#This Row],[PLAZO Días]],"PAGO VENCIDO")</f>
        <v>0</v>
      </c>
      <c r="C1092" s="25">
        <f>+VLOOKUP(PROVEEDORES[[#This Row],[PROVEEDOR]],TERCEROS_INFO[#All],2,FALSE)</f>
        <v>30</v>
      </c>
      <c r="D1092" s="30">
        <f>+SUMIFS(PROVEEDORES[Total],PROVEEDORES[PROVEEDOR],PROVEEDORES[[#This Row],[PROVEEDOR]],PROVEEDORES[FECHA DE PAGO],"")</f>
        <v>0</v>
      </c>
      <c r="E1092" s="30"/>
      <c r="F1092" s="73" t="str">
        <f>+VLOOKUP(PROVEEDORES[[#This Row],[PROVEEDOR]],TERCEROS_INFO[[PROVEEDOR]:[CORREO]],5,FALSE)</f>
        <v/>
      </c>
      <c r="G1092" s="111">
        <v>44541</v>
      </c>
      <c r="H1092" s="31" t="s">
        <v>1052</v>
      </c>
      <c r="I1092" s="111">
        <v>44541</v>
      </c>
      <c r="J1092" s="48"/>
      <c r="K1092" s="26">
        <v>1000000</v>
      </c>
      <c r="L1092" s="26"/>
      <c r="M1092" s="27">
        <v>0</v>
      </c>
      <c r="N1092" s="28"/>
      <c r="O1092" s="27">
        <v>0</v>
      </c>
      <c r="P1092" s="28">
        <v>0</v>
      </c>
      <c r="Q1092" s="27">
        <v>0</v>
      </c>
      <c r="R1092" s="26">
        <v>1000000</v>
      </c>
      <c r="S1092" s="115">
        <f ca="1">IF(PROVEEDORES[[#This Row],[FECHA DE PAGO]]=0,TODAY()-PROVEEDORES[[#This Row],[FECHA DE FACTURACIÓN]]-PROVEEDORES[[#This Row],[PLAZO Días]],0)</f>
        <v>0</v>
      </c>
      <c r="T10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3" spans="1:20" ht="21.9" customHeight="1" x14ac:dyDescent="0.3">
      <c r="A1093" s="113" t="str">
        <f>+IF(PROVEEDORES[[#This Row],[FECHA DE PAGO]]=PROVEEDORES[[#This Row],[FECHA DE FACTURACIÓN]],"DE CONTADO","CRÉDITO")</f>
        <v>CRÉDITO</v>
      </c>
      <c r="B1093" s="51" t="b">
        <f>+IF((PROVEEDORES[[#This Row],[FECHA DE PAGO]]-PROVEEDORES[[#This Row],[FECHA DE FACTURACIÓN]])&gt;PROVEEDORES[[#This Row],[PLAZO Días]],"PAGO VENCIDO")</f>
        <v>0</v>
      </c>
      <c r="C1093" s="25">
        <f>+VLOOKUP(PROVEEDORES[[#This Row],[PROVEEDOR]],TERCEROS_INFO[#All],2,FALSE)</f>
        <v>90</v>
      </c>
      <c r="D1093" s="30">
        <f>+SUMIFS(PROVEEDORES[Total],PROVEEDORES[PROVEEDOR],PROVEEDORES[[#This Row],[PROVEEDOR]],PROVEEDORES[FECHA DE PAGO],"")</f>
        <v>26364243.66155</v>
      </c>
      <c r="E1093" s="30"/>
      <c r="F1093" s="73" t="str">
        <f>+VLOOKUP(PROVEEDORES[[#This Row],[PROVEEDOR]],TERCEROS_INFO[[PROVEEDOR]:[CORREO]],5,FALSE)</f>
        <v>javiergomez_72@hotmail.com ;girlesa.ruiz@servipilas.com;joriescobar64@gmail.com</v>
      </c>
      <c r="G1093" s="111">
        <v>44624</v>
      </c>
      <c r="H1093" s="31" t="s">
        <v>12</v>
      </c>
      <c r="I1093" s="111">
        <v>44541</v>
      </c>
      <c r="J1093" s="48" t="s">
        <v>657</v>
      </c>
      <c r="K1093" s="26">
        <v>2907563</v>
      </c>
      <c r="L1093" s="26"/>
      <c r="M1093" s="27">
        <v>552436.97</v>
      </c>
      <c r="N1093" s="28"/>
      <c r="O1093" s="27">
        <v>0</v>
      </c>
      <c r="P1093" s="28">
        <v>2.5000000000000001E-2</v>
      </c>
      <c r="Q1093" s="27">
        <v>72689.074999999997</v>
      </c>
      <c r="R1093" s="26">
        <v>3387310.8949999996</v>
      </c>
      <c r="S1093" s="115">
        <f ca="1">IF(PROVEEDORES[[#This Row],[FECHA DE PAGO]]=0,TODAY()-PROVEEDORES[[#This Row],[FECHA DE FACTURACIÓN]]-PROVEEDORES[[#This Row],[PLAZO Días]],0)</f>
        <v>0</v>
      </c>
      <c r="T10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4" spans="1:20" ht="21.9" customHeight="1" x14ac:dyDescent="0.3">
      <c r="A1094" s="113" t="str">
        <f>+IF(PROVEEDORES[[#This Row],[FECHA DE PAGO]]=PROVEEDORES[[#This Row],[FECHA DE FACTURACIÓN]],"DE CONTADO","CRÉDITO")</f>
        <v>CRÉDITO</v>
      </c>
      <c r="B1094" s="51" t="str">
        <f>+IF((PROVEEDORES[[#This Row],[FECHA DE PAGO]]-PROVEEDORES[[#This Row],[FECHA DE FACTURACIÓN]])&gt;PROVEEDORES[[#This Row],[PLAZO Días]],"PAGO VENCIDO")</f>
        <v>PAGO VENCIDO</v>
      </c>
      <c r="C1094" s="25">
        <f>+VLOOKUP(PROVEEDORES[[#This Row],[PROVEEDOR]],TERCEROS_INFO[#All],2,FALSE)</f>
        <v>30</v>
      </c>
      <c r="D1094" s="30">
        <f>+SUMIFS(PROVEEDORES[Total],PROVEEDORES[PROVEEDOR],PROVEEDORES[[#This Row],[PROVEEDOR]],PROVEEDORES[FECHA DE PAGO],"")</f>
        <v>1064947.47</v>
      </c>
      <c r="E1094" s="30"/>
      <c r="F1094" s="73" t="str">
        <f>+VLOOKUP(PROVEEDORES[[#This Row],[PROVEEDOR]],TERCEROS_INFO[[PROVEEDOR]:[CORREO]],5,FALSE)</f>
        <v>supervisorventasbridge@gmail.com;newtimewatches1@gmail.com;girlesa.ruiz@servipilas.com;joriescobar64@gmail.com</v>
      </c>
      <c r="G1094" s="111">
        <v>44635</v>
      </c>
      <c r="H1094" s="31" t="s">
        <v>137</v>
      </c>
      <c r="I1094" s="111">
        <v>44541</v>
      </c>
      <c r="J1094" s="48"/>
      <c r="K1094" s="26">
        <v>3986635</v>
      </c>
      <c r="L1094" s="26"/>
      <c r="M1094" s="27">
        <v>757460.65</v>
      </c>
      <c r="N1094" s="28"/>
      <c r="O1094" s="27">
        <v>0</v>
      </c>
      <c r="P1094" s="28">
        <v>2.5000000000000001E-2</v>
      </c>
      <c r="Q1094" s="27">
        <v>99665.875</v>
      </c>
      <c r="R1094" s="26">
        <v>4644429.7750000004</v>
      </c>
      <c r="S1094" s="115">
        <f ca="1">IF(PROVEEDORES[[#This Row],[FECHA DE PAGO]]=0,TODAY()-PROVEEDORES[[#This Row],[FECHA DE FACTURACIÓN]]-PROVEEDORES[[#This Row],[PLAZO Días]],0)</f>
        <v>0</v>
      </c>
      <c r="T10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5" spans="1:20" ht="21.9" customHeight="1" x14ac:dyDescent="0.3">
      <c r="A1095" s="113" t="str">
        <f>+IF(PROVEEDORES[[#This Row],[FECHA DE PAGO]]=PROVEEDORES[[#This Row],[FECHA DE FACTURACIÓN]],"DE CONTADO","CRÉDITO")</f>
        <v>CRÉDITO</v>
      </c>
      <c r="B1095" s="51" t="b">
        <f>+IF((PROVEEDORES[[#This Row],[FECHA DE PAGO]]-PROVEEDORES[[#This Row],[FECHA DE FACTURACIÓN]])&gt;PROVEEDORES[[#This Row],[PLAZO Días]],"PAGO VENCIDO")</f>
        <v>0</v>
      </c>
      <c r="C1095" s="25">
        <f>+VLOOKUP(PROVEEDORES[[#This Row],[PROVEEDOR]],TERCEROS_INFO[#All],2,FALSE)</f>
        <v>90</v>
      </c>
      <c r="D1095" s="30">
        <f>+SUMIFS(PROVEEDORES[Total],PROVEEDORES[PROVEEDOR],PROVEEDORES[[#This Row],[PROVEEDOR]],PROVEEDORES[FECHA DE PAGO],"")</f>
        <v>26364243.66155</v>
      </c>
      <c r="E1095" s="30"/>
      <c r="F1095" s="73" t="str">
        <f>+VLOOKUP(PROVEEDORES[[#This Row],[PROVEEDOR]],TERCEROS_INFO[[PROVEEDOR]:[CORREO]],5,FALSE)</f>
        <v>javiergomez_72@hotmail.com ;girlesa.ruiz@servipilas.com;joriescobar64@gmail.com</v>
      </c>
      <c r="G1095" s="111">
        <v>44624</v>
      </c>
      <c r="H1095" s="31" t="s">
        <v>12</v>
      </c>
      <c r="I1095" s="111">
        <v>44541</v>
      </c>
      <c r="J1095" s="48" t="s">
        <v>656</v>
      </c>
      <c r="K1095" s="26">
        <v>7164707</v>
      </c>
      <c r="L1095" s="26"/>
      <c r="M1095" s="27">
        <v>1361294.33</v>
      </c>
      <c r="N1095" s="28"/>
      <c r="O1095" s="27">
        <v>0</v>
      </c>
      <c r="P1095" s="28">
        <v>2.5000000000000001E-2</v>
      </c>
      <c r="Q1095" s="27">
        <v>179117.67500000002</v>
      </c>
      <c r="R1095" s="26">
        <v>8346883.6550000003</v>
      </c>
      <c r="S1095" s="115">
        <f ca="1">IF(PROVEEDORES[[#This Row],[FECHA DE PAGO]]=0,TODAY()-PROVEEDORES[[#This Row],[FECHA DE FACTURACIÓN]]-PROVEEDORES[[#This Row],[PLAZO Días]],0)</f>
        <v>0</v>
      </c>
      <c r="T10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6" spans="1:20" ht="21.9" customHeight="1" x14ac:dyDescent="0.3">
      <c r="A1096" s="113" t="str">
        <f>+IF(PROVEEDORES[[#This Row],[FECHA DE PAGO]]=PROVEEDORES[[#This Row],[FECHA DE FACTURACIÓN]],"DE CONTADO","CRÉDITO")</f>
        <v>CRÉDITO</v>
      </c>
      <c r="B1096" s="51" t="b">
        <f>+IF((PROVEEDORES[[#This Row],[FECHA DE PAGO]]-PROVEEDORES[[#This Row],[FECHA DE FACTURACIÓN]])&gt;PROVEEDORES[[#This Row],[PLAZO Días]],"PAGO VENCIDO")</f>
        <v>0</v>
      </c>
      <c r="C1096" s="25">
        <f>+VLOOKUP(PROVEEDORES[[#This Row],[PROVEEDOR]],TERCEROS_INFO[#All],2,FALSE)</f>
        <v>30</v>
      </c>
      <c r="D1096" s="30">
        <f>+SUMIFS(PROVEEDORES[Total],PROVEEDORES[PROVEEDOR],PROVEEDORES[[#This Row],[PROVEEDOR]],PROVEEDORES[FECHA DE PAGO],"")</f>
        <v>0</v>
      </c>
      <c r="E1096" s="30"/>
      <c r="F1096" s="73" t="str">
        <f>+VLOOKUP(PROVEEDORES[[#This Row],[PROVEEDOR]],TERCEROS_INFO[[PROVEEDOR]:[CORREO]],5,FALSE)</f>
        <v>oswaldo.alvarez@logimexsas.com;girlesa.ruiz@servipilas.com;joriescobar64@gmail.com</v>
      </c>
      <c r="G1096" s="111">
        <v>44543</v>
      </c>
      <c r="H1096" s="31" t="s">
        <v>120</v>
      </c>
      <c r="I1096" s="111">
        <v>44542</v>
      </c>
      <c r="J1096" s="48" t="s">
        <v>898</v>
      </c>
      <c r="K1096" s="26">
        <v>1715000</v>
      </c>
      <c r="L1096" s="26"/>
      <c r="M1096" s="27">
        <v>0</v>
      </c>
      <c r="N1096" s="28"/>
      <c r="O1096" s="27">
        <v>0</v>
      </c>
      <c r="P1096" s="28">
        <v>0</v>
      </c>
      <c r="Q1096" s="27">
        <v>0</v>
      </c>
      <c r="R1096" s="26">
        <v>1715000</v>
      </c>
      <c r="S1096" s="115">
        <f ca="1">IF(PROVEEDORES[[#This Row],[FECHA DE PAGO]]=0,TODAY()-PROVEEDORES[[#This Row],[FECHA DE FACTURACIÓN]]-PROVEEDORES[[#This Row],[PLAZO Días]],0)</f>
        <v>0</v>
      </c>
      <c r="T109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7" spans="1:20" ht="21.9" customHeight="1" x14ac:dyDescent="0.3">
      <c r="A1097" s="113" t="str">
        <f>+IF(PROVEEDORES[[#This Row],[FECHA DE PAGO]]=PROVEEDORES[[#This Row],[FECHA DE FACTURACIÓN]],"DE CONTADO","CRÉDITO")</f>
        <v>CRÉDITO</v>
      </c>
      <c r="B1097" s="51" t="b">
        <f>+IF((PROVEEDORES[[#This Row],[FECHA DE PAGO]]-PROVEEDORES[[#This Row],[FECHA DE FACTURACIÓN]])&gt;PROVEEDORES[[#This Row],[PLAZO Días]],"PAGO VENCIDO")</f>
        <v>0</v>
      </c>
      <c r="C1097" s="25">
        <f>+VLOOKUP(PROVEEDORES[[#This Row],[PROVEEDOR]],TERCEROS_INFO[#All],2,FALSE)</f>
        <v>30</v>
      </c>
      <c r="D1097" s="30">
        <f>+SUMIFS(PROVEEDORES[Total],PROVEEDORES[PROVEEDOR],PROVEEDORES[[#This Row],[PROVEEDOR]],PROVEEDORES[FECHA DE PAGO],"")</f>
        <v>0</v>
      </c>
      <c r="E1097" s="30"/>
      <c r="F1097" s="73" t="str">
        <f>+VLOOKUP(PROVEEDORES[[#This Row],[PROVEEDOR]],TERCEROS_INFO[[PROVEEDOR]:[CORREO]],5,FALSE)</f>
        <v/>
      </c>
      <c r="G1097" s="111">
        <v>44543</v>
      </c>
      <c r="H1097" s="31" t="s">
        <v>56</v>
      </c>
      <c r="I1097" s="111">
        <v>44542</v>
      </c>
      <c r="J1097" s="48">
        <v>55546</v>
      </c>
      <c r="K1097" s="26">
        <v>14909000</v>
      </c>
      <c r="L1097" s="26"/>
      <c r="M1097" s="27">
        <v>0</v>
      </c>
      <c r="N1097" s="28"/>
      <c r="O1097" s="27">
        <v>0</v>
      </c>
      <c r="P1097" s="28">
        <v>0</v>
      </c>
      <c r="Q1097" s="27">
        <v>0</v>
      </c>
      <c r="R1097" s="26">
        <v>14909000</v>
      </c>
      <c r="S1097" s="115">
        <f ca="1">IF(PROVEEDORES[[#This Row],[FECHA DE PAGO]]=0,TODAY()-PROVEEDORES[[#This Row],[FECHA DE FACTURACIÓN]]-PROVEEDORES[[#This Row],[PLAZO Días]],0)</f>
        <v>0</v>
      </c>
      <c r="T109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8" spans="1:20" ht="21.9" customHeight="1" x14ac:dyDescent="0.3">
      <c r="A1098" s="113" t="str">
        <f>+IF(PROVEEDORES[[#This Row],[FECHA DE PAGO]]=PROVEEDORES[[#This Row],[FECHA DE FACTURACIÓN]],"DE CONTADO","CRÉDITO")</f>
        <v>CRÉDITO</v>
      </c>
      <c r="B1098" s="51" t="b">
        <f>+IF((PROVEEDORES[[#This Row],[FECHA DE PAGO]]-PROVEEDORES[[#This Row],[FECHA DE FACTURACIÓN]])&gt;PROVEEDORES[[#This Row],[PLAZO Días]],"PAGO VENCIDO")</f>
        <v>0</v>
      </c>
      <c r="C1098" s="25">
        <f>+VLOOKUP(PROVEEDORES[[#This Row],[PROVEEDOR]],TERCEROS_INFO[#All],2,FALSE)</f>
        <v>30</v>
      </c>
      <c r="D1098" s="30">
        <f>+SUMIFS(PROVEEDORES[Total],PROVEEDORES[PROVEEDOR],PROVEEDORES[[#This Row],[PROVEEDOR]],PROVEEDORES[FECHA DE PAGO],"")</f>
        <v>0</v>
      </c>
      <c r="E1098" s="30"/>
      <c r="F1098" s="73" t="str">
        <f>+VLOOKUP(PROVEEDORES[[#This Row],[PROVEEDOR]],TERCEROS_INFO[[PROVEEDOR]:[CORREO]],5,FALSE)</f>
        <v/>
      </c>
      <c r="G1098" s="111">
        <v>44561</v>
      </c>
      <c r="H1098" s="31" t="s">
        <v>1043</v>
      </c>
      <c r="I1098" s="111">
        <v>44544</v>
      </c>
      <c r="J1098" s="48" t="s">
        <v>908</v>
      </c>
      <c r="K1098" s="26">
        <v>96000</v>
      </c>
      <c r="L1098" s="26"/>
      <c r="M1098" s="27">
        <v>0</v>
      </c>
      <c r="N1098" s="28"/>
      <c r="O1098" s="27">
        <v>0</v>
      </c>
      <c r="P1098" s="28">
        <v>0</v>
      </c>
      <c r="Q1098" s="27">
        <v>0</v>
      </c>
      <c r="R1098" s="26">
        <v>96000</v>
      </c>
      <c r="S1098" s="115">
        <f ca="1">IF(PROVEEDORES[[#This Row],[FECHA DE PAGO]]=0,TODAY()-PROVEEDORES[[#This Row],[FECHA DE FACTURACIÓN]]-PROVEEDORES[[#This Row],[PLAZO Días]],0)</f>
        <v>0</v>
      </c>
      <c r="T10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099" spans="1:20" ht="21.9" customHeight="1" x14ac:dyDescent="0.3">
      <c r="A1099" s="113" t="str">
        <f>+IF(PROVEEDORES[[#This Row],[FECHA DE PAGO]]=PROVEEDORES[[#This Row],[FECHA DE FACTURACIÓN]],"DE CONTADO","CRÉDITO")</f>
        <v>CRÉDITO</v>
      </c>
      <c r="B1099" s="51" t="b">
        <f>+IF((PROVEEDORES[[#This Row],[FECHA DE PAGO]]-PROVEEDORES[[#This Row],[FECHA DE FACTURACIÓN]])&gt;PROVEEDORES[[#This Row],[PLAZO Días]],"PAGO VENCIDO")</f>
        <v>0</v>
      </c>
      <c r="C1099" s="25">
        <f>+VLOOKUP(PROVEEDORES[[#This Row],[PROVEEDOR]],TERCEROS_INFO[#All],2,FALSE)</f>
        <v>30</v>
      </c>
      <c r="D1099" s="30">
        <f>+SUMIFS(PROVEEDORES[Total],PROVEEDORES[PROVEEDOR],PROVEEDORES[[#This Row],[PROVEEDOR]],PROVEEDORES[FECHA DE PAGO],"")</f>
        <v>0</v>
      </c>
      <c r="E1099" s="30"/>
      <c r="F1099" s="73" t="str">
        <f>+VLOOKUP(PROVEEDORES[[#This Row],[PROVEEDOR]],TERCEROS_INFO[[PROVEEDOR]:[CORREO]],5,FALSE)</f>
        <v>senalizacionyavisos@gmail.com;girlesa.ruiz@servipilas.com;joriescobar64@gmail.com</v>
      </c>
      <c r="G1099" s="111">
        <v>44550</v>
      </c>
      <c r="H1099" s="31" t="s">
        <v>341</v>
      </c>
      <c r="I1099" s="111">
        <v>44544</v>
      </c>
      <c r="J1099" s="48">
        <v>765</v>
      </c>
      <c r="K1099" s="26">
        <v>500000</v>
      </c>
      <c r="L1099" s="26"/>
      <c r="M1099" s="27">
        <v>95000</v>
      </c>
      <c r="N1099" s="28"/>
      <c r="O1099" s="27">
        <v>0</v>
      </c>
      <c r="P1099" s="28">
        <v>0</v>
      </c>
      <c r="Q1099" s="27">
        <v>0</v>
      </c>
      <c r="R1099" s="26">
        <v>0</v>
      </c>
      <c r="S1099" s="115">
        <f ca="1">IF(PROVEEDORES[[#This Row],[FECHA DE PAGO]]=0,TODAY()-PROVEEDORES[[#This Row],[FECHA DE FACTURACIÓN]]-PROVEEDORES[[#This Row],[PLAZO Días]],0)</f>
        <v>0</v>
      </c>
      <c r="T10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0" spans="1:20" ht="21.9" customHeight="1" x14ac:dyDescent="0.3">
      <c r="A1100" s="113" t="str">
        <f>+IF(PROVEEDORES[[#This Row],[FECHA DE PAGO]]=PROVEEDORES[[#This Row],[FECHA DE FACTURACIÓN]],"DE CONTADO","CRÉDITO")</f>
        <v>CRÉDITO</v>
      </c>
      <c r="B1100" s="51" t="str">
        <f>+IF((PROVEEDORES[[#This Row],[FECHA DE PAGO]]-PROVEEDORES[[#This Row],[FECHA DE FACTURACIÓN]])&gt;PROVEEDORES[[#This Row],[PLAZO Días]],"PAGO VENCIDO")</f>
        <v>PAGO VENCIDO</v>
      </c>
      <c r="C1100" s="25">
        <f>+VLOOKUP(PROVEEDORES[[#This Row],[PROVEEDOR]],TERCEROS_INFO[#All],2,FALSE)</f>
        <v>30</v>
      </c>
      <c r="D1100" s="30">
        <f>+SUMIFS(PROVEEDORES[Total],PROVEEDORES[PROVEEDOR],PROVEEDORES[[#This Row],[PROVEEDOR]],PROVEEDORES[FECHA DE PAGO],"")</f>
        <v>148000</v>
      </c>
      <c r="E1100" s="30"/>
      <c r="F1100" s="73" t="str">
        <f>+VLOOKUP(PROVEEDORES[[#This Row],[PROVEEDOR]],TERCEROS_INFO[[PROVEEDOR]:[CORREO]],5,FALSE)</f>
        <v>jarlysas@gmail.com;o.clockinternational@gmail.com;girlesa.ruiz@servipilas.com;joriescobar64@gmail.com</v>
      </c>
      <c r="G1100" s="111">
        <v>44652</v>
      </c>
      <c r="H1100" s="31" t="s">
        <v>1048</v>
      </c>
      <c r="I1100" s="111">
        <v>44545</v>
      </c>
      <c r="J1100" s="48" t="s">
        <v>907</v>
      </c>
      <c r="K1100" s="26">
        <v>2365000</v>
      </c>
      <c r="L1100" s="26"/>
      <c r="M1100" s="27">
        <v>0</v>
      </c>
      <c r="N1100" s="28"/>
      <c r="O1100" s="27">
        <v>0</v>
      </c>
      <c r="P1100" s="28">
        <v>0</v>
      </c>
      <c r="Q1100" s="27">
        <v>0</v>
      </c>
      <c r="R1100" s="26">
        <v>2365000</v>
      </c>
      <c r="S1100" s="115">
        <f ca="1">IF(PROVEEDORES[[#This Row],[FECHA DE PAGO]]=0,TODAY()-PROVEEDORES[[#This Row],[FECHA DE FACTURACIÓN]]-PROVEEDORES[[#This Row],[PLAZO Días]],0)</f>
        <v>0</v>
      </c>
      <c r="T110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1" spans="1:20" ht="21.9" customHeight="1" x14ac:dyDescent="0.3">
      <c r="A1101" s="113" t="str">
        <f>+IF(PROVEEDORES[[#This Row],[FECHA DE PAGO]]=PROVEEDORES[[#This Row],[FECHA DE FACTURACIÓN]],"DE CONTADO","CRÉDITO")</f>
        <v>DE CONTADO</v>
      </c>
      <c r="B1101" s="51" t="b">
        <f>+IF((PROVEEDORES[[#This Row],[FECHA DE PAGO]]-PROVEEDORES[[#This Row],[FECHA DE FACTURACIÓN]])&gt;PROVEEDORES[[#This Row],[PLAZO Días]],"PAGO VENCIDO")</f>
        <v>0</v>
      </c>
      <c r="C1101" s="25">
        <f>+VLOOKUP(PROVEEDORES[[#This Row],[PROVEEDOR]],TERCEROS_INFO[#All],2,FALSE)</f>
        <v>30</v>
      </c>
      <c r="D1101" s="30">
        <f>+SUMIFS(PROVEEDORES[Total],PROVEEDORES[PROVEEDOR],PROVEEDORES[[#This Row],[PROVEEDOR]],PROVEEDORES[FECHA DE PAGO],"")</f>
        <v>0</v>
      </c>
      <c r="E1101" s="30"/>
      <c r="F1101" s="73">
        <f>+VLOOKUP(PROVEEDORES[[#This Row],[PROVEEDOR]],TERCEROS_INFO[[PROVEEDOR]:[CORREO]],5,FALSE)</f>
        <v>0</v>
      </c>
      <c r="G1101" s="111">
        <v>44545</v>
      </c>
      <c r="H1101" s="31" t="s">
        <v>498</v>
      </c>
      <c r="I1101" s="111">
        <v>44545</v>
      </c>
      <c r="J1101" s="48" t="s">
        <v>655</v>
      </c>
      <c r="K1101" s="26">
        <v>4470000</v>
      </c>
      <c r="L1101" s="26"/>
      <c r="M1101" s="27">
        <v>849300</v>
      </c>
      <c r="N1101" s="28"/>
      <c r="O1101" s="27">
        <v>0</v>
      </c>
      <c r="P1101" s="28">
        <v>2.5000000000000001E-2</v>
      </c>
      <c r="Q1101" s="27">
        <v>111750</v>
      </c>
      <c r="R1101" s="26">
        <v>5207550</v>
      </c>
      <c r="S1101" s="115">
        <f ca="1">IF(PROVEEDORES[[#This Row],[FECHA DE PAGO]]=0,TODAY()-PROVEEDORES[[#This Row],[FECHA DE FACTURACIÓN]]-PROVEEDORES[[#This Row],[PLAZO Días]],0)</f>
        <v>0</v>
      </c>
      <c r="T11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2" spans="1:20" ht="21.9" customHeight="1" x14ac:dyDescent="0.3">
      <c r="A1102" s="113" t="str">
        <f>+IF(PROVEEDORES[[#This Row],[FECHA DE PAGO]]=PROVEEDORES[[#This Row],[FECHA DE FACTURACIÓN]],"DE CONTADO","CRÉDITO")</f>
        <v>CRÉDITO</v>
      </c>
      <c r="B1102" s="51" t="str">
        <f>+IF((PROVEEDORES[[#This Row],[FECHA DE PAGO]]-PROVEEDORES[[#This Row],[FECHA DE FACTURACIÓN]])&gt;PROVEEDORES[[#This Row],[PLAZO Días]],"PAGO VENCIDO")</f>
        <v>PAGO VENCIDO</v>
      </c>
      <c r="C1102" s="25">
        <f>+VLOOKUP(PROVEEDORES[[#This Row],[PROVEEDOR]],TERCEROS_INFO[#All],2,FALSE)</f>
        <v>30</v>
      </c>
      <c r="D1102" s="30">
        <f>+SUMIFS(PROVEEDORES[Total],PROVEEDORES[PROVEEDOR],PROVEEDORES[[#This Row],[PROVEEDOR]],PROVEEDORES[FECHA DE PAGO],"")</f>
        <v>7458000</v>
      </c>
      <c r="E1102" s="30"/>
      <c r="F1102" s="73" t="str">
        <f>+VLOOKUP(PROVEEDORES[[#This Row],[PROVEEDOR]],TERCEROS_INFO[[PROVEEDOR]:[CORREO]],5,FALSE)</f>
        <v/>
      </c>
      <c r="G1102" s="111">
        <v>44620</v>
      </c>
      <c r="H1102" s="31" t="s">
        <v>1049</v>
      </c>
      <c r="I1102" s="111">
        <v>44545</v>
      </c>
      <c r="J1102" s="48" t="s">
        <v>906</v>
      </c>
      <c r="K1102" s="26">
        <v>7060000</v>
      </c>
      <c r="L1102" s="26"/>
      <c r="M1102" s="27">
        <v>0</v>
      </c>
      <c r="N1102" s="28"/>
      <c r="O1102" s="27">
        <v>0</v>
      </c>
      <c r="P1102" s="28">
        <v>0</v>
      </c>
      <c r="Q1102" s="27">
        <v>0</v>
      </c>
      <c r="R1102" s="26">
        <v>7060000</v>
      </c>
      <c r="S1102" s="115">
        <f ca="1">IF(PROVEEDORES[[#This Row],[FECHA DE PAGO]]=0,TODAY()-PROVEEDORES[[#This Row],[FECHA DE FACTURACIÓN]]-PROVEEDORES[[#This Row],[PLAZO Días]],0)</f>
        <v>0</v>
      </c>
      <c r="T11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3" spans="1:20" ht="21.9" customHeight="1" x14ac:dyDescent="0.3">
      <c r="A1103" s="113" t="str">
        <f>+IF(PROVEEDORES[[#This Row],[FECHA DE PAGO]]=PROVEEDORES[[#This Row],[FECHA DE FACTURACIÓN]],"DE CONTADO","CRÉDITO")</f>
        <v>CRÉDITO</v>
      </c>
      <c r="B1103" s="51" t="b">
        <f>+IF((PROVEEDORES[[#This Row],[FECHA DE PAGO]]-PROVEEDORES[[#This Row],[FECHA DE FACTURACIÓN]])&gt;PROVEEDORES[[#This Row],[PLAZO Días]],"PAGO VENCIDO")</f>
        <v>0</v>
      </c>
      <c r="C1103" s="25">
        <f>+VLOOKUP(PROVEEDORES[[#This Row],[PROVEEDOR]],TERCEROS_INFO[#All],2,FALSE)</f>
        <v>30</v>
      </c>
      <c r="D1103" s="30">
        <f>+SUMIFS(PROVEEDORES[Total],PROVEEDORES[PROVEEDOR],PROVEEDORES[[#This Row],[PROVEEDOR]],PROVEEDORES[FECHA DE PAGO],"")</f>
        <v>0</v>
      </c>
      <c r="E1103" s="30"/>
      <c r="F1103" s="73" t="str">
        <f>+VLOOKUP(PROVEEDORES[[#This Row],[PROVEEDOR]],TERCEROS_INFO[[PROVEEDOR]:[CORREO]],5,FALSE)</f>
        <v>oswaldo.alvarez@logimexsas.com;girlesa.ruiz@servipilas.com;joriescobar64@gmail.com</v>
      </c>
      <c r="G1103" s="111">
        <v>44550</v>
      </c>
      <c r="H1103" s="31" t="s">
        <v>120</v>
      </c>
      <c r="I1103" s="111">
        <v>44546</v>
      </c>
      <c r="J1103" s="48" t="s">
        <v>659</v>
      </c>
      <c r="K1103" s="26">
        <v>627659</v>
      </c>
      <c r="L1103" s="26"/>
      <c r="M1103" s="27">
        <v>0</v>
      </c>
      <c r="N1103" s="28"/>
      <c r="O1103" s="27">
        <v>0</v>
      </c>
      <c r="P1103" s="28">
        <v>0</v>
      </c>
      <c r="Q1103" s="27">
        <v>0</v>
      </c>
      <c r="R1103" s="26">
        <v>0</v>
      </c>
      <c r="S1103" s="115">
        <f ca="1">IF(PROVEEDORES[[#This Row],[FECHA DE PAGO]]=0,TODAY()-PROVEEDORES[[#This Row],[FECHA DE FACTURACIÓN]]-PROVEEDORES[[#This Row],[PLAZO Días]],0)</f>
        <v>0</v>
      </c>
      <c r="T11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4" spans="1:20" ht="21.9" customHeight="1" x14ac:dyDescent="0.3">
      <c r="A1104" s="113" t="str">
        <f>+IF(PROVEEDORES[[#This Row],[FECHA DE PAGO]]=PROVEEDORES[[#This Row],[FECHA DE FACTURACIÓN]],"DE CONTADO","CRÉDITO")</f>
        <v>CRÉDITO</v>
      </c>
      <c r="B1104" s="51" t="str">
        <f>+IF((PROVEEDORES[[#This Row],[FECHA DE PAGO]]-PROVEEDORES[[#This Row],[FECHA DE FACTURACIÓN]])&gt;PROVEEDORES[[#This Row],[PLAZO Días]],"PAGO VENCIDO")</f>
        <v>PAGO VENCIDO</v>
      </c>
      <c r="C1104" s="25">
        <f>+VLOOKUP(PROVEEDORES[[#This Row],[PROVEEDOR]],TERCEROS_INFO[#All],2,FALSE)</f>
        <v>30</v>
      </c>
      <c r="D1104" s="30">
        <f>+SUMIFS(PROVEEDORES[Total],PROVEEDORES[PROVEEDOR],PROVEEDORES[[#This Row],[PROVEEDOR]],PROVEEDORES[FECHA DE PAGO],"")</f>
        <v>24126684</v>
      </c>
      <c r="E1104" s="30"/>
      <c r="F1104" s="73">
        <f>+VLOOKUP(PROVEEDORES[[#This Row],[PROVEEDOR]],TERCEROS_INFO[[PROVEEDOR]:[CORREO]],5,FALSE)</f>
        <v>0</v>
      </c>
      <c r="G1104" s="111">
        <v>44656</v>
      </c>
      <c r="H1104" s="31" t="s">
        <v>510</v>
      </c>
      <c r="I1104" s="111">
        <v>44546</v>
      </c>
      <c r="J1104" s="48" t="s">
        <v>1126</v>
      </c>
      <c r="K1104" s="26">
        <v>5190000</v>
      </c>
      <c r="L1104" s="26"/>
      <c r="M1104" s="27">
        <v>986100</v>
      </c>
      <c r="N1104" s="28"/>
      <c r="O1104" s="27">
        <v>0</v>
      </c>
      <c r="P1104" s="28">
        <v>2.5000000000000001E-2</v>
      </c>
      <c r="Q1104" s="27">
        <v>129750</v>
      </c>
      <c r="R1104" s="26">
        <v>6046350</v>
      </c>
      <c r="S1104" s="115">
        <f ca="1">IF(PROVEEDORES[[#This Row],[FECHA DE PAGO]]=0,TODAY()-PROVEEDORES[[#This Row],[FECHA DE FACTURACIÓN]]-PROVEEDORES[[#This Row],[PLAZO Días]],0)</f>
        <v>0</v>
      </c>
      <c r="T11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5" spans="1:20" ht="21.9" customHeight="1" x14ac:dyDescent="0.3">
      <c r="A1105" s="113" t="str">
        <f>+IF(PROVEEDORES[[#This Row],[FECHA DE PAGO]]=PROVEEDORES[[#This Row],[FECHA DE FACTURACIÓN]],"DE CONTADO","CRÉDITO")</f>
        <v>DE CONTADO</v>
      </c>
      <c r="B1105" s="51" t="b">
        <f>+IF((PROVEEDORES[[#This Row],[FECHA DE PAGO]]-PROVEEDORES[[#This Row],[FECHA DE FACTURACIÓN]])&gt;PROVEEDORES[[#This Row],[PLAZO Días]],"PAGO VENCIDO")</f>
        <v>0</v>
      </c>
      <c r="C1105" s="25">
        <f>+VLOOKUP(PROVEEDORES[[#This Row],[PROVEEDOR]],TERCEROS_INFO[#All],2,FALSE)</f>
        <v>30</v>
      </c>
      <c r="D1105" s="30">
        <f>+SUMIFS(PROVEEDORES[Total],PROVEEDORES[PROVEEDOR],PROVEEDORES[[#This Row],[PROVEEDOR]],PROVEEDORES[FECHA DE PAGO],"")</f>
        <v>0</v>
      </c>
      <c r="E1105" s="30"/>
      <c r="F1105" s="73">
        <f>+VLOOKUP(PROVEEDORES[[#This Row],[PROVEEDOR]],TERCEROS_INFO[[PROVEEDOR]:[CORREO]],5,FALSE)</f>
        <v>0</v>
      </c>
      <c r="G1105" s="111">
        <v>44547</v>
      </c>
      <c r="H1105" s="31" t="s">
        <v>1014</v>
      </c>
      <c r="I1105" s="111">
        <v>44547</v>
      </c>
      <c r="J1105" s="48" t="s">
        <v>660</v>
      </c>
      <c r="K1105" s="26">
        <v>320000</v>
      </c>
      <c r="L1105" s="26"/>
      <c r="M1105" s="27">
        <v>0</v>
      </c>
      <c r="N1105" s="28"/>
      <c r="O1105" s="27">
        <v>0</v>
      </c>
      <c r="P1105" s="28">
        <v>0</v>
      </c>
      <c r="Q1105" s="27">
        <v>0</v>
      </c>
      <c r="R1105" s="26">
        <v>320000</v>
      </c>
      <c r="S1105" s="115">
        <f ca="1">IF(PROVEEDORES[[#This Row],[FECHA DE PAGO]]=0,TODAY()-PROVEEDORES[[#This Row],[FECHA DE FACTURACIÓN]]-PROVEEDORES[[#This Row],[PLAZO Días]],0)</f>
        <v>0</v>
      </c>
      <c r="T110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6" spans="1:20" ht="21.9" customHeight="1" x14ac:dyDescent="0.3">
      <c r="A1106" s="113" t="str">
        <f>+IF(PROVEEDORES[[#This Row],[FECHA DE PAGO]]=PROVEEDORES[[#This Row],[FECHA DE FACTURACIÓN]],"DE CONTADO","CRÉDITO")</f>
        <v>DE CONTADO</v>
      </c>
      <c r="B1106" s="51" t="b">
        <f>+IF((PROVEEDORES[[#This Row],[FECHA DE PAGO]]-PROVEEDORES[[#This Row],[FECHA DE FACTURACIÓN]])&gt;PROVEEDORES[[#This Row],[PLAZO Días]],"PAGO VENCIDO")</f>
        <v>0</v>
      </c>
      <c r="C1106" s="25">
        <f>+VLOOKUP(PROVEEDORES[[#This Row],[PROVEEDOR]],TERCEROS_INFO[#All],2,FALSE)</f>
        <v>30</v>
      </c>
      <c r="D1106" s="30">
        <f>+SUMIFS(PROVEEDORES[Total],PROVEEDORES[PROVEEDOR],PROVEEDORES[[#This Row],[PROVEEDOR]],PROVEEDORES[FECHA DE PAGO],"")</f>
        <v>0</v>
      </c>
      <c r="E1106" s="30"/>
      <c r="F1106" s="73">
        <f>+VLOOKUP(PROVEEDORES[[#This Row],[PROVEEDOR]],TERCEROS_INFO[[PROVEEDOR]:[CORREO]],5,FALSE)</f>
        <v>0</v>
      </c>
      <c r="G1106" s="111">
        <v>44547</v>
      </c>
      <c r="H1106" s="31" t="s">
        <v>1014</v>
      </c>
      <c r="I1106" s="111">
        <v>44547</v>
      </c>
      <c r="J1106" s="48" t="s">
        <v>661</v>
      </c>
      <c r="K1106" s="26">
        <v>963000</v>
      </c>
      <c r="L1106" s="26"/>
      <c r="M1106" s="27">
        <v>0</v>
      </c>
      <c r="N1106" s="28"/>
      <c r="O1106" s="27">
        <v>0</v>
      </c>
      <c r="P1106" s="28">
        <v>0</v>
      </c>
      <c r="Q1106" s="27">
        <v>0</v>
      </c>
      <c r="R1106" s="26">
        <v>963000</v>
      </c>
      <c r="S1106" s="115">
        <f ca="1">IF(PROVEEDORES[[#This Row],[FECHA DE PAGO]]=0,TODAY()-PROVEEDORES[[#This Row],[FECHA DE FACTURACIÓN]]-PROVEEDORES[[#This Row],[PLAZO Días]],0)</f>
        <v>0</v>
      </c>
      <c r="T110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7" spans="1:20" ht="21.9" customHeight="1" x14ac:dyDescent="0.3">
      <c r="A1107" s="113" t="str">
        <f>+IF(PROVEEDORES[[#This Row],[FECHA DE PAGO]]=PROVEEDORES[[#This Row],[FECHA DE FACTURACIÓN]],"DE CONTADO","CRÉDITO")</f>
        <v>DE CONTADO</v>
      </c>
      <c r="B1107" s="51" t="b">
        <f>+IF((PROVEEDORES[[#This Row],[FECHA DE PAGO]]-PROVEEDORES[[#This Row],[FECHA DE FACTURACIÓN]])&gt;PROVEEDORES[[#This Row],[PLAZO Días]],"PAGO VENCIDO")</f>
        <v>0</v>
      </c>
      <c r="C1107" s="25">
        <f>+VLOOKUP(PROVEEDORES[[#This Row],[PROVEEDOR]],TERCEROS_INFO[#All],2,FALSE)</f>
        <v>30</v>
      </c>
      <c r="D1107" s="30">
        <f>+SUMIFS(PROVEEDORES[Total],PROVEEDORES[PROVEEDOR],PROVEEDORES[[#This Row],[PROVEEDOR]],PROVEEDORES[FECHA DE PAGO],"")</f>
        <v>0</v>
      </c>
      <c r="E1107" s="30"/>
      <c r="F1107" s="73" t="str">
        <f>+VLOOKUP(PROVEEDORES[[#This Row],[PROVEEDOR]],TERCEROS_INFO[[PROVEEDOR]:[CORREO]],5,FALSE)</f>
        <v/>
      </c>
      <c r="G1107" s="111">
        <v>44547</v>
      </c>
      <c r="H1107" s="31" t="s">
        <v>1052</v>
      </c>
      <c r="I1107" s="111">
        <v>44547</v>
      </c>
      <c r="J1107" s="48"/>
      <c r="K1107" s="26">
        <v>2100000</v>
      </c>
      <c r="L1107" s="26"/>
      <c r="M1107" s="27">
        <v>0</v>
      </c>
      <c r="N1107" s="28"/>
      <c r="O1107" s="27">
        <v>0</v>
      </c>
      <c r="P1107" s="28">
        <v>0</v>
      </c>
      <c r="Q1107" s="27">
        <v>0</v>
      </c>
      <c r="R1107" s="26">
        <v>2100000</v>
      </c>
      <c r="S1107" s="115">
        <f ca="1">IF(PROVEEDORES[[#This Row],[FECHA DE PAGO]]=0,TODAY()-PROVEEDORES[[#This Row],[FECHA DE FACTURACIÓN]]-PROVEEDORES[[#This Row],[PLAZO Días]],0)</f>
        <v>0</v>
      </c>
      <c r="T110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8" spans="1:20" ht="21.9" customHeight="1" x14ac:dyDescent="0.3">
      <c r="A1108" s="113" t="str">
        <f>+IF(PROVEEDORES[[#This Row],[FECHA DE PAGO]]=PROVEEDORES[[#This Row],[FECHA DE FACTURACIÓN]],"DE CONTADO","CRÉDITO")</f>
        <v>CRÉDITO</v>
      </c>
      <c r="B1108" s="51" t="str">
        <f>+IF((PROVEEDORES[[#This Row],[FECHA DE PAGO]]-PROVEEDORES[[#This Row],[FECHA DE FACTURACIÓN]])&gt;PROVEEDORES[[#This Row],[PLAZO Días]],"PAGO VENCIDO")</f>
        <v>PAGO VENCIDO</v>
      </c>
      <c r="C1108" s="25">
        <f>+VLOOKUP(PROVEEDORES[[#This Row],[PROVEEDOR]],TERCEROS_INFO[#All],2,FALSE)</f>
        <v>30</v>
      </c>
      <c r="D1108" s="30">
        <f>+SUMIFS(PROVEEDORES[Total],PROVEEDORES[PROVEEDOR],PROVEEDORES[[#This Row],[PROVEEDOR]],PROVEEDORES[FECHA DE PAGO],"")</f>
        <v>0</v>
      </c>
      <c r="E1108" s="30"/>
      <c r="F1108" s="73" t="str">
        <f>+VLOOKUP(PROVEEDORES[[#This Row],[PROVEEDOR]],TERCEROS_INFO[[PROVEEDOR]:[CORREO]],5,FALSE)</f>
        <v>swizzeraux2@gmail.com;girlesa.ruiz@servipilas.com;joriescobar64@gmail.com</v>
      </c>
      <c r="G1108" s="111">
        <v>44652</v>
      </c>
      <c r="H1108" s="31" t="s">
        <v>1077</v>
      </c>
      <c r="I1108" s="111">
        <v>44548</v>
      </c>
      <c r="J1108" s="48" t="s">
        <v>910</v>
      </c>
      <c r="K1108" s="26">
        <v>165300</v>
      </c>
      <c r="L1108" s="26"/>
      <c r="M1108" s="27">
        <v>0</v>
      </c>
      <c r="N1108" s="28"/>
      <c r="O1108" s="27">
        <v>0</v>
      </c>
      <c r="P1108" s="28">
        <v>0</v>
      </c>
      <c r="Q1108" s="27">
        <v>0</v>
      </c>
      <c r="R1108" s="26">
        <v>165300</v>
      </c>
      <c r="S1108" s="115">
        <f ca="1">IF(PROVEEDORES[[#This Row],[FECHA DE PAGO]]=0,TODAY()-PROVEEDORES[[#This Row],[FECHA DE FACTURACIÓN]]-PROVEEDORES[[#This Row],[PLAZO Días]],0)</f>
        <v>0</v>
      </c>
      <c r="T11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09" spans="1:20" ht="21.9" customHeight="1" x14ac:dyDescent="0.3">
      <c r="A1109" s="113" t="str">
        <f>+IF(PROVEEDORES[[#This Row],[FECHA DE PAGO]]=PROVEEDORES[[#This Row],[FECHA DE FACTURACIÓN]],"DE CONTADO","CRÉDITO")</f>
        <v>CRÉDITO</v>
      </c>
      <c r="B1109" s="51" t="str">
        <f>+IF((PROVEEDORES[[#This Row],[FECHA DE PAGO]]-PROVEEDORES[[#This Row],[FECHA DE FACTURACIÓN]])&gt;PROVEEDORES[[#This Row],[PLAZO Días]],"PAGO VENCIDO")</f>
        <v>PAGO VENCIDO</v>
      </c>
      <c r="C1109" s="25">
        <f>+VLOOKUP(PROVEEDORES[[#This Row],[PROVEEDOR]],TERCEROS_INFO[#All],2,FALSE)</f>
        <v>30</v>
      </c>
      <c r="D1109" s="30">
        <f>+SUMIFS(PROVEEDORES[Total],PROVEEDORES[PROVEEDOR],PROVEEDORES[[#This Row],[PROVEEDOR]],PROVEEDORES[FECHA DE PAGO],"")</f>
        <v>0</v>
      </c>
      <c r="E1109" s="30"/>
      <c r="F1109" s="73" t="str">
        <f>+VLOOKUP(PROVEEDORES[[#This Row],[PROVEEDOR]],TERCEROS_INFO[[PROVEEDOR]:[CORREO]],5,FALSE)</f>
        <v>swizzeraux2@gmail.com;girlesa.ruiz@servipilas.com;joriescobar64@gmail.com</v>
      </c>
      <c r="G1109" s="111">
        <v>44652</v>
      </c>
      <c r="H1109" s="31" t="s">
        <v>1077</v>
      </c>
      <c r="I1109" s="111">
        <v>44548</v>
      </c>
      <c r="J1109" s="48" t="s">
        <v>911</v>
      </c>
      <c r="K1109" s="26">
        <v>4056200</v>
      </c>
      <c r="L1109" s="26"/>
      <c r="M1109" s="27">
        <v>0</v>
      </c>
      <c r="N1109" s="28"/>
      <c r="O1109" s="27">
        <v>0</v>
      </c>
      <c r="P1109" s="28">
        <v>0</v>
      </c>
      <c r="Q1109" s="27">
        <v>0</v>
      </c>
      <c r="R1109" s="26">
        <v>4056200</v>
      </c>
      <c r="S1109" s="115">
        <f ca="1">IF(PROVEEDORES[[#This Row],[FECHA DE PAGO]]=0,TODAY()-PROVEEDORES[[#This Row],[FECHA DE FACTURACIÓN]]-PROVEEDORES[[#This Row],[PLAZO Días]],0)</f>
        <v>0</v>
      </c>
      <c r="T110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0" spans="1:20" ht="21.9" customHeight="1" x14ac:dyDescent="0.3">
      <c r="A1110" s="113" t="str">
        <f>+IF(PROVEEDORES[[#This Row],[FECHA DE PAGO]]=PROVEEDORES[[#This Row],[FECHA DE FACTURACIÓN]],"DE CONTADO","CRÉDITO")</f>
        <v>DE CONTADO</v>
      </c>
      <c r="B1110" s="51" t="b">
        <f>+IF((PROVEEDORES[[#This Row],[FECHA DE PAGO]]-PROVEEDORES[[#This Row],[FECHA DE FACTURACIÓN]])&gt;PROVEEDORES[[#This Row],[PLAZO Días]],"PAGO VENCIDO")</f>
        <v>0</v>
      </c>
      <c r="C1110" s="25">
        <f>+VLOOKUP(PROVEEDORES[[#This Row],[PROVEEDOR]],TERCEROS_INFO[#All],2,FALSE)</f>
        <v>30</v>
      </c>
      <c r="D1110" s="30">
        <f>+SUMIFS(PROVEEDORES[Total],PROVEEDORES[PROVEEDOR],PROVEEDORES[[#This Row],[PROVEEDOR]],PROVEEDORES[FECHA DE PAGO],"")</f>
        <v>0</v>
      </c>
      <c r="E1110" s="30"/>
      <c r="F1110" s="73" t="str">
        <f>+VLOOKUP(PROVEEDORES[[#This Row],[PROVEEDOR]],TERCEROS_INFO[[PROVEEDOR]:[CORREO]],5,FALSE)</f>
        <v/>
      </c>
      <c r="G1110" s="111">
        <v>44550</v>
      </c>
      <c r="H1110" s="31" t="s">
        <v>1003</v>
      </c>
      <c r="I1110" s="111">
        <v>44550</v>
      </c>
      <c r="J1110" s="48" t="s">
        <v>918</v>
      </c>
      <c r="K1110" s="26">
        <v>610000</v>
      </c>
      <c r="L1110" s="26"/>
      <c r="M1110" s="27">
        <v>0</v>
      </c>
      <c r="N1110" s="28"/>
      <c r="O1110" s="27">
        <v>0</v>
      </c>
      <c r="P1110" s="28">
        <v>0</v>
      </c>
      <c r="Q1110" s="27">
        <v>0</v>
      </c>
      <c r="R1110" s="26">
        <v>610000</v>
      </c>
      <c r="S1110" s="115">
        <f ca="1">IF(PROVEEDORES[[#This Row],[FECHA DE PAGO]]=0,TODAY()-PROVEEDORES[[#This Row],[FECHA DE FACTURACIÓN]]-PROVEEDORES[[#This Row],[PLAZO Días]],0)</f>
        <v>0</v>
      </c>
      <c r="T11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1" spans="1:20" ht="21.9" customHeight="1" x14ac:dyDescent="0.3">
      <c r="A1111" s="113" t="str">
        <f>+IF(PROVEEDORES[[#This Row],[FECHA DE PAGO]]=PROVEEDORES[[#This Row],[FECHA DE FACTURACIÓN]],"DE CONTADO","CRÉDITO")</f>
        <v>CRÉDITO</v>
      </c>
      <c r="B1111" s="51" t="b">
        <f>+IF((PROVEEDORES[[#This Row],[FECHA DE PAGO]]-PROVEEDORES[[#This Row],[FECHA DE FACTURACIÓN]])&gt;PROVEEDORES[[#This Row],[PLAZO Días]],"PAGO VENCIDO")</f>
        <v>0</v>
      </c>
      <c r="C1111" s="25">
        <f>+VLOOKUP(PROVEEDORES[[#This Row],[PROVEEDOR]],TERCEROS_INFO[#All],2,FALSE)</f>
        <v>30</v>
      </c>
      <c r="D1111" s="30">
        <f>+SUMIFS(PROVEEDORES[Total],PROVEEDORES[PROVEEDOR],PROVEEDORES[[#This Row],[PROVEEDOR]],PROVEEDORES[FECHA DE PAGO],"")</f>
        <v>3750700</v>
      </c>
      <c r="E1111" s="30"/>
      <c r="F1111" s="73" t="str">
        <f>+VLOOKUP(PROVEEDORES[[#This Row],[PROVEEDOR]],TERCEROS_INFO[[PROVEEDOR]:[CORREO]],5,FALSE)</f>
        <v/>
      </c>
      <c r="G1111" s="111">
        <v>44200</v>
      </c>
      <c r="H1111" s="31" t="s">
        <v>996</v>
      </c>
      <c r="I1111" s="111">
        <v>44550</v>
      </c>
      <c r="J1111" s="48" t="s">
        <v>904</v>
      </c>
      <c r="K1111" s="26">
        <v>1045000</v>
      </c>
      <c r="L1111" s="26"/>
      <c r="M1111" s="27">
        <v>0</v>
      </c>
      <c r="N1111" s="28"/>
      <c r="O1111" s="27">
        <v>0</v>
      </c>
      <c r="P1111" s="28">
        <v>0</v>
      </c>
      <c r="Q1111" s="27">
        <v>0</v>
      </c>
      <c r="R1111" s="26">
        <v>1045000</v>
      </c>
      <c r="S1111" s="115">
        <f ca="1">IF(PROVEEDORES[[#This Row],[FECHA DE PAGO]]=0,TODAY()-PROVEEDORES[[#This Row],[FECHA DE FACTURACIÓN]]-PROVEEDORES[[#This Row],[PLAZO Días]],0)</f>
        <v>0</v>
      </c>
      <c r="T11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2" spans="1:20" ht="21.9" customHeight="1" x14ac:dyDescent="0.3">
      <c r="A1112" s="113" t="str">
        <f>+IF(PROVEEDORES[[#This Row],[FECHA DE PAGO]]=PROVEEDORES[[#This Row],[FECHA DE FACTURACIÓN]],"DE CONTADO","CRÉDITO")</f>
        <v>CRÉDITO</v>
      </c>
      <c r="B1112" s="51" t="b">
        <f>+IF((PROVEEDORES[[#This Row],[FECHA DE PAGO]]-PROVEEDORES[[#This Row],[FECHA DE FACTURACIÓN]])&gt;PROVEEDORES[[#This Row],[PLAZO Días]],"PAGO VENCIDO")</f>
        <v>0</v>
      </c>
      <c r="C1112" s="25">
        <f>+VLOOKUP(PROVEEDORES[[#This Row],[PROVEEDOR]],TERCEROS_INFO[#All],2,FALSE)</f>
        <v>30</v>
      </c>
      <c r="D1112" s="30">
        <f>+SUMIFS(PROVEEDORES[Total],PROVEEDORES[PROVEEDOR],PROVEEDORES[[#This Row],[PROVEEDOR]],PROVEEDORES[FECHA DE PAGO],"")</f>
        <v>0</v>
      </c>
      <c r="E1112" s="30"/>
      <c r="F1112" s="73">
        <f>+VLOOKUP(PROVEEDORES[[#This Row],[PROVEEDOR]],TERCEROS_INFO[[PROVEEDOR]:[CORREO]],5,FALSE)</f>
        <v>0</v>
      </c>
      <c r="G1112" s="111">
        <v>44554</v>
      </c>
      <c r="H1112" s="31" t="s">
        <v>1086</v>
      </c>
      <c r="I1112" s="111">
        <v>44550</v>
      </c>
      <c r="J1112" s="48" t="s">
        <v>902</v>
      </c>
      <c r="K1112" s="26">
        <v>1950000</v>
      </c>
      <c r="L1112" s="26"/>
      <c r="M1112" s="27">
        <v>0</v>
      </c>
      <c r="N1112" s="28"/>
      <c r="O1112" s="27">
        <v>0</v>
      </c>
      <c r="P1112" s="28">
        <v>0</v>
      </c>
      <c r="Q1112" s="27">
        <v>0</v>
      </c>
      <c r="R1112" s="26">
        <v>1950000</v>
      </c>
      <c r="S1112" s="115">
        <f ca="1">IF(PROVEEDORES[[#This Row],[FECHA DE PAGO]]=0,TODAY()-PROVEEDORES[[#This Row],[FECHA DE FACTURACIÓN]]-PROVEEDORES[[#This Row],[PLAZO Días]],0)</f>
        <v>0</v>
      </c>
      <c r="T11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3" spans="1:20" ht="21.9" customHeight="1" x14ac:dyDescent="0.3">
      <c r="A1113" s="113" t="str">
        <f>+IF(PROVEEDORES[[#This Row],[FECHA DE PAGO]]=PROVEEDORES[[#This Row],[FECHA DE FACTURACIÓN]],"DE CONTADO","CRÉDITO")</f>
        <v>CRÉDITO</v>
      </c>
      <c r="B1113" s="51" t="str">
        <f>+IF((PROVEEDORES[[#This Row],[FECHA DE PAGO]]-PROVEEDORES[[#This Row],[FECHA DE FACTURACIÓN]])&gt;PROVEEDORES[[#This Row],[PLAZO Días]],"PAGO VENCIDO")</f>
        <v>PAGO VENCIDO</v>
      </c>
      <c r="C1113" s="25">
        <f>+VLOOKUP(PROVEEDORES[[#This Row],[PROVEEDOR]],TERCEROS_INFO[#All],2,FALSE)</f>
        <v>30</v>
      </c>
      <c r="D1113" s="30">
        <f>+SUMIFS(PROVEEDORES[Total],PROVEEDORES[PROVEEDOR],PROVEEDORES[[#This Row],[PROVEEDOR]],PROVEEDORES[FECHA DE PAGO],"")</f>
        <v>4078650.6</v>
      </c>
      <c r="E1113" s="30"/>
      <c r="F1113" s="73" t="str">
        <f>+VLOOKUP(PROVEEDORES[[#This Row],[PROVEEDOR]],TERCEROS_INFO[[PROVEEDOR]:[CORREO]],5,FALSE)</f>
        <v>financiera@nalpicentral.com;girlesa.ruiz@servipilas.com;joriescobar64@gmail.com</v>
      </c>
      <c r="G1113" s="111">
        <v>44614</v>
      </c>
      <c r="H1113" s="31" t="s">
        <v>1095</v>
      </c>
      <c r="I1113" s="111">
        <v>44550</v>
      </c>
      <c r="J1113" s="48">
        <v>24019</v>
      </c>
      <c r="K1113" s="26">
        <v>2885740</v>
      </c>
      <c r="L1113" s="26"/>
      <c r="M1113" s="27">
        <v>548290.6</v>
      </c>
      <c r="N1113" s="28"/>
      <c r="O1113" s="27">
        <v>0</v>
      </c>
      <c r="P1113" s="28">
        <v>2.5000000000000001E-2</v>
      </c>
      <c r="Q1113" s="27">
        <v>72143.5</v>
      </c>
      <c r="R1113" s="26">
        <v>3361887.1</v>
      </c>
      <c r="S1113" s="115">
        <f ca="1">IF(PROVEEDORES[[#This Row],[FECHA DE PAGO]]=0,TODAY()-PROVEEDORES[[#This Row],[FECHA DE FACTURACIÓN]]-PROVEEDORES[[#This Row],[PLAZO Días]],0)</f>
        <v>0</v>
      </c>
      <c r="T11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4" spans="1:20" ht="21.9" customHeight="1" x14ac:dyDescent="0.3">
      <c r="A1114" s="113" t="str">
        <f>+IF(PROVEEDORES[[#This Row],[FECHA DE PAGO]]=PROVEEDORES[[#This Row],[FECHA DE FACTURACIÓN]],"DE CONTADO","CRÉDITO")</f>
        <v>CRÉDITO</v>
      </c>
      <c r="B1114" s="51" t="str">
        <f>+IF((PROVEEDORES[[#This Row],[FECHA DE PAGO]]-PROVEEDORES[[#This Row],[FECHA DE FACTURACIÓN]])&gt;PROVEEDORES[[#This Row],[PLAZO Días]],"PAGO VENCIDO")</f>
        <v>PAGO VENCIDO</v>
      </c>
      <c r="C1114" s="25">
        <f>+VLOOKUP(PROVEEDORES[[#This Row],[PROVEEDOR]],TERCEROS_INFO[#All],2,FALSE)</f>
        <v>30</v>
      </c>
      <c r="D1114" s="30">
        <f>+SUMIFS(PROVEEDORES[Total],PROVEEDORES[PROVEEDOR],PROVEEDORES[[#This Row],[PROVEEDOR]],PROVEEDORES[FECHA DE PAGO],"")</f>
        <v>24126684</v>
      </c>
      <c r="E1114" s="30"/>
      <c r="F1114" s="73">
        <f>+VLOOKUP(PROVEEDORES[[#This Row],[PROVEEDOR]],TERCEROS_INFO[[PROVEEDOR]:[CORREO]],5,FALSE)</f>
        <v>0</v>
      </c>
      <c r="G1114" s="111">
        <v>44638</v>
      </c>
      <c r="H1114" s="31" t="s">
        <v>510</v>
      </c>
      <c r="I1114" s="111">
        <v>44550</v>
      </c>
      <c r="J1114" s="48" t="s">
        <v>1127</v>
      </c>
      <c r="K1114" s="26">
        <v>6258400</v>
      </c>
      <c r="L1114" s="26"/>
      <c r="M1114" s="27">
        <v>1189096</v>
      </c>
      <c r="N1114" s="28"/>
      <c r="O1114" s="27">
        <v>0</v>
      </c>
      <c r="P1114" s="28">
        <v>2.5000000000000001E-2</v>
      </c>
      <c r="Q1114" s="27">
        <v>156460</v>
      </c>
      <c r="R1114" s="26">
        <v>7291036</v>
      </c>
      <c r="S1114" s="115">
        <f ca="1">IF(PROVEEDORES[[#This Row],[FECHA DE PAGO]]=0,TODAY()-PROVEEDORES[[#This Row],[FECHA DE FACTURACIÓN]]-PROVEEDORES[[#This Row],[PLAZO Días]],0)</f>
        <v>0</v>
      </c>
      <c r="T11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5" spans="1:20" ht="21.9" customHeight="1" x14ac:dyDescent="0.3">
      <c r="A1115" s="113" t="str">
        <f>+IF(PROVEEDORES[[#This Row],[FECHA DE PAGO]]=PROVEEDORES[[#This Row],[FECHA DE FACTURACIÓN]],"DE CONTADO","CRÉDITO")</f>
        <v>DE CONTADO</v>
      </c>
      <c r="B1115" s="51" t="b">
        <f>+IF((PROVEEDORES[[#This Row],[FECHA DE PAGO]]-PROVEEDORES[[#This Row],[FECHA DE FACTURACIÓN]])&gt;PROVEEDORES[[#This Row],[PLAZO Días]],"PAGO VENCIDO")</f>
        <v>0</v>
      </c>
      <c r="C1115" s="25">
        <f>+VLOOKUP(PROVEEDORES[[#This Row],[PROVEEDOR]],TERCEROS_INFO[#All],2,FALSE)</f>
        <v>30</v>
      </c>
      <c r="D1115" s="30">
        <f>+SUMIFS(PROVEEDORES[Total],PROVEEDORES[PROVEEDOR],PROVEEDORES[[#This Row],[PROVEEDOR]],PROVEEDORES[FECHA DE PAGO],"")</f>
        <v>0</v>
      </c>
      <c r="E1115" s="30"/>
      <c r="F1115" s="73" t="str">
        <f>+VLOOKUP(PROVEEDORES[[#This Row],[PROVEEDOR]],TERCEROS_INFO[[PROVEEDOR]:[CORREO]],5,FALSE)</f>
        <v/>
      </c>
      <c r="G1115" s="111">
        <v>44551</v>
      </c>
      <c r="H1115" s="31" t="s">
        <v>1016</v>
      </c>
      <c r="I1115" s="111">
        <v>44551</v>
      </c>
      <c r="J1115" s="48" t="s">
        <v>901</v>
      </c>
      <c r="K1115" s="26">
        <v>92000</v>
      </c>
      <c r="L1115" s="26"/>
      <c r="M1115" s="27">
        <v>0</v>
      </c>
      <c r="N1115" s="28"/>
      <c r="O1115" s="27">
        <v>0</v>
      </c>
      <c r="P1115" s="28">
        <v>0</v>
      </c>
      <c r="Q1115" s="27">
        <v>0</v>
      </c>
      <c r="R1115" s="26">
        <v>92000</v>
      </c>
      <c r="S1115" s="115">
        <f ca="1">IF(PROVEEDORES[[#This Row],[FECHA DE PAGO]]=0,TODAY()-PROVEEDORES[[#This Row],[FECHA DE FACTURACIÓN]]-PROVEEDORES[[#This Row],[PLAZO Días]],0)</f>
        <v>0</v>
      </c>
      <c r="T11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6" spans="1:20" ht="21.9" customHeight="1" x14ac:dyDescent="0.3">
      <c r="A1116" s="113" t="str">
        <f>+IF(PROVEEDORES[[#This Row],[FECHA DE PAGO]]=PROVEEDORES[[#This Row],[FECHA DE FACTURACIÓN]],"DE CONTADO","CRÉDITO")</f>
        <v>CRÉDITO</v>
      </c>
      <c r="B1116" s="51" t="str">
        <f>+IF((PROVEEDORES[[#This Row],[FECHA DE PAGO]]-PROVEEDORES[[#This Row],[FECHA DE FACTURACIÓN]])&gt;PROVEEDORES[[#This Row],[PLAZO Días]],"PAGO VENCIDO")</f>
        <v>PAGO VENCIDO</v>
      </c>
      <c r="C1116" s="25">
        <f>+VLOOKUP(PROVEEDORES[[#This Row],[PROVEEDOR]],TERCEROS_INFO[#All],2,FALSE)</f>
        <v>30</v>
      </c>
      <c r="D1116" s="30">
        <f>+SUMIFS(PROVEEDORES[Total],PROVEEDORES[PROVEEDOR],PROVEEDORES[[#This Row],[PROVEEDOR]],PROVEEDORES[FECHA DE PAGO],"")</f>
        <v>3320000</v>
      </c>
      <c r="E1116" s="30"/>
      <c r="F1116" s="73" t="str">
        <f>+VLOOKUP(PROVEEDORES[[#This Row],[PROVEEDOR]],TERCEROS_INFO[[PROVEEDOR]:[CORREO]],5,FALSE)</f>
        <v>Pygimportadora@gmail.com;girlesa.ruiz@servipilas.com;joriescobar64@gmail.com</v>
      </c>
      <c r="G1116" s="111">
        <v>44592</v>
      </c>
      <c r="H1116" s="31" t="s">
        <v>1068</v>
      </c>
      <c r="I1116" s="111">
        <v>44551</v>
      </c>
      <c r="J1116" s="48" t="s">
        <v>664</v>
      </c>
      <c r="K1116" s="26">
        <v>105000</v>
      </c>
      <c r="L1116" s="26"/>
      <c r="M1116" s="27">
        <v>0</v>
      </c>
      <c r="N1116" s="28"/>
      <c r="O1116" s="27">
        <v>0</v>
      </c>
      <c r="P1116" s="28">
        <v>0</v>
      </c>
      <c r="Q1116" s="27">
        <v>0</v>
      </c>
      <c r="R1116" s="26">
        <v>105000</v>
      </c>
      <c r="S1116" s="115">
        <f ca="1">IF(PROVEEDORES[[#This Row],[FECHA DE PAGO]]=0,TODAY()-PROVEEDORES[[#This Row],[FECHA DE FACTURACIÓN]]-PROVEEDORES[[#This Row],[PLAZO Días]],0)</f>
        <v>0</v>
      </c>
      <c r="T11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7" spans="1:20" ht="21.9" customHeight="1" x14ac:dyDescent="0.3">
      <c r="A1117" s="113" t="str">
        <f>+IF(PROVEEDORES[[#This Row],[FECHA DE PAGO]]=PROVEEDORES[[#This Row],[FECHA DE FACTURACIÓN]],"DE CONTADO","CRÉDITO")</f>
        <v>CRÉDITO</v>
      </c>
      <c r="B1117" s="51" t="b">
        <f>+IF((PROVEEDORES[[#This Row],[FECHA DE PAGO]]-PROVEEDORES[[#This Row],[FECHA DE FACTURACIÓN]])&gt;PROVEEDORES[[#This Row],[PLAZO Días]],"PAGO VENCIDO")</f>
        <v>0</v>
      </c>
      <c r="C1117" s="25">
        <f>+VLOOKUP(PROVEEDORES[[#This Row],[PROVEEDOR]],TERCEROS_INFO[#All],2,FALSE)</f>
        <v>30</v>
      </c>
      <c r="D1117" s="30">
        <f>+SUMIFS(PROVEEDORES[Total],PROVEEDORES[PROVEEDOR],PROVEEDORES[[#This Row],[PROVEEDOR]],PROVEEDORES[FECHA DE PAGO],"")</f>
        <v>0</v>
      </c>
      <c r="E1117" s="30"/>
      <c r="F1117" s="73" t="str">
        <f>+VLOOKUP(PROVEEDORES[[#This Row],[PROVEEDOR]],TERCEROS_INFO[[PROVEEDOR]:[CORREO]],5,FALSE)</f>
        <v>CARLOSARCILAMENSAJERIA@gmail.com;girlesa.ruiz@servipilas.com;joriescobar64@gmail.com</v>
      </c>
      <c r="G1117" s="111">
        <v>44554</v>
      </c>
      <c r="H1117" s="31" t="s">
        <v>143</v>
      </c>
      <c r="I1117" s="111">
        <v>44551</v>
      </c>
      <c r="J1117" s="48">
        <v>186</v>
      </c>
      <c r="K1117" s="26">
        <v>135000</v>
      </c>
      <c r="L1117" s="26"/>
      <c r="M1117" s="27">
        <v>0</v>
      </c>
      <c r="N1117" s="28"/>
      <c r="O1117" s="27">
        <v>0</v>
      </c>
      <c r="P1117" s="28">
        <v>0</v>
      </c>
      <c r="Q1117" s="27">
        <v>0</v>
      </c>
      <c r="R1117" s="26">
        <v>135000</v>
      </c>
      <c r="S1117" s="115">
        <f ca="1">IF(PROVEEDORES[[#This Row],[FECHA DE PAGO]]=0,TODAY()-PROVEEDORES[[#This Row],[FECHA DE FACTURACIÓN]]-PROVEEDORES[[#This Row],[PLAZO Días]],0)</f>
        <v>0</v>
      </c>
      <c r="T11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8" spans="1:20" ht="21.9" customHeight="1" x14ac:dyDescent="0.3">
      <c r="A1118" s="113" t="str">
        <f>+IF(PROVEEDORES[[#This Row],[FECHA DE PAGO]]=PROVEEDORES[[#This Row],[FECHA DE FACTURACIÓN]],"DE CONTADO","CRÉDITO")</f>
        <v>CRÉDITO</v>
      </c>
      <c r="B1118" s="51" t="str">
        <f>+IF((PROVEEDORES[[#This Row],[FECHA DE PAGO]]-PROVEEDORES[[#This Row],[FECHA DE FACTURACIÓN]])&gt;PROVEEDORES[[#This Row],[PLAZO Días]],"PAGO VENCIDO")</f>
        <v>PAGO VENCIDO</v>
      </c>
      <c r="C1118" s="25">
        <f>+VLOOKUP(PROVEEDORES[[#This Row],[PROVEEDOR]],TERCEROS_INFO[#All],2,FALSE)</f>
        <v>30</v>
      </c>
      <c r="D1118" s="30">
        <f>+SUMIFS(PROVEEDORES[Total],PROVEEDORES[PROVEEDOR],PROVEEDORES[[#This Row],[PROVEEDOR]],PROVEEDORES[FECHA DE PAGO],"")</f>
        <v>3355018.0749999997</v>
      </c>
      <c r="E1118" s="30"/>
      <c r="F1118" s="73" t="str">
        <f>+VLOOKUP(PROVEEDORES[[#This Row],[PROVEEDOR]],TERCEROS_INFO[[PROVEEDOR]:[CORREO]],5,FALSE)</f>
        <v>yermingg@hotmail.com;girlesa.ruiz@servipilas.com;joriescobar64@gmail.com</v>
      </c>
      <c r="G1118" s="111">
        <v>44636</v>
      </c>
      <c r="H1118" s="31" t="s">
        <v>224</v>
      </c>
      <c r="I1118" s="111">
        <v>44551</v>
      </c>
      <c r="J1118" s="48">
        <v>458</v>
      </c>
      <c r="K1118" s="26">
        <v>1281933</v>
      </c>
      <c r="L1118" s="26"/>
      <c r="M1118" s="27">
        <v>243567.27</v>
      </c>
      <c r="N1118" s="28"/>
      <c r="O1118" s="27">
        <v>0</v>
      </c>
      <c r="P1118" s="28">
        <v>2.5000000000000001E-2</v>
      </c>
      <c r="Q1118" s="27">
        <v>32048.325000000001</v>
      </c>
      <c r="R1118" s="26">
        <v>1493451.9450000001</v>
      </c>
      <c r="S1118" s="115">
        <f ca="1">IF(PROVEEDORES[[#This Row],[FECHA DE PAGO]]=0,TODAY()-PROVEEDORES[[#This Row],[FECHA DE FACTURACIÓN]]-PROVEEDORES[[#This Row],[PLAZO Días]],0)</f>
        <v>0</v>
      </c>
      <c r="T11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19" spans="1:20" ht="21.9" customHeight="1" x14ac:dyDescent="0.3">
      <c r="A1119" s="113" t="str">
        <f>+IF(PROVEEDORES[[#This Row],[FECHA DE PAGO]]=PROVEEDORES[[#This Row],[FECHA DE FACTURACIÓN]],"DE CONTADO","CRÉDITO")</f>
        <v>CRÉDITO</v>
      </c>
      <c r="B1119" s="51" t="str">
        <f>+IF((PROVEEDORES[[#This Row],[FECHA DE PAGO]]-PROVEEDORES[[#This Row],[FECHA DE FACTURACIÓN]])&gt;PROVEEDORES[[#This Row],[PLAZO Días]],"PAGO VENCIDO")</f>
        <v>PAGO VENCIDO</v>
      </c>
      <c r="C1119" s="25">
        <f>+VLOOKUP(PROVEEDORES[[#This Row],[PROVEEDOR]],TERCEROS_INFO[#All],2,FALSE)</f>
        <v>90</v>
      </c>
      <c r="D1119" s="30">
        <f>+SUMIFS(PROVEEDORES[Total],PROVEEDORES[PROVEEDOR],PROVEEDORES[[#This Row],[PROVEEDOR]],PROVEEDORES[FECHA DE PAGO],"")</f>
        <v>26364243.66155</v>
      </c>
      <c r="E1119" s="30"/>
      <c r="F1119" s="73" t="str">
        <f>+VLOOKUP(PROVEEDORES[[#This Row],[PROVEEDOR]],TERCEROS_INFO[[PROVEEDOR]:[CORREO]],5,FALSE)</f>
        <v>javiergomez_72@hotmail.com ;girlesa.ruiz@servipilas.com;joriescobar64@gmail.com</v>
      </c>
      <c r="G1119" s="111">
        <v>44648</v>
      </c>
      <c r="H1119" s="31" t="s">
        <v>12</v>
      </c>
      <c r="I1119" s="111">
        <v>44551</v>
      </c>
      <c r="J1119" s="48" t="s">
        <v>914</v>
      </c>
      <c r="K1119" s="26">
        <v>7573109</v>
      </c>
      <c r="L1119" s="26"/>
      <c r="M1119" s="27">
        <v>1438890.71</v>
      </c>
      <c r="N1119" s="28"/>
      <c r="O1119" s="27">
        <v>0</v>
      </c>
      <c r="P1119" s="28">
        <v>2.5000000000000001E-2</v>
      </c>
      <c r="Q1119" s="27">
        <v>189327.72500000001</v>
      </c>
      <c r="R1119" s="26">
        <v>8822671.9850000013</v>
      </c>
      <c r="S1119" s="115">
        <f ca="1">IF(PROVEEDORES[[#This Row],[FECHA DE PAGO]]=0,TODAY()-PROVEEDORES[[#This Row],[FECHA DE FACTURACIÓN]]-PROVEEDORES[[#This Row],[PLAZO Días]],0)</f>
        <v>0</v>
      </c>
      <c r="T11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0" spans="1:20" ht="21.9" customHeight="1" x14ac:dyDescent="0.3">
      <c r="A1120" s="113" t="str">
        <f>+IF(PROVEEDORES[[#This Row],[FECHA DE PAGO]]=PROVEEDORES[[#This Row],[FECHA DE FACTURACIÓN]],"DE CONTADO","CRÉDITO")</f>
        <v>CRÉDITO</v>
      </c>
      <c r="B1120" s="51" t="str">
        <f>+IF((PROVEEDORES[[#This Row],[FECHA DE PAGO]]-PROVEEDORES[[#This Row],[FECHA DE FACTURACIÓN]])&gt;PROVEEDORES[[#This Row],[PLAZO Días]],"PAGO VENCIDO")</f>
        <v>PAGO VENCIDO</v>
      </c>
      <c r="C1120" s="25">
        <f>+VLOOKUP(PROVEEDORES[[#This Row],[PROVEEDOR]],TERCEROS_INFO[#All],2,FALSE)</f>
        <v>45</v>
      </c>
      <c r="D1120" s="30">
        <f>+SUMIFS(PROVEEDORES[Total],PROVEEDORES[PROVEEDOR],PROVEEDORES[[#This Row],[PROVEEDOR]],PROVEEDORES[FECHA DE PAGO],"")</f>
        <v>17760678.600000001</v>
      </c>
      <c r="E1120" s="30"/>
      <c r="F1120" s="73" t="str">
        <f>+VLOOKUP(PROVEEDORES[[#This Row],[PROVEEDOR]],TERCEROS_INFO[[PROVEEDOR]:[CORREO]],5,FALSE)</f>
        <v>zully.florez@powest.com;girlesa.ruiz@servipilas.com;joriescobar64@gmail.com</v>
      </c>
      <c r="G1120" s="111">
        <v>44608</v>
      </c>
      <c r="H1120" s="31" t="s">
        <v>19</v>
      </c>
      <c r="I1120" s="111">
        <v>44551</v>
      </c>
      <c r="J1120" s="48" t="s">
        <v>913</v>
      </c>
      <c r="K1120" s="26">
        <v>10867200</v>
      </c>
      <c r="L1120" s="26"/>
      <c r="M1120" s="27">
        <v>2064768</v>
      </c>
      <c r="N1120" s="28"/>
      <c r="O1120" s="27">
        <v>0</v>
      </c>
      <c r="P1120" s="28">
        <v>0</v>
      </c>
      <c r="Q1120" s="27">
        <v>0</v>
      </c>
      <c r="R1120" s="26">
        <v>12931968</v>
      </c>
      <c r="S1120" s="115">
        <f ca="1">IF(PROVEEDORES[[#This Row],[FECHA DE PAGO]]=0,TODAY()-PROVEEDORES[[#This Row],[FECHA DE FACTURACIÓN]]-PROVEEDORES[[#This Row],[PLAZO Días]],0)</f>
        <v>0</v>
      </c>
      <c r="T11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1" spans="1:20" ht="21.9" customHeight="1" x14ac:dyDescent="0.3">
      <c r="A1121" s="113" t="str">
        <f>+IF(PROVEEDORES[[#This Row],[FECHA DE PAGO]]=PROVEEDORES[[#This Row],[FECHA DE FACTURACIÓN]],"DE CONTADO","CRÉDITO")</f>
        <v>CRÉDITO</v>
      </c>
      <c r="B1121" s="51" t="str">
        <f>+IF((PROVEEDORES[[#This Row],[FECHA DE PAGO]]-PROVEEDORES[[#This Row],[FECHA DE FACTURACIÓN]])&gt;PROVEEDORES[[#This Row],[PLAZO Días]],"PAGO VENCIDO")</f>
        <v>PAGO VENCIDO</v>
      </c>
      <c r="C1121" s="25">
        <f>+VLOOKUP(PROVEEDORES[[#This Row],[PROVEEDOR]],TERCEROS_INFO[#All],2,FALSE)</f>
        <v>30</v>
      </c>
      <c r="D1121" s="30">
        <f>+SUMIFS(PROVEEDORES[Total],PROVEEDORES[PROVEEDOR],PROVEEDORES[[#This Row],[PROVEEDOR]],PROVEEDORES[FECHA DE PAGO],"")</f>
        <v>0</v>
      </c>
      <c r="E1121" s="30"/>
      <c r="F1121" s="73" t="str">
        <f>+VLOOKUP(PROVEEDORES[[#This Row],[PROVEEDOR]],TERCEROS_INFO[[PROVEEDOR]:[CORREO]],5,FALSE)</f>
        <v/>
      </c>
      <c r="G1121" s="111">
        <v>44600</v>
      </c>
      <c r="H1121" s="31" t="s">
        <v>1060</v>
      </c>
      <c r="I1121" s="111">
        <v>44552</v>
      </c>
      <c r="J1121" s="48" t="s">
        <v>900</v>
      </c>
      <c r="K1121" s="26">
        <v>112000</v>
      </c>
      <c r="L1121" s="26"/>
      <c r="M1121" s="27">
        <v>0</v>
      </c>
      <c r="N1121" s="28"/>
      <c r="O1121" s="27">
        <v>0</v>
      </c>
      <c r="P1121" s="28">
        <v>0</v>
      </c>
      <c r="Q1121" s="27">
        <v>0</v>
      </c>
      <c r="R1121" s="26">
        <v>112000</v>
      </c>
      <c r="S1121" s="115">
        <f ca="1">IF(PROVEEDORES[[#This Row],[FECHA DE PAGO]]=0,TODAY()-PROVEEDORES[[#This Row],[FECHA DE FACTURACIÓN]]-PROVEEDORES[[#This Row],[PLAZO Días]],0)</f>
        <v>0</v>
      </c>
      <c r="T11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2" spans="1:20" ht="21.9" customHeight="1" x14ac:dyDescent="0.3">
      <c r="A1122" s="113" t="str">
        <f>+IF(PROVEEDORES[[#This Row],[FECHA DE PAGO]]=PROVEEDORES[[#This Row],[FECHA DE FACTURACIÓN]],"DE CONTADO","CRÉDITO")</f>
        <v>CRÉDITO</v>
      </c>
      <c r="B1122" s="51" t="b">
        <f>+IF((PROVEEDORES[[#This Row],[FECHA DE PAGO]]-PROVEEDORES[[#This Row],[FECHA DE FACTURACIÓN]])&gt;PROVEEDORES[[#This Row],[PLAZO Días]],"PAGO VENCIDO")</f>
        <v>0</v>
      </c>
      <c r="C1122" s="25">
        <f>+VLOOKUP(PROVEEDORES[[#This Row],[PROVEEDOR]],TERCEROS_INFO[#All],2,FALSE)</f>
        <v>30</v>
      </c>
      <c r="D1122" s="30">
        <f>+SUMIFS(PROVEEDORES[Total],PROVEEDORES[PROVEEDOR],PROVEEDORES[[#This Row],[PROVEEDOR]],PROVEEDORES[FECHA DE PAGO],"")</f>
        <v>0</v>
      </c>
      <c r="E1122" s="30"/>
      <c r="F1122" s="73" t="str">
        <f>+VLOOKUP(PROVEEDORES[[#This Row],[PROVEEDOR]],TERCEROS_INFO[[PROVEEDOR]:[CORREO]],5,FALSE)</f>
        <v>CARLOSARCILAMENSAJERIA@gmail.com;girlesa.ruiz@servipilas.com;joriescobar64@gmail.com</v>
      </c>
      <c r="G1122" s="111">
        <v>44553</v>
      </c>
      <c r="H1122" s="31" t="s">
        <v>1046</v>
      </c>
      <c r="I1122" s="111">
        <v>44552</v>
      </c>
      <c r="J1122" s="48">
        <v>316</v>
      </c>
      <c r="K1122" s="26">
        <v>154000</v>
      </c>
      <c r="L1122" s="26"/>
      <c r="M1122" s="27">
        <v>0</v>
      </c>
      <c r="N1122" s="28"/>
      <c r="O1122" s="27">
        <v>0</v>
      </c>
      <c r="P1122" s="28">
        <v>0</v>
      </c>
      <c r="Q1122" s="27">
        <v>0</v>
      </c>
      <c r="R1122" s="26">
        <v>154000</v>
      </c>
      <c r="S1122" s="115">
        <f ca="1">IF(PROVEEDORES[[#This Row],[FECHA DE PAGO]]=0,TODAY()-PROVEEDORES[[#This Row],[FECHA DE FACTURACIÓN]]-PROVEEDORES[[#This Row],[PLAZO Días]],0)</f>
        <v>0</v>
      </c>
      <c r="T11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3" spans="1:20" ht="21.9" customHeight="1" x14ac:dyDescent="0.3">
      <c r="A1123" s="113" t="str">
        <f>+IF(PROVEEDORES[[#This Row],[FECHA DE PAGO]]=PROVEEDORES[[#This Row],[FECHA DE FACTURACIÓN]],"DE CONTADO","CRÉDITO")</f>
        <v>CRÉDITO</v>
      </c>
      <c r="B1123" s="51" t="str">
        <f>+IF((PROVEEDORES[[#This Row],[FECHA DE PAGO]]-PROVEEDORES[[#This Row],[FECHA DE FACTURACIÓN]])&gt;PROVEEDORES[[#This Row],[PLAZO Días]],"PAGO VENCIDO")</f>
        <v>PAGO VENCIDO</v>
      </c>
      <c r="C1123" s="25">
        <f>+VLOOKUP(PROVEEDORES[[#This Row],[PROVEEDOR]],TERCEROS_INFO[#All],2,FALSE)</f>
        <v>60</v>
      </c>
      <c r="D1123" s="30">
        <f>+SUMIFS(PROVEEDORES[Total],PROVEEDORES[PROVEEDOR],PROVEEDORES[[#This Row],[PROVEEDOR]],PROVEEDORES[FECHA DE PAGO],"")</f>
        <v>602800</v>
      </c>
      <c r="E1123" s="30"/>
      <c r="F1123" s="73" t="str">
        <f>+VLOOKUP(PROVEEDORES[[#This Row],[PROVEEDOR]],TERCEROS_INFO[[PROVEEDOR]:[CORREO]],5,FALSE)</f>
        <v>jessica.barios.com@carpainternacional;girlesa.ruiz@servipilas.com;joriescobar64@gmail.com</v>
      </c>
      <c r="G1123" s="111">
        <v>44623</v>
      </c>
      <c r="H1123" s="31" t="s">
        <v>607</v>
      </c>
      <c r="I1123" s="111">
        <v>44552</v>
      </c>
      <c r="J1123" s="48" t="s">
        <v>916</v>
      </c>
      <c r="K1123" s="26">
        <v>319200</v>
      </c>
      <c r="L1123" s="26"/>
      <c r="M1123" s="27">
        <v>0</v>
      </c>
      <c r="N1123" s="28"/>
      <c r="O1123" s="27">
        <v>0</v>
      </c>
      <c r="P1123" s="28">
        <v>0</v>
      </c>
      <c r="Q1123" s="27">
        <v>0</v>
      </c>
      <c r="R1123" s="26">
        <v>319200</v>
      </c>
      <c r="S1123" s="115">
        <f ca="1">IF(PROVEEDORES[[#This Row],[FECHA DE PAGO]]=0,TODAY()-PROVEEDORES[[#This Row],[FECHA DE FACTURACIÓN]]-PROVEEDORES[[#This Row],[PLAZO Días]],0)</f>
        <v>0</v>
      </c>
      <c r="T11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4" spans="1:20" ht="21.9" customHeight="1" x14ac:dyDescent="0.3">
      <c r="A1124" s="113" t="str">
        <f>+IF(PROVEEDORES[[#This Row],[FECHA DE PAGO]]=PROVEEDORES[[#This Row],[FECHA DE FACTURACIÓN]],"DE CONTADO","CRÉDITO")</f>
        <v>DE CONTADO</v>
      </c>
      <c r="B1124" s="51" t="b">
        <f>+IF((PROVEEDORES[[#This Row],[FECHA DE PAGO]]-PROVEEDORES[[#This Row],[FECHA DE FACTURACIÓN]])&gt;PROVEEDORES[[#This Row],[PLAZO Días]],"PAGO VENCIDO")</f>
        <v>0</v>
      </c>
      <c r="C1124" s="25">
        <f>+VLOOKUP(PROVEEDORES[[#This Row],[PROVEEDOR]],TERCEROS_INFO[#All],2,FALSE)</f>
        <v>30</v>
      </c>
      <c r="D1124" s="30">
        <f>+SUMIFS(PROVEEDORES[Total],PROVEEDORES[PROVEEDOR],PROVEEDORES[[#This Row],[PROVEEDOR]],PROVEEDORES[FECHA DE PAGO],"")</f>
        <v>0</v>
      </c>
      <c r="E1124" s="30"/>
      <c r="F1124" s="73" t="str">
        <f>+VLOOKUP(PROVEEDORES[[#This Row],[PROVEEDOR]],TERCEROS_INFO[[PROVEEDOR]:[CORREO]],5,FALSE)</f>
        <v/>
      </c>
      <c r="G1124" s="111">
        <v>44552</v>
      </c>
      <c r="H1124" s="31" t="s">
        <v>1037</v>
      </c>
      <c r="I1124" s="111">
        <v>44552</v>
      </c>
      <c r="J1124" s="48" t="s">
        <v>903</v>
      </c>
      <c r="K1124" s="26">
        <v>820000</v>
      </c>
      <c r="L1124" s="26"/>
      <c r="M1124" s="27">
        <v>0</v>
      </c>
      <c r="N1124" s="28"/>
      <c r="O1124" s="27">
        <v>0</v>
      </c>
      <c r="P1124" s="28">
        <v>0</v>
      </c>
      <c r="Q1124" s="27">
        <v>0</v>
      </c>
      <c r="R1124" s="26">
        <v>820000</v>
      </c>
      <c r="S1124" s="115">
        <f ca="1">IF(PROVEEDORES[[#This Row],[FECHA DE PAGO]]=0,TODAY()-PROVEEDORES[[#This Row],[FECHA DE FACTURACIÓN]]-PROVEEDORES[[#This Row],[PLAZO Días]],0)</f>
        <v>0</v>
      </c>
      <c r="T11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5" spans="1:20" ht="21.9" customHeight="1" x14ac:dyDescent="0.3">
      <c r="A1125" s="113" t="str">
        <f>+IF(PROVEEDORES[[#This Row],[FECHA DE PAGO]]=PROVEEDORES[[#This Row],[FECHA DE FACTURACIÓN]],"DE CONTADO","CRÉDITO")</f>
        <v>CRÉDITO</v>
      </c>
      <c r="B1125" s="51" t="str">
        <f>+IF((PROVEEDORES[[#This Row],[FECHA DE PAGO]]-PROVEEDORES[[#This Row],[FECHA DE FACTURACIÓN]])&gt;PROVEEDORES[[#This Row],[PLAZO Días]],"PAGO VENCIDO")</f>
        <v>PAGO VENCIDO</v>
      </c>
      <c r="C1125" s="25">
        <f>+VLOOKUP(PROVEEDORES[[#This Row],[PROVEEDOR]],TERCEROS_INFO[#All],2,FALSE)</f>
        <v>30</v>
      </c>
      <c r="D1125" s="30">
        <f>+SUMIFS(PROVEEDORES[Total],PROVEEDORES[PROVEEDOR],PROVEEDORES[[#This Row],[PROVEEDOR]],PROVEEDORES[FECHA DE PAGO],"")</f>
        <v>3750700</v>
      </c>
      <c r="E1125" s="30"/>
      <c r="F1125" s="73" t="str">
        <f>+VLOOKUP(PROVEEDORES[[#This Row],[PROVEEDOR]],TERCEROS_INFO[[PROVEEDOR]:[CORREO]],5,FALSE)</f>
        <v/>
      </c>
      <c r="G1125" s="111">
        <v>44586</v>
      </c>
      <c r="H1125" s="31" t="s">
        <v>996</v>
      </c>
      <c r="I1125" s="111">
        <v>44552</v>
      </c>
      <c r="J1125" s="48" t="s">
        <v>905</v>
      </c>
      <c r="K1125" s="26">
        <v>2380000</v>
      </c>
      <c r="L1125" s="26"/>
      <c r="M1125" s="27">
        <v>0</v>
      </c>
      <c r="N1125" s="28"/>
      <c r="O1125" s="27">
        <v>0</v>
      </c>
      <c r="P1125" s="28">
        <v>0</v>
      </c>
      <c r="Q1125" s="27">
        <v>0</v>
      </c>
      <c r="R1125" s="26">
        <v>2380000</v>
      </c>
      <c r="S1125" s="115">
        <f ca="1">IF(PROVEEDORES[[#This Row],[FECHA DE PAGO]]=0,TODAY()-PROVEEDORES[[#This Row],[FECHA DE FACTURACIÓN]]-PROVEEDORES[[#This Row],[PLAZO Días]],0)</f>
        <v>0</v>
      </c>
      <c r="T112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6" spans="1:20" ht="21.9" customHeight="1" x14ac:dyDescent="0.3">
      <c r="A1126" s="113" t="str">
        <f>+IF(PROVEEDORES[[#This Row],[FECHA DE PAGO]]=PROVEEDORES[[#This Row],[FECHA DE FACTURACIÓN]],"DE CONTADO","CRÉDITO")</f>
        <v>CRÉDITO</v>
      </c>
      <c r="B1126" s="51" t="str">
        <f>+IF((PROVEEDORES[[#This Row],[FECHA DE PAGO]]-PROVEEDORES[[#This Row],[FECHA DE FACTURACIÓN]])&gt;PROVEEDORES[[#This Row],[PLAZO Días]],"PAGO VENCIDO")</f>
        <v>PAGO VENCIDO</v>
      </c>
      <c r="C1126" s="25">
        <f>+VLOOKUP(PROVEEDORES[[#This Row],[PROVEEDOR]],TERCEROS_INFO[#All],2,FALSE)</f>
        <v>30</v>
      </c>
      <c r="D1126" s="30">
        <f>+SUMIFS(PROVEEDORES[Total],PROVEEDORES[PROVEEDOR],PROVEEDORES[[#This Row],[PROVEEDOR]],PROVEEDORES[FECHA DE PAGO],"")</f>
        <v>7458000</v>
      </c>
      <c r="E1126" s="30"/>
      <c r="F1126" s="73" t="str">
        <f>+VLOOKUP(PROVEEDORES[[#This Row],[PROVEEDOR]],TERCEROS_INFO[[PROVEEDOR]:[CORREO]],5,FALSE)</f>
        <v/>
      </c>
      <c r="G1126" s="111">
        <v>44586</v>
      </c>
      <c r="H1126" s="31" t="s">
        <v>1049</v>
      </c>
      <c r="I1126" s="111">
        <v>44552</v>
      </c>
      <c r="J1126" s="48" t="s">
        <v>899</v>
      </c>
      <c r="K1126" s="26">
        <v>4310000</v>
      </c>
      <c r="L1126" s="26"/>
      <c r="M1126" s="27">
        <v>0</v>
      </c>
      <c r="N1126" s="28"/>
      <c r="O1126" s="27">
        <v>0</v>
      </c>
      <c r="P1126" s="28">
        <v>0</v>
      </c>
      <c r="Q1126" s="27">
        <v>0</v>
      </c>
      <c r="R1126" s="26">
        <v>4310000</v>
      </c>
      <c r="S1126" s="115">
        <f ca="1">IF(PROVEEDORES[[#This Row],[FECHA DE PAGO]]=0,TODAY()-PROVEEDORES[[#This Row],[FECHA DE FACTURACIÓN]]-PROVEEDORES[[#This Row],[PLAZO Días]],0)</f>
        <v>0</v>
      </c>
      <c r="T112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7" spans="1:20" ht="21.9" customHeight="1" x14ac:dyDescent="0.3">
      <c r="A1127" s="113" t="str">
        <f>+IF(PROVEEDORES[[#This Row],[FECHA DE PAGO]]=PROVEEDORES[[#This Row],[FECHA DE FACTURACIÓN]],"DE CONTADO","CRÉDITO")</f>
        <v>DE CONTADO</v>
      </c>
      <c r="B1127" s="51" t="b">
        <f>+IF((PROVEEDORES[[#This Row],[FECHA DE PAGO]]-PROVEEDORES[[#This Row],[FECHA DE FACTURACIÓN]])&gt;PROVEEDORES[[#This Row],[PLAZO Días]],"PAGO VENCIDO")</f>
        <v>0</v>
      </c>
      <c r="C1127" s="25">
        <f>+VLOOKUP(PROVEEDORES[[#This Row],[PROVEEDOR]],TERCEROS_INFO[#All],2,FALSE)</f>
        <v>30</v>
      </c>
      <c r="D1127" s="30">
        <f>+SUMIFS(PROVEEDORES[Total],PROVEEDORES[PROVEEDOR],PROVEEDORES[[#This Row],[PROVEEDOR]],PROVEEDORES[FECHA DE PAGO],"")</f>
        <v>0</v>
      </c>
      <c r="E1127" s="30"/>
      <c r="F1127" s="73" t="str">
        <f>+VLOOKUP(PROVEEDORES[[#This Row],[PROVEEDOR]],TERCEROS_INFO[[PROVEEDOR]:[CORREO]],5,FALSE)</f>
        <v/>
      </c>
      <c r="G1127" s="111">
        <v>44553</v>
      </c>
      <c r="H1127" s="31" t="s">
        <v>1052</v>
      </c>
      <c r="I1127" s="111">
        <v>44553</v>
      </c>
      <c r="J1127" s="48"/>
      <c r="K1127" s="26">
        <v>2000000</v>
      </c>
      <c r="L1127" s="26"/>
      <c r="M1127" s="27">
        <v>0</v>
      </c>
      <c r="N1127" s="28"/>
      <c r="O1127" s="27">
        <v>0</v>
      </c>
      <c r="P1127" s="28">
        <v>0</v>
      </c>
      <c r="Q1127" s="27">
        <v>0</v>
      </c>
      <c r="R1127" s="26">
        <v>2000000</v>
      </c>
      <c r="S1127" s="115">
        <f ca="1">IF(PROVEEDORES[[#This Row],[FECHA DE PAGO]]=0,TODAY()-PROVEEDORES[[#This Row],[FECHA DE FACTURACIÓN]]-PROVEEDORES[[#This Row],[PLAZO Días]],0)</f>
        <v>0</v>
      </c>
      <c r="T11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8" spans="1:20" ht="21.9" customHeight="1" x14ac:dyDescent="0.3">
      <c r="A1128" s="113" t="str">
        <f>+IF(PROVEEDORES[[#This Row],[FECHA DE PAGO]]=PROVEEDORES[[#This Row],[FECHA DE FACTURACIÓN]],"DE CONTADO","CRÉDITO")</f>
        <v>CRÉDITO</v>
      </c>
      <c r="B1128" s="51" t="b">
        <f>+IF((PROVEEDORES[[#This Row],[FECHA DE PAGO]]-PROVEEDORES[[#This Row],[FECHA DE FACTURACIÓN]])&gt;PROVEEDORES[[#This Row],[PLAZO Días]],"PAGO VENCIDO")</f>
        <v>0</v>
      </c>
      <c r="C1128" s="25">
        <f>+VLOOKUP(PROVEEDORES[[#This Row],[PROVEEDOR]],TERCEROS_INFO[#All],2,FALSE)</f>
        <v>30</v>
      </c>
      <c r="D1128" s="30">
        <f>+SUMIFS(PROVEEDORES[Total],PROVEEDORES[PROVEEDOR],PROVEEDORES[[#This Row],[PROVEEDOR]],PROVEEDORES[FECHA DE PAGO],"")</f>
        <v>3320000</v>
      </c>
      <c r="E1128" s="30"/>
      <c r="F1128" s="73" t="str">
        <f>+VLOOKUP(PROVEEDORES[[#This Row],[PROVEEDOR]],TERCEROS_INFO[[PROVEEDOR]:[CORREO]],5,FALSE)</f>
        <v>Pygimportadora@gmail.com;girlesa.ruiz@servipilas.com;joriescobar64@gmail.com</v>
      </c>
      <c r="G1128" s="111">
        <v>44560</v>
      </c>
      <c r="H1128" s="31" t="s">
        <v>1068</v>
      </c>
      <c r="I1128" s="111">
        <v>44557</v>
      </c>
      <c r="J1128" s="48" t="s">
        <v>909</v>
      </c>
      <c r="K1128" s="26">
        <v>-1100000</v>
      </c>
      <c r="L1128" s="26"/>
      <c r="M1128" s="27">
        <v>0</v>
      </c>
      <c r="N1128" s="28"/>
      <c r="O1128" s="27">
        <v>0</v>
      </c>
      <c r="P1128" s="28">
        <v>0</v>
      </c>
      <c r="Q1128" s="27">
        <v>0</v>
      </c>
      <c r="R1128" s="26">
        <v>-1100000</v>
      </c>
      <c r="S1128" s="115">
        <f ca="1">IF(PROVEEDORES[[#This Row],[FECHA DE PAGO]]=0,TODAY()-PROVEEDORES[[#This Row],[FECHA DE FACTURACIÓN]]-PROVEEDORES[[#This Row],[PLAZO Días]],0)</f>
        <v>0</v>
      </c>
      <c r="T112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29" spans="1:20" ht="21.9" customHeight="1" x14ac:dyDescent="0.3">
      <c r="A1129" s="113" t="str">
        <f>+IF(PROVEEDORES[[#This Row],[FECHA DE PAGO]]=PROVEEDORES[[#This Row],[FECHA DE FACTURACIÓN]],"DE CONTADO","CRÉDITO")</f>
        <v>DE CONTADO</v>
      </c>
      <c r="B1129" s="51" t="b">
        <f>+IF((PROVEEDORES[[#This Row],[FECHA DE PAGO]]-PROVEEDORES[[#This Row],[FECHA DE FACTURACIÓN]])&gt;PROVEEDORES[[#This Row],[PLAZO Días]],"PAGO VENCIDO")</f>
        <v>0</v>
      </c>
      <c r="C1129" s="25">
        <f>+VLOOKUP(PROVEEDORES[[#This Row],[PROVEEDOR]],TERCEROS_INFO[#All],2,FALSE)</f>
        <v>30</v>
      </c>
      <c r="D1129" s="30">
        <f>+SUMIFS(PROVEEDORES[Total],PROVEEDORES[PROVEEDOR],PROVEEDORES[[#This Row],[PROVEEDOR]],PROVEEDORES[FECHA DE PAGO],"")</f>
        <v>0</v>
      </c>
      <c r="E1129" s="30"/>
      <c r="F1129" s="73" t="str">
        <f>+VLOOKUP(PROVEEDORES[[#This Row],[PROVEEDOR]],TERCEROS_INFO[[PROVEEDOR]:[CORREO]],5,FALSE)</f>
        <v/>
      </c>
      <c r="G1129" s="111">
        <v>44557</v>
      </c>
      <c r="H1129" s="31" t="s">
        <v>37</v>
      </c>
      <c r="I1129" s="111">
        <v>44557</v>
      </c>
      <c r="J1129" s="48" t="s">
        <v>915</v>
      </c>
      <c r="K1129" s="26">
        <v>143500</v>
      </c>
      <c r="L1129" s="26"/>
      <c r="M1129" s="27">
        <v>27265</v>
      </c>
      <c r="N1129" s="28"/>
      <c r="O1129" s="27">
        <v>0</v>
      </c>
      <c r="P1129" s="28">
        <v>0</v>
      </c>
      <c r="Q1129" s="27">
        <v>0</v>
      </c>
      <c r="R1129" s="26">
        <v>170765</v>
      </c>
      <c r="S1129" s="115">
        <f ca="1">IF(PROVEEDORES[[#This Row],[FECHA DE PAGO]]=0,TODAY()-PROVEEDORES[[#This Row],[FECHA DE FACTURACIÓN]]-PROVEEDORES[[#This Row],[PLAZO Días]],0)</f>
        <v>0</v>
      </c>
      <c r="T112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0" spans="1:20" ht="21.9" customHeight="1" x14ac:dyDescent="0.3">
      <c r="A1130" s="113" t="str">
        <f>+IF(PROVEEDORES[[#This Row],[FECHA DE PAGO]]=PROVEEDORES[[#This Row],[FECHA DE FACTURACIÓN]],"DE CONTADO","CRÉDITO")</f>
        <v>CRÉDITO</v>
      </c>
      <c r="B1130" s="51" t="b">
        <f>+IF((PROVEEDORES[[#This Row],[FECHA DE PAGO]]-PROVEEDORES[[#This Row],[FECHA DE FACTURACIÓN]])&gt;PROVEEDORES[[#This Row],[PLAZO Días]],"PAGO VENCIDO")</f>
        <v>0</v>
      </c>
      <c r="C1130" s="25">
        <f>+VLOOKUP(PROVEEDORES[[#This Row],[PROVEEDOR]],TERCEROS_INFO[#All],2,FALSE)</f>
        <v>30</v>
      </c>
      <c r="D1130" s="30">
        <f>+SUMIFS(PROVEEDORES[Total],PROVEEDORES[PROVEEDOR],PROVEEDORES[[#This Row],[PROVEEDOR]],PROVEEDORES[FECHA DE PAGO],"")</f>
        <v>248736.18000000002</v>
      </c>
      <c r="E1130" s="30"/>
      <c r="F1130" s="73" t="str">
        <f>+VLOOKUP(PROVEEDORES[[#This Row],[PROVEEDOR]],TERCEROS_INFO[[PROVEEDOR]:[CORREO]],5,FALSE)</f>
        <v>administracion@sapian.com.co;girlesa.ruiz@servipilas.com;joriescobar64@gmail.com</v>
      </c>
      <c r="G1130" s="111">
        <v>44554</v>
      </c>
      <c r="H1130" s="31" t="s">
        <v>346</v>
      </c>
      <c r="I1130" s="111">
        <v>44557</v>
      </c>
      <c r="J1130" s="48" t="s">
        <v>641</v>
      </c>
      <c r="K1130" s="26">
        <v>203897</v>
      </c>
      <c r="L1130" s="26"/>
      <c r="M1130" s="27">
        <v>38740.43</v>
      </c>
      <c r="N1130" s="28"/>
      <c r="O1130" s="27">
        <v>0</v>
      </c>
      <c r="P1130" s="28">
        <v>3.5000000000000003E-2</v>
      </c>
      <c r="Q1130" s="27">
        <v>7136.3950000000004</v>
      </c>
      <c r="R1130" s="26">
        <v>235501.035</v>
      </c>
      <c r="S1130" s="115">
        <f ca="1">IF(PROVEEDORES[[#This Row],[FECHA DE PAGO]]=0,TODAY()-PROVEEDORES[[#This Row],[FECHA DE FACTURACIÓN]]-PROVEEDORES[[#This Row],[PLAZO Días]],0)</f>
        <v>0</v>
      </c>
      <c r="T113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1" spans="1:20" ht="21.9" customHeight="1" x14ac:dyDescent="0.3">
      <c r="A1131" s="113" t="str">
        <f>+IF(PROVEEDORES[[#This Row],[FECHA DE PAGO]]=PROVEEDORES[[#This Row],[FECHA DE FACTURACIÓN]],"DE CONTADO","CRÉDITO")</f>
        <v>CRÉDITO</v>
      </c>
      <c r="B1131" s="51" t="str">
        <f>+IF((PROVEEDORES[[#This Row],[FECHA DE PAGO]]-PROVEEDORES[[#This Row],[FECHA DE FACTURACIÓN]])&gt;PROVEEDORES[[#This Row],[PLAZO Días]],"PAGO VENCIDO")</f>
        <v>PAGO VENCIDO</v>
      </c>
      <c r="C1131" s="25">
        <f>+VLOOKUP(PROVEEDORES[[#This Row],[PROVEEDOR]],TERCEROS_INFO[#All],2,FALSE)</f>
        <v>60</v>
      </c>
      <c r="D1131" s="30">
        <f>+SUMIFS(PROVEEDORES[Total],PROVEEDORES[PROVEEDOR],PROVEEDORES[[#This Row],[PROVEEDOR]],PROVEEDORES[FECHA DE PAGO],"")</f>
        <v>602800</v>
      </c>
      <c r="E1131" s="30"/>
      <c r="F1131" s="73" t="str">
        <f>+VLOOKUP(PROVEEDORES[[#This Row],[PROVEEDOR]],TERCEROS_INFO[[PROVEEDOR]:[CORREO]],5,FALSE)</f>
        <v>jessica.barios.com@carpainternacional;girlesa.ruiz@servipilas.com;joriescobar64@gmail.com</v>
      </c>
      <c r="G1131" s="111">
        <v>44623</v>
      </c>
      <c r="H1131" s="31" t="s">
        <v>607</v>
      </c>
      <c r="I1131" s="111">
        <v>44557</v>
      </c>
      <c r="J1131" s="48">
        <v>1293</v>
      </c>
      <c r="K1131" s="26">
        <v>235200</v>
      </c>
      <c r="L1131" s="26"/>
      <c r="M1131" s="27">
        <v>0</v>
      </c>
      <c r="N1131" s="28"/>
      <c r="O1131" s="27">
        <v>0</v>
      </c>
      <c r="P1131" s="28">
        <v>0</v>
      </c>
      <c r="Q1131" s="27">
        <v>0</v>
      </c>
      <c r="R1131" s="26">
        <v>235200</v>
      </c>
      <c r="S1131" s="115">
        <f ca="1">IF(PROVEEDORES[[#This Row],[FECHA DE PAGO]]=0,TODAY()-PROVEEDORES[[#This Row],[FECHA DE FACTURACIÓN]]-PROVEEDORES[[#This Row],[PLAZO Días]],0)</f>
        <v>0</v>
      </c>
      <c r="T11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2" spans="1:20" ht="21.9" customHeight="1" x14ac:dyDescent="0.3">
      <c r="A1132" s="113" t="str">
        <f>+IF(PROVEEDORES[[#This Row],[FECHA DE PAGO]]=PROVEEDORES[[#This Row],[FECHA DE FACTURACIÓN]],"DE CONTADO","CRÉDITO")</f>
        <v>CRÉDITO</v>
      </c>
      <c r="B1132" s="51" t="str">
        <f>+IF((PROVEEDORES[[#This Row],[FECHA DE PAGO]]-PROVEEDORES[[#This Row],[FECHA DE FACTURACIÓN]])&gt;PROVEEDORES[[#This Row],[PLAZO Días]],"PAGO VENCIDO")</f>
        <v>PAGO VENCIDO</v>
      </c>
      <c r="C1132" s="25">
        <f>+VLOOKUP(PROVEEDORES[[#This Row],[PROVEEDOR]],TERCEROS_INFO[#All],2,FALSE)</f>
        <v>60</v>
      </c>
      <c r="D1132" s="30">
        <f>+SUMIFS(PROVEEDORES[Total],PROVEEDORES[PROVEEDOR],PROVEEDORES[[#This Row],[PROVEEDOR]],PROVEEDORES[FECHA DE PAGO],"")</f>
        <v>602800</v>
      </c>
      <c r="E1132" s="30"/>
      <c r="F1132" s="73" t="str">
        <f>+VLOOKUP(PROVEEDORES[[#This Row],[PROVEEDOR]],TERCEROS_INFO[[PROVEEDOR]:[CORREO]],5,FALSE)</f>
        <v>jessica.barios.com@carpainternacional;girlesa.ruiz@servipilas.com;joriescobar64@gmail.com</v>
      </c>
      <c r="G1132" s="111">
        <v>44623</v>
      </c>
      <c r="H1132" s="31" t="s">
        <v>607</v>
      </c>
      <c r="I1132" s="111">
        <v>44557</v>
      </c>
      <c r="J1132" s="48">
        <v>1294</v>
      </c>
      <c r="K1132" s="26">
        <v>252000</v>
      </c>
      <c r="L1132" s="26"/>
      <c r="M1132" s="27">
        <v>0</v>
      </c>
      <c r="N1132" s="28"/>
      <c r="O1132" s="27">
        <v>0</v>
      </c>
      <c r="P1132" s="28">
        <v>0</v>
      </c>
      <c r="Q1132" s="27">
        <v>0</v>
      </c>
      <c r="R1132" s="26">
        <v>252000</v>
      </c>
      <c r="S1132" s="115">
        <f ca="1">IF(PROVEEDORES[[#This Row],[FECHA DE PAGO]]=0,TODAY()-PROVEEDORES[[#This Row],[FECHA DE FACTURACIÓN]]-PROVEEDORES[[#This Row],[PLAZO Días]],0)</f>
        <v>0</v>
      </c>
      <c r="T11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3" spans="1:20" ht="21.9" customHeight="1" x14ac:dyDescent="0.3">
      <c r="A1133" s="113" t="str">
        <f>+IF(PROVEEDORES[[#This Row],[FECHA DE PAGO]]=PROVEEDORES[[#This Row],[FECHA DE FACTURACIÓN]],"DE CONTADO","CRÉDITO")</f>
        <v>CRÉDITO</v>
      </c>
      <c r="B1133" s="51" t="str">
        <f>+IF((PROVEEDORES[[#This Row],[FECHA DE PAGO]]-PROVEEDORES[[#This Row],[FECHA DE FACTURACIÓN]])&gt;PROVEEDORES[[#This Row],[PLAZO Días]],"PAGO VENCIDO")</f>
        <v>PAGO VENCIDO</v>
      </c>
      <c r="C1133" s="25">
        <f>+VLOOKUP(PROVEEDORES[[#This Row],[PROVEEDOR]],TERCEROS_INFO[#All],2,FALSE)</f>
        <v>45</v>
      </c>
      <c r="D1133" s="30">
        <f>+SUMIFS(PROVEEDORES[Total],PROVEEDORES[PROVEEDOR],PROVEEDORES[[#This Row],[PROVEEDOR]],PROVEEDORES[FECHA DE PAGO],"")</f>
        <v>0</v>
      </c>
      <c r="E1133" s="30"/>
      <c r="F1133" s="73" t="str">
        <f>+VLOOKUP(PROVEEDORES[[#This Row],[PROVEEDOR]],TERCEROS_INFO[[PROVEEDOR]:[CORREO]],5,FALSE)</f>
        <v>jessica.barrios@carpainternacional;girlesa.ruiz@servipilas.com;joriescobar64@gmail.com</v>
      </c>
      <c r="G1133" s="111">
        <v>44623</v>
      </c>
      <c r="H1133" s="31" t="s">
        <v>947</v>
      </c>
      <c r="I1133" s="111">
        <v>44557</v>
      </c>
      <c r="J1133" s="48" t="s">
        <v>948</v>
      </c>
      <c r="K1133" s="26">
        <v>2919000</v>
      </c>
      <c r="L1133" s="26"/>
      <c r="M1133" s="27">
        <v>0</v>
      </c>
      <c r="N1133" s="28"/>
      <c r="O1133" s="27">
        <v>0</v>
      </c>
      <c r="P1133" s="28">
        <v>0</v>
      </c>
      <c r="Q1133" s="27">
        <v>0</v>
      </c>
      <c r="R1133" s="26">
        <v>2919000</v>
      </c>
      <c r="S1133" s="115">
        <f ca="1">IF(PROVEEDORES[[#This Row],[FECHA DE PAGO]]=0,TODAY()-PROVEEDORES[[#This Row],[FECHA DE FACTURACIÓN]]-PROVEEDORES[[#This Row],[PLAZO Días]],0)</f>
        <v>0</v>
      </c>
      <c r="T11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4" spans="1:20" ht="21.9" customHeight="1" x14ac:dyDescent="0.3">
      <c r="A1134" s="113" t="str">
        <f>+IF(PROVEEDORES[[#This Row],[FECHA DE PAGO]]=PROVEEDORES[[#This Row],[FECHA DE FACTURACIÓN]],"DE CONTADO","CRÉDITO")</f>
        <v>DE CONTADO</v>
      </c>
      <c r="B1134" s="51" t="b">
        <f>+IF((PROVEEDORES[[#This Row],[FECHA DE PAGO]]-PROVEEDORES[[#This Row],[FECHA DE FACTURACIÓN]])&gt;PROVEEDORES[[#This Row],[PLAZO Días]],"PAGO VENCIDO")</f>
        <v>0</v>
      </c>
      <c r="C1134" s="25">
        <f>+VLOOKUP(PROVEEDORES[[#This Row],[PROVEEDOR]],TERCEROS_INFO[#All],2,FALSE)</f>
        <v>30</v>
      </c>
      <c r="D1134" s="30">
        <f>+SUMIFS(PROVEEDORES[Total],PROVEEDORES[PROVEEDOR],PROVEEDORES[[#This Row],[PROVEEDOR]],PROVEEDORES[FECHA DE PAGO],"")</f>
        <v>3320000</v>
      </c>
      <c r="E1134" s="30"/>
      <c r="F1134" s="73" t="str">
        <f>+VLOOKUP(PROVEEDORES[[#This Row],[PROVEEDOR]],TERCEROS_INFO[[PROVEEDOR]:[CORREO]],5,FALSE)</f>
        <v>Pygimportadora@gmail.com;girlesa.ruiz@servipilas.com;joriescobar64@gmail.com</v>
      </c>
      <c r="G1134" s="111">
        <v>44560</v>
      </c>
      <c r="H1134" s="31" t="s">
        <v>1068</v>
      </c>
      <c r="I1134" s="111">
        <v>44560</v>
      </c>
      <c r="J1134" s="48" t="s">
        <v>909</v>
      </c>
      <c r="K1134" s="26">
        <v>-1924000</v>
      </c>
      <c r="L1134" s="26"/>
      <c r="M1134" s="27">
        <v>0</v>
      </c>
      <c r="N1134" s="28"/>
      <c r="O1134" s="27">
        <v>0</v>
      </c>
      <c r="P1134" s="28">
        <v>0</v>
      </c>
      <c r="Q1134" s="27">
        <v>0</v>
      </c>
      <c r="R1134" s="26">
        <v>-1924000</v>
      </c>
      <c r="S1134" s="115">
        <f ca="1">IF(PROVEEDORES[[#This Row],[FECHA DE PAGO]]=0,TODAY()-PROVEEDORES[[#This Row],[FECHA DE FACTURACIÓN]]-PROVEEDORES[[#This Row],[PLAZO Días]],0)</f>
        <v>0</v>
      </c>
      <c r="T11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5" spans="1:20" ht="21.9" customHeight="1" x14ac:dyDescent="0.3">
      <c r="A1135" s="113" t="str">
        <f>+IF(PROVEEDORES[[#This Row],[FECHA DE PAGO]]=PROVEEDORES[[#This Row],[FECHA DE FACTURACIÓN]],"DE CONTADO","CRÉDITO")</f>
        <v>CRÉDITO</v>
      </c>
      <c r="B1135" s="51" t="b">
        <f>+IF((PROVEEDORES[[#This Row],[FECHA DE PAGO]]-PROVEEDORES[[#This Row],[FECHA DE FACTURACIÓN]])&gt;PROVEEDORES[[#This Row],[PLAZO Días]],"PAGO VENCIDO")</f>
        <v>0</v>
      </c>
      <c r="C1135" s="25">
        <f>+VLOOKUP(PROVEEDORES[[#This Row],[PROVEEDOR]],TERCEROS_INFO[#All],2,FALSE)</f>
        <v>90</v>
      </c>
      <c r="D1135" s="30">
        <f>+SUMIFS(PROVEEDORES[Total],PROVEEDORES[PROVEEDOR],PROVEEDORES[[#This Row],[PROVEEDOR]],PROVEEDORES[FECHA DE PAGO],"")</f>
        <v>0</v>
      </c>
      <c r="E1135" s="30"/>
      <c r="F1135" s="73" t="str">
        <f>+VLOOKUP(PROVEEDORES[[#This Row],[PROVEEDOR]],TERCEROS_INFO[[PROVEEDOR]:[CORREO]],5,FALSE)</f>
        <v/>
      </c>
      <c r="G1135" s="111">
        <v>44567</v>
      </c>
      <c r="H1135" s="31" t="s">
        <v>1033</v>
      </c>
      <c r="I1135" s="111">
        <v>44561</v>
      </c>
      <c r="J1135" s="48"/>
      <c r="K1135" s="26">
        <v>-15184000</v>
      </c>
      <c r="L1135" s="26"/>
      <c r="M1135" s="27">
        <v>0</v>
      </c>
      <c r="N1135" s="28"/>
      <c r="O1135" s="27">
        <v>0</v>
      </c>
      <c r="P1135" s="28">
        <v>0</v>
      </c>
      <c r="Q1135" s="27">
        <v>0</v>
      </c>
      <c r="R1135" s="26">
        <v>-15184000</v>
      </c>
      <c r="S1135" s="115">
        <f ca="1">IF(PROVEEDORES[[#This Row],[FECHA DE PAGO]]=0,TODAY()-PROVEEDORES[[#This Row],[FECHA DE FACTURACIÓN]]-PROVEEDORES[[#This Row],[PLAZO Días]],0)</f>
        <v>0</v>
      </c>
      <c r="T11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6" spans="1:20" ht="21.9" customHeight="1" x14ac:dyDescent="0.3">
      <c r="A1136" s="113" t="str">
        <f>+IF(PROVEEDORES[[#This Row],[FECHA DE PAGO]]=PROVEEDORES[[#This Row],[FECHA DE FACTURACIÓN]],"DE CONTADO","CRÉDITO")</f>
        <v>DE CONTADO</v>
      </c>
      <c r="B1136" s="51" t="b">
        <f>+IF((PROVEEDORES[[#This Row],[FECHA DE PAGO]]-PROVEEDORES[[#This Row],[FECHA DE FACTURACIÓN]])&gt;PROVEEDORES[[#This Row],[PLAZO Días]],"PAGO VENCIDO")</f>
        <v>0</v>
      </c>
      <c r="C1136" s="25">
        <f>+VLOOKUP(PROVEEDORES[[#This Row],[PROVEEDOR]],TERCEROS_INFO[#All],2,FALSE)</f>
        <v>30</v>
      </c>
      <c r="D1136" s="30">
        <f>+SUMIFS(PROVEEDORES[Total],PROVEEDORES[PROVEEDOR],PROVEEDORES[[#This Row],[PROVEEDOR]],PROVEEDORES[FECHA DE PAGO],"")</f>
        <v>0</v>
      </c>
      <c r="E1136" s="30"/>
      <c r="F1136" s="73" t="str">
        <f>+VLOOKUP(PROVEEDORES[[#This Row],[PROVEEDOR]],TERCEROS_INFO[[PROVEEDOR]:[CORREO]],5,FALSE)</f>
        <v/>
      </c>
      <c r="G1136" s="111">
        <v>44561</v>
      </c>
      <c r="H1136" s="31" t="s">
        <v>1016</v>
      </c>
      <c r="I1136" s="111">
        <v>44561</v>
      </c>
      <c r="J1136" s="48" t="s">
        <v>944</v>
      </c>
      <c r="K1136" s="26">
        <v>30000</v>
      </c>
      <c r="L1136" s="26"/>
      <c r="M1136" s="27">
        <v>0</v>
      </c>
      <c r="N1136" s="28"/>
      <c r="O1136" s="27">
        <v>0</v>
      </c>
      <c r="P1136" s="28">
        <v>0</v>
      </c>
      <c r="Q1136" s="27">
        <v>0</v>
      </c>
      <c r="R1136" s="26">
        <v>30000</v>
      </c>
      <c r="S1136" s="115">
        <f ca="1">IF(PROVEEDORES[[#This Row],[FECHA DE PAGO]]=0,TODAY()-PROVEEDORES[[#This Row],[FECHA DE FACTURACIÓN]]-PROVEEDORES[[#This Row],[PLAZO Días]],0)</f>
        <v>0</v>
      </c>
      <c r="T11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7" spans="1:20" ht="21.9" customHeight="1" x14ac:dyDescent="0.3">
      <c r="A1137" s="113" t="str">
        <f>+IF(PROVEEDORES[[#This Row],[FECHA DE PAGO]]=PROVEEDORES[[#This Row],[FECHA DE FACTURACIÓN]],"DE CONTADO","CRÉDITO")</f>
        <v>DE CONTADO</v>
      </c>
      <c r="B1137" s="51" t="b">
        <f>+IF((PROVEEDORES[[#This Row],[FECHA DE PAGO]]-PROVEEDORES[[#This Row],[FECHA DE FACTURACIÓN]])&gt;PROVEEDORES[[#This Row],[PLAZO Días]],"PAGO VENCIDO")</f>
        <v>0</v>
      </c>
      <c r="C1137" s="25">
        <f>+VLOOKUP(PROVEEDORES[[#This Row],[PROVEEDOR]],TERCEROS_INFO[#All],2,FALSE)</f>
        <v>30</v>
      </c>
      <c r="D1137" s="30">
        <f>+SUMIFS(PROVEEDORES[Total],PROVEEDORES[PROVEEDOR],PROVEEDORES[[#This Row],[PROVEEDOR]],PROVEEDORES[FECHA DE PAGO],"")</f>
        <v>0</v>
      </c>
      <c r="E1137" s="30"/>
      <c r="F1137" s="73" t="str">
        <f>+VLOOKUP(PROVEEDORES[[#This Row],[PROVEEDOR]],TERCEROS_INFO[[PROVEEDOR]:[CORREO]],5,FALSE)</f>
        <v/>
      </c>
      <c r="G1137" s="111">
        <v>44561</v>
      </c>
      <c r="H1137" s="31" t="s">
        <v>1016</v>
      </c>
      <c r="I1137" s="111">
        <v>44561</v>
      </c>
      <c r="J1137" s="48" t="s">
        <v>887</v>
      </c>
      <c r="K1137" s="26">
        <v>300800</v>
      </c>
      <c r="L1137" s="26"/>
      <c r="M1137" s="27">
        <v>0</v>
      </c>
      <c r="N1137" s="28"/>
      <c r="O1137" s="27">
        <v>0</v>
      </c>
      <c r="P1137" s="28">
        <v>0</v>
      </c>
      <c r="Q1137" s="27">
        <v>0</v>
      </c>
      <c r="R1137" s="26">
        <v>300800</v>
      </c>
      <c r="S1137" s="115">
        <f ca="1">IF(PROVEEDORES[[#This Row],[FECHA DE PAGO]]=0,TODAY()-PROVEEDORES[[#This Row],[FECHA DE FACTURACIÓN]]-PROVEEDORES[[#This Row],[PLAZO Días]],0)</f>
        <v>0</v>
      </c>
      <c r="T11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8" spans="1:20" ht="21.9" customHeight="1" x14ac:dyDescent="0.3">
      <c r="A1138" s="113" t="str">
        <f>+IF(PROVEEDORES[[#This Row],[FECHA DE PAGO]]=PROVEEDORES[[#This Row],[FECHA DE FACTURACIÓN]],"DE CONTADO","CRÉDITO")</f>
        <v>DE CONTADO</v>
      </c>
      <c r="B1138" s="51" t="b">
        <f>+IF((PROVEEDORES[[#This Row],[FECHA DE PAGO]]-PROVEEDORES[[#This Row],[FECHA DE FACTURACIÓN]])&gt;PROVEEDORES[[#This Row],[PLAZO Días]],"PAGO VENCIDO")</f>
        <v>0</v>
      </c>
      <c r="C1138" s="25">
        <f>+VLOOKUP(PROVEEDORES[[#This Row],[PROVEEDOR]],TERCEROS_INFO[#All],2,FALSE)</f>
        <v>30</v>
      </c>
      <c r="D1138" s="30">
        <f>+SUMIFS(PROVEEDORES[Total],PROVEEDORES[PROVEEDOR],PROVEEDORES[[#This Row],[PROVEEDOR]],PROVEEDORES[FECHA DE PAGO],"")</f>
        <v>0</v>
      </c>
      <c r="E1138" s="30"/>
      <c r="F1138" s="73" t="str">
        <f>+VLOOKUP(PROVEEDORES[[#This Row],[PROVEEDOR]],TERCEROS_INFO[[PROVEEDOR]:[CORREO]],5,FALSE)</f>
        <v/>
      </c>
      <c r="G1138" s="111">
        <v>44561</v>
      </c>
      <c r="H1138" s="31" t="s">
        <v>1016</v>
      </c>
      <c r="I1138" s="111">
        <v>44561</v>
      </c>
      <c r="J1138" s="48" t="s">
        <v>946</v>
      </c>
      <c r="K1138" s="26">
        <v>702500</v>
      </c>
      <c r="L1138" s="26"/>
      <c r="M1138" s="27">
        <v>0</v>
      </c>
      <c r="N1138" s="28"/>
      <c r="O1138" s="27">
        <v>0</v>
      </c>
      <c r="P1138" s="28">
        <v>0</v>
      </c>
      <c r="Q1138" s="27">
        <v>0</v>
      </c>
      <c r="R1138" s="26">
        <v>702500</v>
      </c>
      <c r="S1138" s="115">
        <f ca="1">IF(PROVEEDORES[[#This Row],[FECHA DE PAGO]]=0,TODAY()-PROVEEDORES[[#This Row],[FECHA DE FACTURACIÓN]]-PROVEEDORES[[#This Row],[PLAZO Días]],0)</f>
        <v>0</v>
      </c>
      <c r="T113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39" spans="1:20" ht="21.9" customHeight="1" x14ac:dyDescent="0.3">
      <c r="A1139" s="113" t="str">
        <f>+IF(PROVEEDORES[[#This Row],[FECHA DE PAGO]]=PROVEEDORES[[#This Row],[FECHA DE FACTURACIÓN]],"DE CONTADO","CRÉDITO")</f>
        <v>DE CONTADO</v>
      </c>
      <c r="B1139" s="51" t="b">
        <f>+IF((PROVEEDORES[[#This Row],[FECHA DE PAGO]]-PROVEEDORES[[#This Row],[FECHA DE FACTURACIÓN]])&gt;PROVEEDORES[[#This Row],[PLAZO Días]],"PAGO VENCIDO")</f>
        <v>0</v>
      </c>
      <c r="C1139" s="25">
        <f>+VLOOKUP(PROVEEDORES[[#This Row],[PROVEEDOR]],TERCEROS_INFO[#All],2,FALSE)</f>
        <v>30</v>
      </c>
      <c r="D1139" s="30">
        <f>+SUMIFS(PROVEEDORES[Total],PROVEEDORES[PROVEEDOR],PROVEEDORES[[#This Row],[PROVEEDOR]],PROVEEDORES[FECHA DE PAGO],"")</f>
        <v>0</v>
      </c>
      <c r="E1139" s="30"/>
      <c r="F1139" s="73" t="str">
        <f>+VLOOKUP(PROVEEDORES[[#This Row],[PROVEEDOR]],TERCEROS_INFO[[PROVEEDOR]:[CORREO]],5,FALSE)</f>
        <v/>
      </c>
      <c r="G1139" s="111">
        <v>44561</v>
      </c>
      <c r="H1139" s="31" t="s">
        <v>1016</v>
      </c>
      <c r="I1139" s="111">
        <v>44561</v>
      </c>
      <c r="J1139" s="48" t="s">
        <v>182</v>
      </c>
      <c r="K1139" s="26">
        <v>784600</v>
      </c>
      <c r="L1139" s="26"/>
      <c r="M1139" s="27">
        <v>0</v>
      </c>
      <c r="N1139" s="28"/>
      <c r="O1139" s="27">
        <v>0</v>
      </c>
      <c r="P1139" s="28">
        <v>0</v>
      </c>
      <c r="Q1139" s="27">
        <v>0</v>
      </c>
      <c r="R1139" s="26">
        <v>784600</v>
      </c>
      <c r="S1139" s="115">
        <f ca="1">IF(PROVEEDORES[[#This Row],[FECHA DE PAGO]]=0,TODAY()-PROVEEDORES[[#This Row],[FECHA DE FACTURACIÓN]]-PROVEEDORES[[#This Row],[PLAZO Días]],0)</f>
        <v>0</v>
      </c>
      <c r="T11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0" spans="1:20" ht="21.9" customHeight="1" x14ac:dyDescent="0.3">
      <c r="A1140" s="113" t="str">
        <f>+IF(PROVEEDORES[[#This Row],[FECHA DE PAGO]]=PROVEEDORES[[#This Row],[FECHA DE FACTURACIÓN]],"DE CONTADO","CRÉDITO")</f>
        <v>DE CONTADO</v>
      </c>
      <c r="B1140" s="51" t="b">
        <f>+IF((PROVEEDORES[[#This Row],[FECHA DE PAGO]]-PROVEEDORES[[#This Row],[FECHA DE FACTURACIÓN]])&gt;PROVEEDORES[[#This Row],[PLAZO Días]],"PAGO VENCIDO")</f>
        <v>0</v>
      </c>
      <c r="C1140" s="25">
        <f>+VLOOKUP(PROVEEDORES[[#This Row],[PROVEEDOR]],TERCEROS_INFO[#All],2,FALSE)</f>
        <v>30</v>
      </c>
      <c r="D1140" s="30">
        <f>+SUMIFS(PROVEEDORES[Total],PROVEEDORES[PROVEEDOR],PROVEEDORES[[#This Row],[PROVEEDOR]],PROVEEDORES[FECHA DE PAGO],"")</f>
        <v>0</v>
      </c>
      <c r="E1140" s="30"/>
      <c r="F1140" s="73" t="str">
        <f>+VLOOKUP(PROVEEDORES[[#This Row],[PROVEEDOR]],TERCEROS_INFO[[PROVEEDOR]:[CORREO]],5,FALSE)</f>
        <v/>
      </c>
      <c r="G1140" s="111">
        <v>44561</v>
      </c>
      <c r="H1140" s="31" t="s">
        <v>1016</v>
      </c>
      <c r="I1140" s="111">
        <v>44561</v>
      </c>
      <c r="J1140" s="48" t="s">
        <v>945</v>
      </c>
      <c r="K1140" s="26">
        <v>922000</v>
      </c>
      <c r="L1140" s="26"/>
      <c r="M1140" s="27">
        <v>0</v>
      </c>
      <c r="N1140" s="28"/>
      <c r="O1140" s="27">
        <v>0</v>
      </c>
      <c r="P1140" s="28">
        <v>0</v>
      </c>
      <c r="Q1140" s="27">
        <v>0</v>
      </c>
      <c r="R1140" s="26">
        <v>922000</v>
      </c>
      <c r="S1140" s="115">
        <f ca="1">IF(PROVEEDORES[[#This Row],[FECHA DE PAGO]]=0,TODAY()-PROVEEDORES[[#This Row],[FECHA DE FACTURACIÓN]]-PROVEEDORES[[#This Row],[PLAZO Días]],0)</f>
        <v>0</v>
      </c>
      <c r="T11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1" spans="1:20" ht="21.9" customHeight="1" x14ac:dyDescent="0.3">
      <c r="A1141" s="113" t="str">
        <f>+IF(PROVEEDORES[[#This Row],[FECHA DE PAGO]]=PROVEEDORES[[#This Row],[FECHA DE FACTURACIÓN]],"DE CONTADO","CRÉDITO")</f>
        <v>DE CONTADO</v>
      </c>
      <c r="B1141" s="51" t="b">
        <f>+IF((PROVEEDORES[[#This Row],[FECHA DE PAGO]]-PROVEEDORES[[#This Row],[FECHA DE FACTURACIÓN]])&gt;PROVEEDORES[[#This Row],[PLAZO Días]],"PAGO VENCIDO")</f>
        <v>0</v>
      </c>
      <c r="C1141" s="25">
        <f>+VLOOKUP(PROVEEDORES[[#This Row],[PROVEEDOR]],TERCEROS_INFO[#All],2,FALSE)</f>
        <v>30</v>
      </c>
      <c r="D1141" s="30">
        <f>+SUMIFS(PROVEEDORES[Total],PROVEEDORES[PROVEEDOR],PROVEEDORES[[#This Row],[PROVEEDOR]],PROVEEDORES[FECHA DE PAGO],"")</f>
        <v>0</v>
      </c>
      <c r="E1141" s="30"/>
      <c r="F1141" s="73" t="str">
        <f>+VLOOKUP(PROVEEDORES[[#This Row],[PROVEEDOR]],TERCEROS_INFO[[PROVEEDOR]:[CORREO]],5,FALSE)</f>
        <v/>
      </c>
      <c r="G1141" s="111">
        <v>44561</v>
      </c>
      <c r="H1141" s="31" t="s">
        <v>1016</v>
      </c>
      <c r="I1141" s="111">
        <v>44561</v>
      </c>
      <c r="J1141" s="48" t="s">
        <v>943</v>
      </c>
      <c r="K1141" s="26">
        <v>4909000</v>
      </c>
      <c r="L1141" s="26"/>
      <c r="M1141" s="27">
        <v>0</v>
      </c>
      <c r="N1141" s="28"/>
      <c r="O1141" s="27">
        <v>0</v>
      </c>
      <c r="P1141" s="28">
        <v>0</v>
      </c>
      <c r="Q1141" s="27">
        <v>0</v>
      </c>
      <c r="R1141" s="26">
        <v>4909000</v>
      </c>
      <c r="S1141" s="115">
        <f ca="1">IF(PROVEEDORES[[#This Row],[FECHA DE PAGO]]=0,TODAY()-PROVEEDORES[[#This Row],[FECHA DE FACTURACIÓN]]-PROVEEDORES[[#This Row],[PLAZO Días]],0)</f>
        <v>0</v>
      </c>
      <c r="T11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2" spans="1:20" ht="21.9" customHeight="1" x14ac:dyDescent="0.3">
      <c r="A1142" s="113" t="str">
        <f>+IF(PROVEEDORES[[#This Row],[FECHA DE PAGO]]=PROVEEDORES[[#This Row],[FECHA DE FACTURACIÓN]],"DE CONTADO","CRÉDITO")</f>
        <v>CRÉDITO</v>
      </c>
      <c r="B1142" s="51" t="b">
        <f>+IF((PROVEEDORES[[#This Row],[FECHA DE PAGO]]-PROVEEDORES[[#This Row],[FECHA DE FACTURACIÓN]])&gt;PROVEEDORES[[#This Row],[PLAZO Días]],"PAGO VENCIDO")</f>
        <v>0</v>
      </c>
      <c r="C1142" s="25">
        <f>+VLOOKUP(PROVEEDORES[[#This Row],[PROVEEDOR]],TERCEROS_INFO[#All],2,FALSE)</f>
        <v>30</v>
      </c>
      <c r="D1142" s="30">
        <f>+SUMIFS(PROVEEDORES[Total],PROVEEDORES[PROVEEDOR],PROVEEDORES[[#This Row],[PROVEEDOR]],PROVEEDORES[FECHA DE PAGO],"")</f>
        <v>0</v>
      </c>
      <c r="E1142" s="30"/>
      <c r="F1142" s="73" t="str">
        <f>+VLOOKUP(PROVEEDORES[[#This Row],[PROVEEDOR]],TERCEROS_INFO[[PROVEEDOR]:[CORREO]],5,FALSE)</f>
        <v>girlesa.ruiz@servipilas.com;joriescobar64@gmail.com</v>
      </c>
      <c r="G1142" s="111">
        <v>44588</v>
      </c>
      <c r="H1142" s="31" t="s">
        <v>339</v>
      </c>
      <c r="I1142" s="111">
        <v>44562</v>
      </c>
      <c r="J1142" s="48" t="s">
        <v>980</v>
      </c>
      <c r="K1142" s="26">
        <v>20664</v>
      </c>
      <c r="L1142" s="26"/>
      <c r="M1142" s="27">
        <v>0</v>
      </c>
      <c r="N1142" s="28"/>
      <c r="O1142" s="27">
        <v>0</v>
      </c>
      <c r="P1142" s="28">
        <v>0</v>
      </c>
      <c r="Q1142" s="27">
        <v>0</v>
      </c>
      <c r="R1142" s="26">
        <v>20664</v>
      </c>
      <c r="S1142" s="115">
        <f ca="1">IF(PROVEEDORES[[#This Row],[FECHA DE PAGO]]=0,TODAY()-PROVEEDORES[[#This Row],[FECHA DE FACTURACIÓN]]-PROVEEDORES[[#This Row],[PLAZO Días]],0)</f>
        <v>0</v>
      </c>
      <c r="T11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3" spans="1:20" ht="21.9" customHeight="1" x14ac:dyDescent="0.3">
      <c r="A1143" s="113" t="str">
        <f>+IF(PROVEEDORES[[#This Row],[FECHA DE PAGO]]=PROVEEDORES[[#This Row],[FECHA DE FACTURACIÓN]],"DE CONTADO","CRÉDITO")</f>
        <v>CRÉDITO</v>
      </c>
      <c r="B1143" s="51" t="b">
        <f>+IF((PROVEEDORES[[#This Row],[FECHA DE PAGO]]-PROVEEDORES[[#This Row],[FECHA DE FACTURACIÓN]])&gt;PROVEEDORES[[#This Row],[PLAZO Días]],"PAGO VENCIDO")</f>
        <v>0</v>
      </c>
      <c r="C1143" s="25">
        <f>+VLOOKUP(PROVEEDORES[[#This Row],[PROVEEDOR]],TERCEROS_INFO[#All],2,FALSE)</f>
        <v>30</v>
      </c>
      <c r="D1143" s="30">
        <f>+SUMIFS(PROVEEDORES[Total],PROVEEDORES[PROVEEDOR],PROVEEDORES[[#This Row],[PROVEEDOR]],PROVEEDORES[FECHA DE PAGO],"")</f>
        <v>248736.18000000002</v>
      </c>
      <c r="E1143" s="30"/>
      <c r="F1143" s="73" t="str">
        <f>+VLOOKUP(PROVEEDORES[[#This Row],[PROVEEDOR]],TERCEROS_INFO[[PROVEEDOR]:[CORREO]],5,FALSE)</f>
        <v>administracion@sapian.com.co;girlesa.ruiz@servipilas.com;joriescobar64@gmail.com</v>
      </c>
      <c r="G1143" s="111">
        <v>44588</v>
      </c>
      <c r="H1143" s="31" t="s">
        <v>346</v>
      </c>
      <c r="I1143" s="111">
        <v>44562</v>
      </c>
      <c r="J1143" s="48" t="s">
        <v>920</v>
      </c>
      <c r="K1143" s="26">
        <v>214622</v>
      </c>
      <c r="L1143" s="26"/>
      <c r="M1143" s="27">
        <v>40778.18</v>
      </c>
      <c r="N1143" s="28"/>
      <c r="O1143" s="27">
        <v>0</v>
      </c>
      <c r="P1143" s="28">
        <v>3.5000000000000003E-2</v>
      </c>
      <c r="Q1143" s="27">
        <v>7511.77</v>
      </c>
      <c r="R1143" s="26">
        <v>247888.41</v>
      </c>
      <c r="S1143" s="115">
        <f ca="1">IF(PROVEEDORES[[#This Row],[FECHA DE PAGO]]=0,TODAY()-PROVEEDORES[[#This Row],[FECHA DE FACTURACIÓN]]-PROVEEDORES[[#This Row],[PLAZO Días]],0)</f>
        <v>0</v>
      </c>
      <c r="T11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4" spans="1:20" ht="21.9" customHeight="1" x14ac:dyDescent="0.3">
      <c r="A1144" s="113" t="str">
        <f>+IF(PROVEEDORES[[#This Row],[FECHA DE PAGO]]=PROVEEDORES[[#This Row],[FECHA DE FACTURACIÓN]],"DE CONTADO","CRÉDITO")</f>
        <v>CRÉDITO</v>
      </c>
      <c r="B1144" s="51" t="str">
        <f>+IF((PROVEEDORES[[#This Row],[FECHA DE PAGO]]-PROVEEDORES[[#This Row],[FECHA DE FACTURACIÓN]])&gt;PROVEEDORES[[#This Row],[PLAZO Días]],"PAGO VENCIDO")</f>
        <v>PAGO VENCIDO</v>
      </c>
      <c r="C1144" s="25">
        <f>+VLOOKUP(PROVEEDORES[[#This Row],[PROVEEDOR]],TERCEROS_INFO[#All],2,FALSE)</f>
        <v>30</v>
      </c>
      <c r="D1144" s="30">
        <f>+SUMIFS(PROVEEDORES[Total],PROVEEDORES[PROVEEDOR],PROVEEDORES[[#This Row],[PROVEEDOR]],PROVEEDORES[FECHA DE PAGO],"")</f>
        <v>1856492</v>
      </c>
      <c r="E1144" s="30"/>
      <c r="F1144" s="73" t="str">
        <f>+VLOOKUP(PROVEEDORES[[#This Row],[PROVEEDOR]],TERCEROS_INFO[[PROVEEDOR]:[CORREO]],5,FALSE)</f>
        <v>PSE</v>
      </c>
      <c r="G1144" s="111">
        <v>44630</v>
      </c>
      <c r="H1144" s="31" t="s">
        <v>337</v>
      </c>
      <c r="I1144" s="111">
        <v>44562</v>
      </c>
      <c r="J1144" s="48" t="s">
        <v>322</v>
      </c>
      <c r="K1144" s="26">
        <v>263948</v>
      </c>
      <c r="L1144" s="26"/>
      <c r="M1144" s="27">
        <v>0</v>
      </c>
      <c r="N1144" s="28"/>
      <c r="O1144" s="27">
        <v>0</v>
      </c>
      <c r="P1144" s="28">
        <v>0</v>
      </c>
      <c r="Q1144" s="27">
        <v>0</v>
      </c>
      <c r="R1144" s="26">
        <v>263948</v>
      </c>
      <c r="S1144" s="115">
        <f ca="1">IF(PROVEEDORES[[#This Row],[FECHA DE PAGO]]=0,TODAY()-PROVEEDORES[[#This Row],[FECHA DE FACTURACIÓN]]-PROVEEDORES[[#This Row],[PLAZO Días]],0)</f>
        <v>0</v>
      </c>
      <c r="T114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5" spans="1:20" ht="21.9" customHeight="1" x14ac:dyDescent="0.3">
      <c r="A1145" s="113" t="str">
        <f>+IF(PROVEEDORES[[#This Row],[FECHA DE PAGO]]=PROVEEDORES[[#This Row],[FECHA DE FACTURACIÓN]],"DE CONTADO","CRÉDITO")</f>
        <v>CRÉDITO</v>
      </c>
      <c r="B1145" s="51" t="b">
        <f>+IF((PROVEEDORES[[#This Row],[FECHA DE PAGO]]-PROVEEDORES[[#This Row],[FECHA DE FACTURACIÓN]])&gt;PROVEEDORES[[#This Row],[PLAZO Días]],"PAGO VENCIDO")</f>
        <v>0</v>
      </c>
      <c r="C1145" s="25">
        <f>+VLOOKUP(PROVEEDORES[[#This Row],[PROVEEDOR]],TERCEROS_INFO[#All],2,FALSE)</f>
        <v>30</v>
      </c>
      <c r="D1145" s="30">
        <f>+SUMIFS(PROVEEDORES[Total],PROVEEDORES[PROVEEDOR],PROVEEDORES[[#This Row],[PROVEEDOR]],PROVEEDORES[FECHA DE PAGO],"")</f>
        <v>1119790</v>
      </c>
      <c r="E1145" s="30"/>
      <c r="F1145" s="73" t="str">
        <f>+VLOOKUP(PROVEEDORES[[#This Row],[PROVEEDOR]],TERCEROS_INFO[[PROVEEDOR]:[CORREO]],5,FALSE)</f>
        <v>MVALENCIA@mps.com.co;girlesa.ruiz@servipilas.com;joriescobar64@gmail.com</v>
      </c>
      <c r="G1145" s="111">
        <v>44575</v>
      </c>
      <c r="H1145" s="31" t="s">
        <v>17</v>
      </c>
      <c r="I1145" s="111">
        <v>44562</v>
      </c>
      <c r="J1145" s="48">
        <v>1852120</v>
      </c>
      <c r="K1145" s="26">
        <v>285600</v>
      </c>
      <c r="L1145" s="26"/>
      <c r="M1145" s="27">
        <v>54264</v>
      </c>
      <c r="N1145" s="28"/>
      <c r="O1145" s="27">
        <v>0</v>
      </c>
      <c r="P1145" s="28">
        <v>0</v>
      </c>
      <c r="Q1145" s="27">
        <v>0</v>
      </c>
      <c r="R1145" s="26">
        <v>339864</v>
      </c>
      <c r="S1145" s="115">
        <f ca="1">IF(PROVEEDORES[[#This Row],[FECHA DE PAGO]]=0,TODAY()-PROVEEDORES[[#This Row],[FECHA DE FACTURACIÓN]]-PROVEEDORES[[#This Row],[PLAZO Días]],0)</f>
        <v>0</v>
      </c>
      <c r="T11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6" spans="1:20" ht="21.9" customHeight="1" x14ac:dyDescent="0.3">
      <c r="A1146" s="113" t="str">
        <f>+IF(PROVEEDORES[[#This Row],[FECHA DE PAGO]]=PROVEEDORES[[#This Row],[FECHA DE FACTURACIÓN]],"DE CONTADO","CRÉDITO")</f>
        <v>CRÉDITO</v>
      </c>
      <c r="B1146" s="51" t="b">
        <f>+IF((PROVEEDORES[[#This Row],[FECHA DE PAGO]]-PROVEEDORES[[#This Row],[FECHA DE FACTURACIÓN]])&gt;PROVEEDORES[[#This Row],[PLAZO Días]],"PAGO VENCIDO")</f>
        <v>0</v>
      </c>
      <c r="C1146" s="25">
        <f>+VLOOKUP(PROVEEDORES[[#This Row],[PROVEEDOR]],TERCEROS_INFO[#All],2,FALSE)</f>
        <v>13</v>
      </c>
      <c r="D1146" s="30">
        <f>+SUMIFS(PROVEEDORES[Total],PROVEEDORES[PROVEEDOR],PROVEEDORES[[#This Row],[PROVEEDOR]],PROVEEDORES[FECHA DE PAGO],"")</f>
        <v>0</v>
      </c>
      <c r="E1146" s="30"/>
      <c r="F1146" s="73">
        <f>+VLOOKUP(PROVEEDORES[[#This Row],[PROVEEDOR]],TERCEROS_INFO[[PROVEEDOR]:[CORREO]],5,FALSE)</f>
        <v>0</v>
      </c>
      <c r="G1146" s="111">
        <v>44575</v>
      </c>
      <c r="H1146" s="31" t="s">
        <v>329</v>
      </c>
      <c r="I1146" s="111">
        <v>44562</v>
      </c>
      <c r="J1146" s="48" t="s">
        <v>331</v>
      </c>
      <c r="K1146" s="26">
        <v>313385</v>
      </c>
      <c r="L1146" s="26"/>
      <c r="M1146" s="27">
        <v>0</v>
      </c>
      <c r="N1146" s="28"/>
      <c r="O1146" s="27">
        <v>0</v>
      </c>
      <c r="P1146" s="28">
        <v>0</v>
      </c>
      <c r="Q1146" s="27">
        <v>0</v>
      </c>
      <c r="R1146" s="26">
        <v>313385</v>
      </c>
      <c r="S1146" s="115">
        <f ca="1">IF(PROVEEDORES[[#This Row],[FECHA DE PAGO]]=0,TODAY()-PROVEEDORES[[#This Row],[FECHA DE FACTURACIÓN]]-PROVEEDORES[[#This Row],[PLAZO Días]],0)</f>
        <v>0</v>
      </c>
      <c r="T114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7" spans="1:20" ht="21.9" customHeight="1" x14ac:dyDescent="0.3">
      <c r="A1147" s="113" t="str">
        <f>+IF(PROVEEDORES[[#This Row],[FECHA DE PAGO]]=PROVEEDORES[[#This Row],[FECHA DE FACTURACIÓN]],"DE CONTADO","CRÉDITO")</f>
        <v>CRÉDITO</v>
      </c>
      <c r="B1147" s="51" t="b">
        <f>+IF((PROVEEDORES[[#This Row],[FECHA DE PAGO]]-PROVEEDORES[[#This Row],[FECHA DE FACTURACIÓN]])&gt;PROVEEDORES[[#This Row],[PLAZO Días]],"PAGO VENCIDO")</f>
        <v>0</v>
      </c>
      <c r="C1147" s="25">
        <f>+VLOOKUP(PROVEEDORES[[#This Row],[PROVEEDOR]],TERCEROS_INFO[#All],2,FALSE)</f>
        <v>30</v>
      </c>
      <c r="D1147" s="30">
        <f>+SUMIFS(PROVEEDORES[Total],PROVEEDORES[PROVEEDOR],PROVEEDORES[[#This Row],[PROVEEDOR]],PROVEEDORES[FECHA DE PAGO],"")</f>
        <v>0</v>
      </c>
      <c r="E1147" s="30"/>
      <c r="F1147" s="73" t="str">
        <f>+VLOOKUP(PROVEEDORES[[#This Row],[PROVEEDOR]],TERCEROS_INFO[[PROVEEDOR]:[CORREO]],5,FALSE)</f>
        <v>facturacion@losmolinos.com.co</v>
      </c>
      <c r="G1147" s="111">
        <v>44575</v>
      </c>
      <c r="H1147" s="31" t="s">
        <v>345</v>
      </c>
      <c r="I1147" s="111">
        <v>44562</v>
      </c>
      <c r="J1147" s="48">
        <v>65772</v>
      </c>
      <c r="K1147" s="26">
        <v>329920.96000000002</v>
      </c>
      <c r="L1147" s="26"/>
      <c r="M1147" s="27">
        <v>0</v>
      </c>
      <c r="N1147" s="28"/>
      <c r="O1147" s="27">
        <v>0</v>
      </c>
      <c r="P1147" s="28">
        <v>0</v>
      </c>
      <c r="Q1147" s="27">
        <v>0</v>
      </c>
      <c r="R1147" s="26">
        <v>329920.96000000002</v>
      </c>
      <c r="S1147" s="115">
        <f ca="1">IF(PROVEEDORES[[#This Row],[FECHA DE PAGO]]=0,TODAY()-PROVEEDORES[[#This Row],[FECHA DE FACTURACIÓN]]-PROVEEDORES[[#This Row],[PLAZO Días]],0)</f>
        <v>0</v>
      </c>
      <c r="T114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8" spans="1:20" ht="21.9" customHeight="1" x14ac:dyDescent="0.3">
      <c r="A1148" s="113" t="str">
        <f>+IF(PROVEEDORES[[#This Row],[FECHA DE PAGO]]=PROVEEDORES[[#This Row],[FECHA DE FACTURACIÓN]],"DE CONTADO","CRÉDITO")</f>
        <v>DE CONTADO</v>
      </c>
      <c r="B1148" s="51" t="b">
        <f>+IF((PROVEEDORES[[#This Row],[FECHA DE PAGO]]-PROVEEDORES[[#This Row],[FECHA DE FACTURACIÓN]])&gt;PROVEEDORES[[#This Row],[PLAZO Días]],"PAGO VENCIDO")</f>
        <v>0</v>
      </c>
      <c r="C1148" s="25">
        <f>+VLOOKUP(PROVEEDORES[[#This Row],[PROVEEDOR]],TERCEROS_INFO[#All],2,FALSE)</f>
        <v>30</v>
      </c>
      <c r="D1148" s="30">
        <f>+SUMIFS(PROVEEDORES[Total],PROVEEDORES[PROVEEDOR],PROVEEDORES[[#This Row],[PROVEEDOR]],PROVEEDORES[FECHA DE PAGO],"")</f>
        <v>0</v>
      </c>
      <c r="E1148" s="30"/>
      <c r="F1148" s="73" t="str">
        <f>+VLOOKUP(PROVEEDORES[[#This Row],[PROVEEDOR]],TERCEROS_INFO[[PROVEEDOR]:[CORREO]],5,FALSE)</f>
        <v/>
      </c>
      <c r="G1148" s="111">
        <v>44562</v>
      </c>
      <c r="H1148" s="31" t="s">
        <v>1007</v>
      </c>
      <c r="I1148" s="111">
        <v>44562</v>
      </c>
      <c r="J1148" s="48" t="s">
        <v>950</v>
      </c>
      <c r="K1148" s="26">
        <v>693200</v>
      </c>
      <c r="L1148" s="26"/>
      <c r="M1148" s="27">
        <v>0</v>
      </c>
      <c r="N1148" s="28"/>
      <c r="O1148" s="27">
        <v>0</v>
      </c>
      <c r="P1148" s="28">
        <v>0</v>
      </c>
      <c r="Q1148" s="27">
        <v>0</v>
      </c>
      <c r="R1148" s="26">
        <v>693200</v>
      </c>
      <c r="S1148" s="115">
        <f ca="1">IF(PROVEEDORES[[#This Row],[FECHA DE PAGO]]=0,TODAY()-PROVEEDORES[[#This Row],[FECHA DE FACTURACIÓN]]-PROVEEDORES[[#This Row],[PLAZO Días]],0)</f>
        <v>0</v>
      </c>
      <c r="T11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49" spans="1:20" ht="21.9" customHeight="1" x14ac:dyDescent="0.3">
      <c r="A1149" s="113" t="str">
        <f>+IF(PROVEEDORES[[#This Row],[FECHA DE PAGO]]=PROVEEDORES[[#This Row],[FECHA DE FACTURACIÓN]],"DE CONTADO","CRÉDITO")</f>
        <v>CRÉDITO</v>
      </c>
      <c r="B1149" s="51" t="b">
        <f>+IF((PROVEEDORES[[#This Row],[FECHA DE PAGO]]-PROVEEDORES[[#This Row],[FECHA DE FACTURACIÓN]])&gt;PROVEEDORES[[#This Row],[PLAZO Días]],"PAGO VENCIDO")</f>
        <v>0</v>
      </c>
      <c r="C1149" s="25">
        <f>+VLOOKUP(PROVEEDORES[[#This Row],[PROVEEDOR]],TERCEROS_INFO[#All],2,FALSE)</f>
        <v>30</v>
      </c>
      <c r="D1149" s="30">
        <f>+SUMIFS(PROVEEDORES[Total],PROVEEDORES[PROVEEDOR],PROVEEDORES[[#This Row],[PROVEEDOR]],PROVEEDORES[FECHA DE PAGO],"")</f>
        <v>4862586.33</v>
      </c>
      <c r="E1149" s="30"/>
      <c r="F1149" s="73" t="str">
        <f>+VLOOKUP(PROVEEDORES[[#This Row],[PROVEEDOR]],TERCEROS_INFO[[PROVEEDOR]:[CORREO]],5,FALSE)</f>
        <v>cartera@conbienes.com;girlesa.ruiz@servipilas.com;joriescobar64@gmail.com</v>
      </c>
      <c r="G1149" s="111">
        <v>44588</v>
      </c>
      <c r="H1149" s="31" t="s">
        <v>348</v>
      </c>
      <c r="I1149" s="111">
        <v>44562</v>
      </c>
      <c r="J1149" s="48" t="s">
        <v>941</v>
      </c>
      <c r="K1149" s="26">
        <v>716544</v>
      </c>
      <c r="L1149" s="26"/>
      <c r="M1149" s="27">
        <v>136143.36000000002</v>
      </c>
      <c r="N1149" s="28"/>
      <c r="O1149" s="27">
        <v>0</v>
      </c>
      <c r="P1149" s="28">
        <v>0</v>
      </c>
      <c r="Q1149" s="27">
        <v>0</v>
      </c>
      <c r="R1149" s="26">
        <v>852687.35999999999</v>
      </c>
      <c r="S1149" s="115">
        <f ca="1">IF(PROVEEDORES[[#This Row],[FECHA DE PAGO]]=0,TODAY()-PROVEEDORES[[#This Row],[FECHA DE FACTURACIÓN]]-PROVEEDORES[[#This Row],[PLAZO Días]],0)</f>
        <v>0</v>
      </c>
      <c r="T114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0" spans="1:20" ht="21.9" customHeight="1" x14ac:dyDescent="0.3">
      <c r="A1150" s="113" t="str">
        <f>+IF(PROVEEDORES[[#This Row],[FECHA DE PAGO]]=PROVEEDORES[[#This Row],[FECHA DE FACTURACIÓN]],"DE CONTADO","CRÉDITO")</f>
        <v>CRÉDITO</v>
      </c>
      <c r="B1150" s="51" t="b">
        <f>+IF((PROVEEDORES[[#This Row],[FECHA DE PAGO]]-PROVEEDORES[[#This Row],[FECHA DE FACTURACIÓN]])&gt;PROVEEDORES[[#This Row],[PLAZO Días]],"PAGO VENCIDO")</f>
        <v>0</v>
      </c>
      <c r="C1150" s="25">
        <f>+VLOOKUP(PROVEEDORES[[#This Row],[PROVEEDOR]],TERCEROS_INFO[#All],2,FALSE)</f>
        <v>30</v>
      </c>
      <c r="D1150" s="30">
        <f>+SUMIFS(PROVEEDORES[Total],PROVEEDORES[PROVEEDOR],PROVEEDORES[[#This Row],[PROVEEDOR]],PROVEEDORES[FECHA DE PAGO],"")</f>
        <v>0</v>
      </c>
      <c r="E1150" s="30"/>
      <c r="F1150" s="73" t="str">
        <f>+VLOOKUP(PROVEEDORES[[#This Row],[PROVEEDOR]],TERCEROS_INFO[[PROVEEDOR]:[CORREO]],5,FALSE)</f>
        <v>PSE</v>
      </c>
      <c r="G1150" s="111">
        <v>44575</v>
      </c>
      <c r="H1150" s="31" t="s">
        <v>353</v>
      </c>
      <c r="I1150" s="111">
        <v>44562</v>
      </c>
      <c r="J1150" s="48">
        <v>12657</v>
      </c>
      <c r="K1150" s="26">
        <v>800264</v>
      </c>
      <c r="L1150" s="26"/>
      <c r="M1150" s="27">
        <v>0</v>
      </c>
      <c r="N1150" s="28"/>
      <c r="O1150" s="27">
        <v>0</v>
      </c>
      <c r="P1150" s="28">
        <v>0</v>
      </c>
      <c r="Q1150" s="27">
        <v>0</v>
      </c>
      <c r="R1150" s="26">
        <v>800264</v>
      </c>
      <c r="S1150" s="115">
        <f ca="1">IF(PROVEEDORES[[#This Row],[FECHA DE PAGO]]=0,TODAY()-PROVEEDORES[[#This Row],[FECHA DE FACTURACIÓN]]-PROVEEDORES[[#This Row],[PLAZO Días]],0)</f>
        <v>0</v>
      </c>
      <c r="T115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1" spans="1:20" ht="21.9" customHeight="1" x14ac:dyDescent="0.3">
      <c r="A1151" s="113" t="str">
        <f>+IF(PROVEEDORES[[#This Row],[FECHA DE PAGO]]=PROVEEDORES[[#This Row],[FECHA DE FACTURACIÓN]],"DE CONTADO","CRÉDITO")</f>
        <v>CRÉDITO</v>
      </c>
      <c r="B1151" s="51" t="b">
        <f>+IF((PROVEEDORES[[#This Row],[FECHA DE PAGO]]-PROVEEDORES[[#This Row],[FECHA DE FACTURACIÓN]])&gt;PROVEEDORES[[#This Row],[PLAZO Días]],"PAGO VENCIDO")</f>
        <v>0</v>
      </c>
      <c r="C1151" s="25">
        <f>+VLOOKUP(PROVEEDORES[[#This Row],[PROVEEDOR]],TERCEROS_INFO[#All],2,FALSE)</f>
        <v>30</v>
      </c>
      <c r="D1151" s="30">
        <f>+SUMIFS(PROVEEDORES[Total],PROVEEDORES[PROVEEDOR],PROVEEDORES[[#This Row],[PROVEEDOR]],PROVEEDORES[FECHA DE PAGO],"")</f>
        <v>0</v>
      </c>
      <c r="E1151" s="30"/>
      <c r="F1151" s="73" t="str">
        <f>+VLOOKUP(PROVEEDORES[[#This Row],[PROVEEDOR]],TERCEROS_INFO[[PROVEEDOR]:[CORREO]],5,FALSE)</f>
        <v>PSE</v>
      </c>
      <c r="G1151" s="111">
        <v>44575</v>
      </c>
      <c r="H1151" s="31" t="s">
        <v>353</v>
      </c>
      <c r="I1151" s="111">
        <v>44562</v>
      </c>
      <c r="J1151" s="48">
        <v>12698</v>
      </c>
      <c r="K1151" s="26">
        <v>818874</v>
      </c>
      <c r="L1151" s="26"/>
      <c r="M1151" s="27">
        <v>0</v>
      </c>
      <c r="N1151" s="28"/>
      <c r="O1151" s="27">
        <v>0</v>
      </c>
      <c r="P1151" s="28">
        <v>0</v>
      </c>
      <c r="Q1151" s="27">
        <v>0</v>
      </c>
      <c r="R1151" s="26">
        <v>818874</v>
      </c>
      <c r="S1151" s="115">
        <f ca="1">IF(PROVEEDORES[[#This Row],[FECHA DE PAGO]]=0,TODAY()-PROVEEDORES[[#This Row],[FECHA DE FACTURACIÓN]]-PROVEEDORES[[#This Row],[PLAZO Días]],0)</f>
        <v>0</v>
      </c>
      <c r="T115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2" spans="1:20" ht="21.9" customHeight="1" x14ac:dyDescent="0.3">
      <c r="A1152" s="113" t="str">
        <f>+IF(PROVEEDORES[[#This Row],[FECHA DE PAGO]]=PROVEEDORES[[#This Row],[FECHA DE FACTURACIÓN]],"DE CONTADO","CRÉDITO")</f>
        <v>CRÉDITO</v>
      </c>
      <c r="B1152" s="51" t="b">
        <f>+IF((PROVEEDORES[[#This Row],[FECHA DE PAGO]]-PROVEEDORES[[#This Row],[FECHA DE FACTURACIÓN]])&gt;PROVEEDORES[[#This Row],[PLAZO Días]],"PAGO VENCIDO")</f>
        <v>0</v>
      </c>
      <c r="C1152" s="25">
        <f>+VLOOKUP(PROVEEDORES[[#This Row],[PROVEEDOR]],TERCEROS_INFO[#All],2,FALSE)</f>
        <v>20</v>
      </c>
      <c r="D1152" s="30">
        <f>+SUMIFS(PROVEEDORES[Total],PROVEEDORES[PROVEEDOR],PROVEEDORES[[#This Row],[PROVEEDOR]],PROVEEDORES[FECHA DE PAGO],"")</f>
        <v>0</v>
      </c>
      <c r="E1152" s="30"/>
      <c r="F1152" s="73" t="str">
        <f>+VLOOKUP(PROVEEDORES[[#This Row],[PROVEEDOR]],TERCEROS_INFO[[PROVEEDOR]:[CORREO]],5,FALSE)</f>
        <v>pse</v>
      </c>
      <c r="G1152" s="111">
        <v>44579</v>
      </c>
      <c r="H1152" s="31" t="s">
        <v>374</v>
      </c>
      <c r="I1152" s="111">
        <v>44562</v>
      </c>
      <c r="J1152" s="48"/>
      <c r="K1152" s="26">
        <v>944086</v>
      </c>
      <c r="L1152" s="26"/>
      <c r="M1152" s="27">
        <v>0</v>
      </c>
      <c r="N1152" s="28"/>
      <c r="O1152" s="27">
        <v>0</v>
      </c>
      <c r="P1152" s="28">
        <v>0</v>
      </c>
      <c r="Q1152" s="27">
        <v>0</v>
      </c>
      <c r="R1152" s="26">
        <v>944086</v>
      </c>
      <c r="S1152" s="115">
        <f ca="1">IF(PROVEEDORES[[#This Row],[FECHA DE PAGO]]=0,TODAY()-PROVEEDORES[[#This Row],[FECHA DE FACTURACIÓN]]-PROVEEDORES[[#This Row],[PLAZO Días]],0)</f>
        <v>0</v>
      </c>
      <c r="T11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3" spans="1:20" ht="21.9" customHeight="1" x14ac:dyDescent="0.3">
      <c r="A1153" s="113" t="str">
        <f>+IF(PROVEEDORES[[#This Row],[FECHA DE PAGO]]=PROVEEDORES[[#This Row],[FECHA DE FACTURACIÓN]],"DE CONTADO","CRÉDITO")</f>
        <v>CRÉDITO</v>
      </c>
      <c r="B1153" s="51" t="str">
        <f>+IF((PROVEEDORES[[#This Row],[FECHA DE PAGO]]-PROVEEDORES[[#This Row],[FECHA DE FACTURACIÓN]])&gt;PROVEEDORES[[#This Row],[PLAZO Días]],"PAGO VENCIDO")</f>
        <v>PAGO VENCIDO</v>
      </c>
      <c r="C1153" s="25">
        <f>+VLOOKUP(PROVEEDORES[[#This Row],[PROVEEDOR]],TERCEROS_INFO[#All],2,FALSE)</f>
        <v>10</v>
      </c>
      <c r="D1153" s="30">
        <f>+SUMIFS(PROVEEDORES[Total],PROVEEDORES[PROVEEDOR],PROVEEDORES[[#This Row],[PROVEEDOR]],PROVEEDORES[FECHA DE PAGO],"")</f>
        <v>0</v>
      </c>
      <c r="E1153" s="30"/>
      <c r="F1153" s="73" t="str">
        <f>+VLOOKUP(PROVEEDORES[[#This Row],[PROVEEDOR]],TERCEROS_INFO[[PROVEEDOR]:[CORREO]],5,FALSE)</f>
        <v>carloseuristika@hotmail.com;girlesa.ruiz@servipilas.com;joriescobar64@gmail.com</v>
      </c>
      <c r="G1153" s="111">
        <v>44574</v>
      </c>
      <c r="H1153" s="31" t="s">
        <v>1006</v>
      </c>
      <c r="I1153" s="111">
        <v>44562</v>
      </c>
      <c r="J1153" s="48"/>
      <c r="K1153" s="26">
        <v>1060000</v>
      </c>
      <c r="L1153" s="26"/>
      <c r="M1153" s="27">
        <v>0</v>
      </c>
      <c r="N1153" s="28"/>
      <c r="O1153" s="27">
        <v>0</v>
      </c>
      <c r="P1153" s="28">
        <v>0</v>
      </c>
      <c r="Q1153" s="27">
        <v>0</v>
      </c>
      <c r="R1153" s="26">
        <v>1060000</v>
      </c>
      <c r="S1153" s="115">
        <f ca="1">IF(PROVEEDORES[[#This Row],[FECHA DE PAGO]]=0,TODAY()-PROVEEDORES[[#This Row],[FECHA DE FACTURACIÓN]]-PROVEEDORES[[#This Row],[PLAZO Días]],0)</f>
        <v>0</v>
      </c>
      <c r="T115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4" spans="1:20" ht="21.9" customHeight="1" x14ac:dyDescent="0.3">
      <c r="A1154" s="113" t="str">
        <f>+IF(PROVEEDORES[[#This Row],[FECHA DE PAGO]]=PROVEEDORES[[#This Row],[FECHA DE FACTURACIÓN]],"DE CONTADO","CRÉDITO")</f>
        <v>CRÉDITO</v>
      </c>
      <c r="B1154" s="51" t="str">
        <f>+IF((PROVEEDORES[[#This Row],[FECHA DE PAGO]]-PROVEEDORES[[#This Row],[FECHA DE FACTURACIÓN]])&gt;PROVEEDORES[[#This Row],[PLAZO Días]],"PAGO VENCIDO")</f>
        <v>PAGO VENCIDO</v>
      </c>
      <c r="C1154" s="25">
        <f>+VLOOKUP(PROVEEDORES[[#This Row],[PROVEEDOR]],TERCEROS_INFO[#All],2,FALSE)</f>
        <v>30</v>
      </c>
      <c r="D1154" s="30">
        <f>+SUMIFS(PROVEEDORES[Total],PROVEEDORES[PROVEEDOR],PROVEEDORES[[#This Row],[PROVEEDOR]],PROVEEDORES[FECHA DE PAGO],"")</f>
        <v>0</v>
      </c>
      <c r="E1154" s="30"/>
      <c r="F1154" s="73" t="str">
        <f>+VLOOKUP(PROVEEDORES[[#This Row],[PROVEEDOR]],TERCEROS_INFO[[PROVEEDOR]:[CORREO]],5,FALSE)</f>
        <v>globalpowerc2018@gmail.com;girlesa.ruiz@servipilas.com;joriescobar64@gmail.com</v>
      </c>
      <c r="G1154" s="111">
        <v>44593</v>
      </c>
      <c r="H1154" s="31" t="s">
        <v>1057</v>
      </c>
      <c r="I1154" s="111">
        <v>44562</v>
      </c>
      <c r="J1154" s="48" t="s">
        <v>950</v>
      </c>
      <c r="K1154" s="26">
        <v>1400000</v>
      </c>
      <c r="L1154" s="26"/>
      <c r="M1154" s="27">
        <v>0</v>
      </c>
      <c r="N1154" s="28"/>
      <c r="O1154" s="27">
        <v>0</v>
      </c>
      <c r="P1154" s="28">
        <v>0</v>
      </c>
      <c r="Q1154" s="27">
        <v>0</v>
      </c>
      <c r="R1154" s="26">
        <v>1400000</v>
      </c>
      <c r="S1154" s="115">
        <f ca="1">IF(PROVEEDORES[[#This Row],[FECHA DE PAGO]]=0,TODAY()-PROVEEDORES[[#This Row],[FECHA DE FACTURACIÓN]]-PROVEEDORES[[#This Row],[PLAZO Días]],0)</f>
        <v>0</v>
      </c>
      <c r="T11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5" spans="1:20" ht="21.9" customHeight="1" x14ac:dyDescent="0.3">
      <c r="A1155" s="113" t="str">
        <f>+IF(PROVEEDORES[[#This Row],[FECHA DE PAGO]]=PROVEEDORES[[#This Row],[FECHA DE FACTURACIÓN]],"DE CONTADO","CRÉDITO")</f>
        <v>CRÉDITO</v>
      </c>
      <c r="B1155" s="51" t="str">
        <f>+IF((PROVEEDORES[[#This Row],[FECHA DE PAGO]]-PROVEEDORES[[#This Row],[FECHA DE FACTURACIÓN]])&gt;PROVEEDORES[[#This Row],[PLAZO Días]],"PAGO VENCIDO")</f>
        <v>PAGO VENCIDO</v>
      </c>
      <c r="C1155" s="25">
        <f>+VLOOKUP(PROVEEDORES[[#This Row],[PROVEEDOR]],TERCEROS_INFO[#All],2,FALSE)</f>
        <v>30</v>
      </c>
      <c r="D1155" s="30">
        <f>+SUMIFS(PROVEEDORES[Total],PROVEEDORES[PROVEEDOR],PROVEEDORES[[#This Row],[PROVEEDOR]],PROVEEDORES[FECHA DE PAGO],"")</f>
        <v>1856492</v>
      </c>
      <c r="E1155" s="30"/>
      <c r="F1155" s="73" t="str">
        <f>+VLOOKUP(PROVEEDORES[[#This Row],[PROVEEDOR]],TERCEROS_INFO[[PROVEEDOR]:[CORREO]],5,FALSE)</f>
        <v>PSE</v>
      </c>
      <c r="G1155" s="111">
        <v>44630</v>
      </c>
      <c r="H1155" s="31" t="s">
        <v>337</v>
      </c>
      <c r="I1155" s="111">
        <v>44562</v>
      </c>
      <c r="J1155" s="48" t="s">
        <v>321</v>
      </c>
      <c r="K1155" s="26">
        <v>1591380</v>
      </c>
      <c r="L1155" s="26"/>
      <c r="M1155" s="27">
        <v>0</v>
      </c>
      <c r="N1155" s="28"/>
      <c r="O1155" s="27">
        <v>0</v>
      </c>
      <c r="P1155" s="28">
        <v>0</v>
      </c>
      <c r="Q1155" s="27">
        <v>0</v>
      </c>
      <c r="R1155" s="26">
        <v>1591380</v>
      </c>
      <c r="S1155" s="115">
        <f ca="1">IF(PROVEEDORES[[#This Row],[FECHA DE PAGO]]=0,TODAY()-PROVEEDORES[[#This Row],[FECHA DE FACTURACIÓN]]-PROVEEDORES[[#This Row],[PLAZO Días]],0)</f>
        <v>0</v>
      </c>
      <c r="T11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6" spans="1:20" ht="21.9" customHeight="1" x14ac:dyDescent="0.3">
      <c r="A1156" s="113" t="str">
        <f>+IF(PROVEEDORES[[#This Row],[FECHA DE PAGO]]=PROVEEDORES[[#This Row],[FECHA DE FACTURACIÓN]],"DE CONTADO","CRÉDITO")</f>
        <v>CRÉDITO</v>
      </c>
      <c r="B1156" s="51" t="b">
        <f>+IF((PROVEEDORES[[#This Row],[FECHA DE PAGO]]-PROVEEDORES[[#This Row],[FECHA DE FACTURACIÓN]])&gt;PROVEEDORES[[#This Row],[PLAZO Días]],"PAGO VENCIDO")</f>
        <v>0</v>
      </c>
      <c r="C1156" s="25">
        <f>+VLOOKUP(PROVEEDORES[[#This Row],[PROVEEDOR]],TERCEROS_INFO[#All],2,FALSE)</f>
        <v>30</v>
      </c>
      <c r="D1156" s="30">
        <f>+SUMIFS(PROVEEDORES[Total],PROVEEDORES[PROVEEDOR],PROVEEDORES[[#This Row],[PROVEEDOR]],PROVEEDORES[FECHA DE PAGO],"")</f>
        <v>1296896</v>
      </c>
      <c r="E1156" s="30"/>
      <c r="F1156" s="73" t="str">
        <f>+VLOOKUP(PROVEEDORES[[#This Row],[PROVEEDOR]],TERCEROS_INFO[[PROVEEDOR]:[CORREO]],5,FALSE)</f>
        <v>tesoreria@lacentral.com.co;girlesa.ruiz@servipilas.com;joriescobar64@gmail.com</v>
      </c>
      <c r="G1156" s="111">
        <v>44588</v>
      </c>
      <c r="H1156" s="31" t="s">
        <v>335</v>
      </c>
      <c r="I1156" s="111">
        <v>44562</v>
      </c>
      <c r="J1156" s="48">
        <v>9719</v>
      </c>
      <c r="K1156" s="26">
        <v>1904519</v>
      </c>
      <c r="L1156" s="26"/>
      <c r="M1156" s="27">
        <v>0</v>
      </c>
      <c r="N1156" s="28"/>
      <c r="O1156" s="27">
        <v>0</v>
      </c>
      <c r="P1156" s="28">
        <v>0</v>
      </c>
      <c r="Q1156" s="27">
        <v>0</v>
      </c>
      <c r="R1156" s="26">
        <v>1904519</v>
      </c>
      <c r="S1156" s="115">
        <f ca="1">IF(PROVEEDORES[[#This Row],[FECHA DE PAGO]]=0,TODAY()-PROVEEDORES[[#This Row],[FECHA DE FACTURACIÓN]]-PROVEEDORES[[#This Row],[PLAZO Días]],0)</f>
        <v>0</v>
      </c>
      <c r="T115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7" spans="1:20" ht="21.9" customHeight="1" x14ac:dyDescent="0.3">
      <c r="A1157" s="113" t="str">
        <f>+IF(PROVEEDORES[[#This Row],[FECHA DE PAGO]]=PROVEEDORES[[#This Row],[FECHA DE FACTURACIÓN]],"DE CONTADO","CRÉDITO")</f>
        <v>CRÉDITO</v>
      </c>
      <c r="B1157" s="51" t="b">
        <f>+IF((PROVEEDORES[[#This Row],[FECHA DE PAGO]]-PROVEEDORES[[#This Row],[FECHA DE FACTURACIÓN]])&gt;PROVEEDORES[[#This Row],[PLAZO Días]],"PAGO VENCIDO")</f>
        <v>0</v>
      </c>
      <c r="C1157" s="25">
        <f>+VLOOKUP(PROVEEDORES[[#This Row],[PROVEEDOR]],TERCEROS_INFO[#All],2,FALSE)</f>
        <v>30</v>
      </c>
      <c r="D1157" s="30">
        <f>+SUMIFS(PROVEEDORES[Total],PROVEEDORES[PROVEEDOR],PROVEEDORES[[#This Row],[PROVEEDOR]],PROVEEDORES[FECHA DE PAGO],"")</f>
        <v>0</v>
      </c>
      <c r="E1157" s="30"/>
      <c r="F1157" s="73" t="str">
        <f>+VLOOKUP(PROVEEDORES[[#This Row],[PROVEEDOR]],TERCEROS_INFO[[PROVEEDOR]:[CORREO]],5,FALSE)</f>
        <v>propertymarketingsas@hotmail.com;girlesa.ruiz@servipilas.com;joriescobar64@gmail.com</v>
      </c>
      <c r="G1157" s="111">
        <v>44588</v>
      </c>
      <c r="H1157" s="31" t="s">
        <v>486</v>
      </c>
      <c r="I1157" s="111">
        <v>44562</v>
      </c>
      <c r="J1157" s="48" t="s">
        <v>951</v>
      </c>
      <c r="K1157" s="26">
        <v>2789636</v>
      </c>
      <c r="L1157" s="26"/>
      <c r="M1157" s="27">
        <v>0</v>
      </c>
      <c r="N1157" s="28"/>
      <c r="O1157" s="27">
        <v>0</v>
      </c>
      <c r="P1157" s="28">
        <v>3.5000000000000003E-2</v>
      </c>
      <c r="Q1157" s="27">
        <v>97637.260000000009</v>
      </c>
      <c r="R1157" s="26">
        <v>2691998.74</v>
      </c>
      <c r="S1157" s="115">
        <f ca="1">IF(PROVEEDORES[[#This Row],[FECHA DE PAGO]]=0,TODAY()-PROVEEDORES[[#This Row],[FECHA DE FACTURACIÓN]]-PROVEEDORES[[#This Row],[PLAZO Días]],0)</f>
        <v>0</v>
      </c>
      <c r="T115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8" spans="1:20" ht="21.9" customHeight="1" x14ac:dyDescent="0.3">
      <c r="A1158" s="113" t="str">
        <f>+IF(PROVEEDORES[[#This Row],[FECHA DE PAGO]]=PROVEEDORES[[#This Row],[FECHA DE FACTURACIÓN]],"DE CONTADO","CRÉDITO")</f>
        <v>CRÉDITO</v>
      </c>
      <c r="B1158" s="51" t="b">
        <f>+IF((PROVEEDORES[[#This Row],[FECHA DE PAGO]]-PROVEEDORES[[#This Row],[FECHA DE FACTURACIÓN]])&gt;PROVEEDORES[[#This Row],[PLAZO Días]],"PAGO VENCIDO")</f>
        <v>0</v>
      </c>
      <c r="C1158" s="25">
        <f>+VLOOKUP(PROVEEDORES[[#This Row],[PROVEEDOR]],TERCEROS_INFO[#All],2,FALSE)</f>
        <v>30</v>
      </c>
      <c r="D1158" s="30">
        <f>+SUMIFS(PROVEEDORES[Total],PROVEEDORES[PROVEEDOR],PROVEEDORES[[#This Row],[PROVEEDOR]],PROVEEDORES[FECHA DE PAGO],"")</f>
        <v>4862586.33</v>
      </c>
      <c r="E1158" s="30"/>
      <c r="F1158" s="73" t="str">
        <f>+VLOOKUP(PROVEEDORES[[#This Row],[PROVEEDOR]],TERCEROS_INFO[[PROVEEDOR]:[CORREO]],5,FALSE)</f>
        <v>cartera@conbienes.com;girlesa.ruiz@servipilas.com;joriescobar64@gmail.com</v>
      </c>
      <c r="G1158" s="111">
        <v>44588</v>
      </c>
      <c r="H1158" s="31" t="s">
        <v>348</v>
      </c>
      <c r="I1158" s="111">
        <v>44562</v>
      </c>
      <c r="J1158" s="48" t="s">
        <v>940</v>
      </c>
      <c r="K1158" s="26">
        <v>3061166</v>
      </c>
      <c r="L1158" s="26"/>
      <c r="M1158" s="27">
        <v>581621.54</v>
      </c>
      <c r="N1158" s="28"/>
      <c r="O1158" s="27">
        <v>0</v>
      </c>
      <c r="P1158" s="28">
        <v>0</v>
      </c>
      <c r="Q1158" s="27">
        <v>0</v>
      </c>
      <c r="R1158" s="26">
        <v>3642787.54</v>
      </c>
      <c r="S1158" s="115">
        <f ca="1">IF(PROVEEDORES[[#This Row],[FECHA DE PAGO]]=0,TODAY()-PROVEEDORES[[#This Row],[FECHA DE FACTURACIÓN]]-PROVEEDORES[[#This Row],[PLAZO Días]],0)</f>
        <v>0</v>
      </c>
      <c r="T115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59" spans="1:20" ht="21.9" customHeight="1" x14ac:dyDescent="0.3">
      <c r="A1159" s="113" t="str">
        <f>+IF(PROVEEDORES[[#This Row],[FECHA DE PAGO]]=PROVEEDORES[[#This Row],[FECHA DE FACTURACIÓN]],"DE CONTADO","CRÉDITO")</f>
        <v>CRÉDITO</v>
      </c>
      <c r="B1159" s="51" t="b">
        <f>+IF((PROVEEDORES[[#This Row],[FECHA DE PAGO]]-PROVEEDORES[[#This Row],[FECHA DE FACTURACIÓN]])&gt;PROVEEDORES[[#This Row],[PLAZO Días]],"PAGO VENCIDO")</f>
        <v>0</v>
      </c>
      <c r="C1159" s="25">
        <f>+VLOOKUP(PROVEEDORES[[#This Row],[PROVEEDOR]],TERCEROS_INFO[#All],2,FALSE)</f>
        <v>30</v>
      </c>
      <c r="D1159" s="30">
        <f>+SUMIFS(PROVEEDORES[Total],PROVEEDORES[PROVEEDOR],PROVEEDORES[[#This Row],[PROVEEDOR]],PROVEEDORES[FECHA DE PAGO],"")</f>
        <v>0</v>
      </c>
      <c r="E1159" s="30"/>
      <c r="F1159" s="73" t="str">
        <f>+VLOOKUP(PROVEEDORES[[#This Row],[PROVEEDOR]],TERCEROS_INFO[[PROVEEDOR]:[CORREO]],5,FALSE)</f>
        <v>girlesa.ruiz@servipilas.com;joriescobar64@gmail.com</v>
      </c>
      <c r="G1159" s="111">
        <v>44588</v>
      </c>
      <c r="H1159" s="31" t="s">
        <v>339</v>
      </c>
      <c r="I1159" s="111">
        <v>44562</v>
      </c>
      <c r="J1159" s="48" t="s">
        <v>925</v>
      </c>
      <c r="K1159" s="26">
        <v>3937653</v>
      </c>
      <c r="L1159" s="26"/>
      <c r="M1159" s="27">
        <v>0</v>
      </c>
      <c r="N1159" s="28"/>
      <c r="O1159" s="27">
        <v>0</v>
      </c>
      <c r="P1159" s="28">
        <v>3.5000000000000003E-2</v>
      </c>
      <c r="Q1159" s="27">
        <v>137817.85500000001</v>
      </c>
      <c r="R1159" s="26">
        <v>3799835.145</v>
      </c>
      <c r="S1159" s="115">
        <f ca="1">IF(PROVEEDORES[[#This Row],[FECHA DE PAGO]]=0,TODAY()-PROVEEDORES[[#This Row],[FECHA DE FACTURACIÓN]]-PROVEEDORES[[#This Row],[PLAZO Días]],0)</f>
        <v>0</v>
      </c>
      <c r="T11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0" spans="1:20" ht="21.9" customHeight="1" x14ac:dyDescent="0.3">
      <c r="A1160" s="113" t="str">
        <f>+IF(PROVEEDORES[[#This Row],[FECHA DE PAGO]]=PROVEEDORES[[#This Row],[FECHA DE FACTURACIÓN]],"DE CONTADO","CRÉDITO")</f>
        <v>CRÉDITO</v>
      </c>
      <c r="B1160" s="51" t="b">
        <f>+IF((PROVEEDORES[[#This Row],[FECHA DE PAGO]]-PROVEEDORES[[#This Row],[FECHA DE FACTURACIÓN]])&gt;PROVEEDORES[[#This Row],[PLAZO Días]],"PAGO VENCIDO")</f>
        <v>0</v>
      </c>
      <c r="C1160" s="25">
        <f>+VLOOKUP(PROVEEDORES[[#This Row],[PROVEEDOR]],TERCEROS_INFO[#All],2,FALSE)</f>
        <v>30</v>
      </c>
      <c r="D1160" s="30">
        <f>+SUMIFS(PROVEEDORES[Total],PROVEEDORES[PROVEEDOR],PROVEEDORES[[#This Row],[PROVEEDOR]],PROVEEDORES[FECHA DE PAGO],"")</f>
        <v>5060410.5999999996</v>
      </c>
      <c r="E1160" s="30"/>
      <c r="F1160" s="73" t="str">
        <f>+VLOOKUP(PROVEEDORES[[#This Row],[PROVEEDOR]],TERCEROS_INFO[[PROVEEDOR]:[CORREO]],5,FALSE)</f>
        <v>CBastidas@vyp.com.co;girlesa.ruiz@servipilas.com;joriescobar64@gmail.com</v>
      </c>
      <c r="G1160" s="111">
        <v>44588</v>
      </c>
      <c r="H1160" s="31" t="s">
        <v>347</v>
      </c>
      <c r="I1160" s="111">
        <v>44562</v>
      </c>
      <c r="J1160" s="48">
        <v>41630</v>
      </c>
      <c r="K1160" s="26">
        <v>4430000</v>
      </c>
      <c r="L1160" s="26"/>
      <c r="M1160" s="27">
        <v>841700</v>
      </c>
      <c r="N1160" s="28"/>
      <c r="O1160" s="27">
        <v>0</v>
      </c>
      <c r="P1160" s="28">
        <v>3.5000000000000003E-2</v>
      </c>
      <c r="Q1160" s="27">
        <v>155050.00000000003</v>
      </c>
      <c r="R1160" s="26">
        <v>5116650</v>
      </c>
      <c r="S1160" s="115">
        <f ca="1">IF(PROVEEDORES[[#This Row],[FECHA DE PAGO]]=0,TODAY()-PROVEEDORES[[#This Row],[FECHA DE FACTURACIÓN]]-PROVEEDORES[[#This Row],[PLAZO Días]],0)</f>
        <v>0</v>
      </c>
      <c r="T116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1" spans="1:20" ht="21.9" customHeight="1" x14ac:dyDescent="0.3">
      <c r="A1161" s="113" t="str">
        <f>+IF(PROVEEDORES[[#This Row],[FECHA DE PAGO]]=PROVEEDORES[[#This Row],[FECHA DE FACTURACIÓN]],"DE CONTADO","CRÉDITO")</f>
        <v>DE CONTADO</v>
      </c>
      <c r="B1161" s="51" t="b">
        <f>+IF((PROVEEDORES[[#This Row],[FECHA DE PAGO]]-PROVEEDORES[[#This Row],[FECHA DE FACTURACIÓN]])&gt;PROVEEDORES[[#This Row],[PLAZO Días]],"PAGO VENCIDO")</f>
        <v>0</v>
      </c>
      <c r="C1161" s="25">
        <f>+VLOOKUP(PROVEEDORES[[#This Row],[PROVEEDOR]],TERCEROS_INFO[#All],2,FALSE)</f>
        <v>30</v>
      </c>
      <c r="D1161" s="30">
        <f>+SUMIFS(PROVEEDORES[Total],PROVEEDORES[PROVEEDOR],PROVEEDORES[[#This Row],[PROVEEDOR]],PROVEEDORES[FECHA DE PAGO],"")</f>
        <v>0</v>
      </c>
      <c r="E1161" s="30"/>
      <c r="F1161" s="73" t="str">
        <f>+VLOOKUP(PROVEEDORES[[#This Row],[PROVEEDOR]],TERCEROS_INFO[[PROVEEDOR]:[CORREO]],5,FALSE)</f>
        <v/>
      </c>
      <c r="G1161" s="111">
        <v>44565</v>
      </c>
      <c r="H1161" s="31" t="s">
        <v>37</v>
      </c>
      <c r="I1161" s="111">
        <v>44565</v>
      </c>
      <c r="J1161" s="48">
        <v>13042</v>
      </c>
      <c r="K1161" s="26">
        <v>42840</v>
      </c>
      <c r="L1161" s="26"/>
      <c r="M1161" s="27">
        <v>8139.6</v>
      </c>
      <c r="N1161" s="28"/>
      <c r="O1161" s="27">
        <v>0</v>
      </c>
      <c r="P1161" s="28">
        <v>0</v>
      </c>
      <c r="Q1161" s="27">
        <v>0</v>
      </c>
      <c r="R1161" s="26">
        <v>50979.6</v>
      </c>
      <c r="S1161" s="115">
        <f ca="1">IF(PROVEEDORES[[#This Row],[FECHA DE PAGO]]=0,TODAY()-PROVEEDORES[[#This Row],[FECHA DE FACTURACIÓN]]-PROVEEDORES[[#This Row],[PLAZO Días]],0)</f>
        <v>0</v>
      </c>
      <c r="T116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2" spans="1:20" ht="21.9" customHeight="1" x14ac:dyDescent="0.3">
      <c r="A1162" s="113" t="str">
        <f>+IF(PROVEEDORES[[#This Row],[FECHA DE PAGO]]=PROVEEDORES[[#This Row],[FECHA DE FACTURACIÓN]],"DE CONTADO","CRÉDITO")</f>
        <v>CRÉDITO</v>
      </c>
      <c r="B1162" s="51" t="b">
        <f>+IF((PROVEEDORES[[#This Row],[FECHA DE PAGO]]-PROVEEDORES[[#This Row],[FECHA DE FACTURACIÓN]])&gt;PROVEEDORES[[#This Row],[PLAZO Días]],"PAGO VENCIDO")</f>
        <v>0</v>
      </c>
      <c r="C1162" s="25">
        <f>+VLOOKUP(PROVEEDORES[[#This Row],[PROVEEDOR]],TERCEROS_INFO[#All],2,FALSE)</f>
        <v>30</v>
      </c>
      <c r="D1162" s="30">
        <f>+SUMIFS(PROVEEDORES[Total],PROVEEDORES[PROVEEDOR],PROVEEDORES[[#This Row],[PROVEEDOR]],PROVEEDORES[FECHA DE PAGO],"")</f>
        <v>0</v>
      </c>
      <c r="E1162" s="30"/>
      <c r="F1162" s="73" t="str">
        <f>+VLOOKUP(PROVEEDORES[[#This Row],[PROVEEDOR]],TERCEROS_INFO[[PROVEEDOR]:[CORREO]],5,FALSE)</f>
        <v>CARLOSARCILAMENSAJERIA@gmail.com;girlesa.ruiz@servipilas.com;joriescobar64@gmail.com</v>
      </c>
      <c r="G1162" s="111">
        <v>44567</v>
      </c>
      <c r="H1162" s="31" t="s">
        <v>143</v>
      </c>
      <c r="I1162" s="111">
        <v>44565</v>
      </c>
      <c r="J1162" s="48">
        <v>192</v>
      </c>
      <c r="K1162" s="26">
        <v>135000</v>
      </c>
      <c r="L1162" s="26"/>
      <c r="M1162" s="27">
        <v>0</v>
      </c>
      <c r="N1162" s="28"/>
      <c r="O1162" s="27">
        <v>0</v>
      </c>
      <c r="P1162" s="28">
        <v>0</v>
      </c>
      <c r="Q1162" s="27">
        <v>0</v>
      </c>
      <c r="R1162" s="26">
        <v>135000</v>
      </c>
      <c r="S1162" s="115">
        <f ca="1">IF(PROVEEDORES[[#This Row],[FECHA DE PAGO]]=0,TODAY()-PROVEEDORES[[#This Row],[FECHA DE FACTURACIÓN]]-PROVEEDORES[[#This Row],[PLAZO Días]],0)</f>
        <v>0</v>
      </c>
      <c r="T11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3" spans="1:20" ht="21.9" customHeight="1" x14ac:dyDescent="0.3">
      <c r="A1163" s="113" t="str">
        <f>+IF(PROVEEDORES[[#This Row],[FECHA DE PAGO]]=PROVEEDORES[[#This Row],[FECHA DE FACTURACIÓN]],"DE CONTADO","CRÉDITO")</f>
        <v>CRÉDITO</v>
      </c>
      <c r="B1163" s="51" t="b">
        <f>+IF((PROVEEDORES[[#This Row],[FECHA DE PAGO]]-PROVEEDORES[[#This Row],[FECHA DE FACTURACIÓN]])&gt;PROVEEDORES[[#This Row],[PLAZO Días]],"PAGO VENCIDO")</f>
        <v>0</v>
      </c>
      <c r="C1163" s="25">
        <f>+VLOOKUP(PROVEEDORES[[#This Row],[PROVEEDOR]],TERCEROS_INFO[#All],2,FALSE)</f>
        <v>30</v>
      </c>
      <c r="D1163" s="30">
        <f>+SUMIFS(PROVEEDORES[Total],PROVEEDORES[PROVEEDOR],PROVEEDORES[[#This Row],[PROVEEDOR]],PROVEEDORES[FECHA DE PAGO],"")</f>
        <v>0</v>
      </c>
      <c r="E1163" s="30"/>
      <c r="F1163" s="73" t="str">
        <f>+VLOOKUP(PROVEEDORES[[#This Row],[PROVEEDOR]],TERCEROS_INFO[[PROVEEDOR]:[CORREO]],5,FALSE)</f>
        <v>CARLOSARCILAMENSAJERIA@gmail.com;girlesa.ruiz@servipilas.com;joriescobar64@gmail.com</v>
      </c>
      <c r="G1163" s="111">
        <v>44568</v>
      </c>
      <c r="H1163" s="31" t="s">
        <v>1046</v>
      </c>
      <c r="I1163" s="111">
        <v>44565</v>
      </c>
      <c r="J1163" s="48">
        <v>319</v>
      </c>
      <c r="K1163" s="26">
        <v>176000</v>
      </c>
      <c r="L1163" s="26"/>
      <c r="M1163" s="27">
        <v>0</v>
      </c>
      <c r="N1163" s="28"/>
      <c r="O1163" s="27">
        <v>50216.21</v>
      </c>
      <c r="P1163" s="28">
        <v>0</v>
      </c>
      <c r="Q1163" s="27">
        <v>0</v>
      </c>
      <c r="R1163" s="26">
        <v>125783.79000000001</v>
      </c>
      <c r="S1163" s="115">
        <f ca="1">IF(PROVEEDORES[[#This Row],[FECHA DE PAGO]]=0,TODAY()-PROVEEDORES[[#This Row],[FECHA DE FACTURACIÓN]]-PROVEEDORES[[#This Row],[PLAZO Días]],0)</f>
        <v>0</v>
      </c>
      <c r="T11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4" spans="1:20" ht="21.9" customHeight="1" x14ac:dyDescent="0.3">
      <c r="A1164" s="113" t="str">
        <f>+IF(PROVEEDORES[[#This Row],[FECHA DE PAGO]]=PROVEEDORES[[#This Row],[FECHA DE FACTURACIÓN]],"DE CONTADO","CRÉDITO")</f>
        <v>CRÉDITO</v>
      </c>
      <c r="B1164" s="51" t="b">
        <f>+IF((PROVEEDORES[[#This Row],[FECHA DE PAGO]]-PROVEEDORES[[#This Row],[FECHA DE FACTURACIÓN]])&gt;PROVEEDORES[[#This Row],[PLAZO Días]],"PAGO VENCIDO")</f>
        <v>0</v>
      </c>
      <c r="C1164" s="25">
        <f>+VLOOKUP(PROVEEDORES[[#This Row],[PROVEEDOR]],TERCEROS_INFO[#All],2,FALSE)</f>
        <v>90</v>
      </c>
      <c r="D1164" s="30">
        <f>+SUMIFS(PROVEEDORES[Total],PROVEEDORES[PROVEEDOR],PROVEEDORES[[#This Row],[PROVEEDOR]],PROVEEDORES[FECHA DE PAGO],"")</f>
        <v>0</v>
      </c>
      <c r="E1164" s="30"/>
      <c r="F1164" s="73" t="str">
        <f>+VLOOKUP(PROVEEDORES[[#This Row],[PROVEEDOR]],TERCEROS_INFO[[PROVEEDOR]:[CORREO]],5,FALSE)</f>
        <v/>
      </c>
      <c r="G1164" s="111">
        <v>44567</v>
      </c>
      <c r="H1164" s="31" t="s">
        <v>1024</v>
      </c>
      <c r="I1164" s="111">
        <v>44566</v>
      </c>
      <c r="J1164" s="48" t="s">
        <v>942</v>
      </c>
      <c r="K1164" s="26">
        <v>-190000</v>
      </c>
      <c r="L1164" s="26"/>
      <c r="M1164" s="27">
        <v>0</v>
      </c>
      <c r="N1164" s="28"/>
      <c r="O1164" s="27">
        <v>0</v>
      </c>
      <c r="P1164" s="28">
        <v>0</v>
      </c>
      <c r="Q1164" s="27">
        <v>0</v>
      </c>
      <c r="R1164" s="26">
        <v>-190000</v>
      </c>
      <c r="S1164" s="115">
        <f ca="1">IF(PROVEEDORES[[#This Row],[FECHA DE PAGO]]=0,TODAY()-PROVEEDORES[[#This Row],[FECHA DE FACTURACIÓN]]-PROVEEDORES[[#This Row],[PLAZO Días]],0)</f>
        <v>0</v>
      </c>
      <c r="T11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5" spans="1:20" ht="21.9" customHeight="1" x14ac:dyDescent="0.3">
      <c r="A1165" s="113" t="str">
        <f>+IF(PROVEEDORES[[#This Row],[FECHA DE PAGO]]=PROVEEDORES[[#This Row],[FECHA DE FACTURACIÓN]],"DE CONTADO","CRÉDITO")</f>
        <v>CRÉDITO</v>
      </c>
      <c r="B1165" s="51" t="b">
        <f>+IF((PROVEEDORES[[#This Row],[FECHA DE PAGO]]-PROVEEDORES[[#This Row],[FECHA DE FACTURACIÓN]])&gt;PROVEEDORES[[#This Row],[PLAZO Días]],"PAGO VENCIDO")</f>
        <v>0</v>
      </c>
      <c r="C1165" s="25">
        <f>+VLOOKUP(PROVEEDORES[[#This Row],[PROVEEDOR]],TERCEROS_INFO[#All],2,FALSE)</f>
        <v>30</v>
      </c>
      <c r="D1165" s="30">
        <f>+SUMIFS(PROVEEDORES[Total],PROVEEDORES[PROVEEDOR],PROVEEDORES[[#This Row],[PROVEEDOR]],PROVEEDORES[FECHA DE PAGO],"")</f>
        <v>0</v>
      </c>
      <c r="E1165" s="30"/>
      <c r="F1165" s="73" t="str">
        <f>+VLOOKUP(PROVEEDORES[[#This Row],[PROVEEDOR]],TERCEROS_INFO[[PROVEEDOR]:[CORREO]],5,FALSE)</f>
        <v/>
      </c>
      <c r="G1165" s="111">
        <v>44568</v>
      </c>
      <c r="H1165" s="31" t="s">
        <v>1063</v>
      </c>
      <c r="I1165" s="111">
        <v>44566</v>
      </c>
      <c r="J1165" s="48"/>
      <c r="K1165" s="26">
        <v>1411500</v>
      </c>
      <c r="L1165" s="26"/>
      <c r="M1165" s="27">
        <v>0</v>
      </c>
      <c r="N1165" s="28"/>
      <c r="O1165" s="27">
        <v>0</v>
      </c>
      <c r="P1165" s="28">
        <v>0</v>
      </c>
      <c r="Q1165" s="27">
        <v>0</v>
      </c>
      <c r="R1165" s="26">
        <v>1411500</v>
      </c>
      <c r="S1165" s="115">
        <f ca="1">IF(PROVEEDORES[[#This Row],[FECHA DE PAGO]]=0,TODAY()-PROVEEDORES[[#This Row],[FECHA DE FACTURACIÓN]]-PROVEEDORES[[#This Row],[PLAZO Días]],0)</f>
        <v>0</v>
      </c>
      <c r="T11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6" spans="1:20" ht="21.9" customHeight="1" x14ac:dyDescent="0.3">
      <c r="A1166" s="113" t="str">
        <f>+IF(PROVEEDORES[[#This Row],[FECHA DE PAGO]]=PROVEEDORES[[#This Row],[FECHA DE FACTURACIÓN]],"DE CONTADO","CRÉDITO")</f>
        <v>DE CONTADO</v>
      </c>
      <c r="B1166" s="51" t="b">
        <f>+IF((PROVEEDORES[[#This Row],[FECHA DE PAGO]]-PROVEEDORES[[#This Row],[FECHA DE FACTURACIÓN]])&gt;PROVEEDORES[[#This Row],[PLAZO Días]],"PAGO VENCIDO")</f>
        <v>0</v>
      </c>
      <c r="C1166" s="25">
        <f>+VLOOKUP(PROVEEDORES[[#This Row],[PROVEEDOR]],TERCEROS_INFO[#All],2,FALSE)</f>
        <v>90</v>
      </c>
      <c r="D1166" s="30">
        <f>+SUMIFS(PROVEEDORES[Total],PROVEEDORES[PROVEEDOR],PROVEEDORES[[#This Row],[PROVEEDOR]],PROVEEDORES[FECHA DE PAGO],"")</f>
        <v>0</v>
      </c>
      <c r="E1166" s="30"/>
      <c r="F1166" s="73" t="str">
        <f>+VLOOKUP(PROVEEDORES[[#This Row],[PROVEEDOR]],TERCEROS_INFO[[PROVEEDOR]:[CORREO]],5,FALSE)</f>
        <v/>
      </c>
      <c r="G1166" s="111">
        <v>44567</v>
      </c>
      <c r="H1166" s="31" t="s">
        <v>1033</v>
      </c>
      <c r="I1166" s="111">
        <v>44567</v>
      </c>
      <c r="J1166" s="48"/>
      <c r="K1166" s="26">
        <v>-6831935</v>
      </c>
      <c r="L1166" s="26"/>
      <c r="M1166" s="27">
        <v>165300</v>
      </c>
      <c r="N1166" s="28"/>
      <c r="O1166" s="27">
        <v>0</v>
      </c>
      <c r="P1166" s="28">
        <v>0.04</v>
      </c>
      <c r="Q1166" s="27">
        <v>34800</v>
      </c>
      <c r="R1166" s="26">
        <v>650282</v>
      </c>
      <c r="S1166" s="115">
        <f ca="1">IF(PROVEEDORES[[#This Row],[FECHA DE PAGO]]=0,TODAY()-PROVEEDORES[[#This Row],[FECHA DE FACTURACIÓN]]-PROVEEDORES[[#This Row],[PLAZO Días]],0)</f>
        <v>0</v>
      </c>
      <c r="T116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7" spans="1:20" ht="21.9" customHeight="1" x14ac:dyDescent="0.3">
      <c r="A1167" s="113" t="str">
        <f>+IF(PROVEEDORES[[#This Row],[FECHA DE PAGO]]=PROVEEDORES[[#This Row],[FECHA DE FACTURACIÓN]],"DE CONTADO","CRÉDITO")</f>
        <v>DE CONTADO</v>
      </c>
      <c r="B1167" s="51" t="b">
        <f>+IF((PROVEEDORES[[#This Row],[FECHA DE PAGO]]-PROVEEDORES[[#This Row],[FECHA DE FACTURACIÓN]])&gt;PROVEEDORES[[#This Row],[PLAZO Días]],"PAGO VENCIDO")</f>
        <v>0</v>
      </c>
      <c r="C1167" s="25">
        <f>+VLOOKUP(PROVEEDORES[[#This Row],[PROVEEDOR]],TERCEROS_INFO[#All],2,FALSE)</f>
        <v>30</v>
      </c>
      <c r="D1167" s="30">
        <f>+SUMIFS(PROVEEDORES[Total],PROVEEDORES[PROVEEDOR],PROVEEDORES[[#This Row],[PROVEEDOR]],PROVEEDORES[FECHA DE PAGO],"")</f>
        <v>0</v>
      </c>
      <c r="E1167" s="30"/>
      <c r="F1167" s="73" t="str">
        <f>+VLOOKUP(PROVEEDORES[[#This Row],[PROVEEDOR]],TERCEROS_INFO[[PROVEEDOR]:[CORREO]],5,FALSE)</f>
        <v>CARLOSARCILAMENSAJERIA@gmail.com;girlesa.ruiz@servipilas.com;joriescobar64@gmail.com</v>
      </c>
      <c r="G1167" s="111">
        <v>44567</v>
      </c>
      <c r="H1167" s="31" t="s">
        <v>143</v>
      </c>
      <c r="I1167" s="111">
        <v>44567</v>
      </c>
      <c r="J1167" s="48" t="s">
        <v>952</v>
      </c>
      <c r="K1167" s="26">
        <v>-135000</v>
      </c>
      <c r="L1167" s="26"/>
      <c r="M1167" s="27">
        <v>0</v>
      </c>
      <c r="N1167" s="28"/>
      <c r="O1167" s="27">
        <v>0</v>
      </c>
      <c r="P1167" s="28">
        <v>0</v>
      </c>
      <c r="Q1167" s="27">
        <v>0</v>
      </c>
      <c r="R1167" s="26">
        <v>-135000</v>
      </c>
      <c r="S1167" s="115">
        <f ca="1">IF(PROVEEDORES[[#This Row],[FECHA DE PAGO]]=0,TODAY()-PROVEEDORES[[#This Row],[FECHA DE FACTURACIÓN]]-PROVEEDORES[[#This Row],[PLAZO Días]],0)</f>
        <v>0</v>
      </c>
      <c r="T11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8" spans="1:20" ht="21.9" customHeight="1" x14ac:dyDescent="0.3">
      <c r="A1168" s="113" t="str">
        <f>+IF(PROVEEDORES[[#This Row],[FECHA DE PAGO]]=PROVEEDORES[[#This Row],[FECHA DE FACTURACIÓN]],"DE CONTADO","CRÉDITO")</f>
        <v>CRÉDITO</v>
      </c>
      <c r="B1168" s="51" t="str">
        <f>+IF((PROVEEDORES[[#This Row],[FECHA DE PAGO]]-PROVEEDORES[[#This Row],[FECHA DE FACTURACIÓN]])&gt;PROVEEDORES[[#This Row],[PLAZO Días]],"PAGO VENCIDO")</f>
        <v>PAGO VENCIDO</v>
      </c>
      <c r="C1168" s="25">
        <f>+VLOOKUP(PROVEEDORES[[#This Row],[PROVEEDOR]],TERCEROS_INFO[#All],2,FALSE)</f>
        <v>30</v>
      </c>
      <c r="D1168" s="30">
        <f>+SUMIFS(PROVEEDORES[Total],PROVEEDORES[PROVEEDOR],PROVEEDORES[[#This Row],[PROVEEDOR]],PROVEEDORES[FECHA DE PAGO],"")</f>
        <v>0</v>
      </c>
      <c r="E1168" s="30"/>
      <c r="F1168" s="73" t="str">
        <f>+VLOOKUP(PROVEEDORES[[#This Row],[PROVEEDOR]],TERCEROS_INFO[[PROVEEDOR]:[CORREO]],5,FALSE)</f>
        <v>CARLOSARCILAMENSAJERIA@gmail.com;girlesa.ruiz@servipilas.com;joriescobar64@gmail.com</v>
      </c>
      <c r="G1168" s="111">
        <v>44608</v>
      </c>
      <c r="H1168" s="31" t="s">
        <v>143</v>
      </c>
      <c r="I1168" s="111">
        <v>44567</v>
      </c>
      <c r="J1168" s="48" t="s">
        <v>949</v>
      </c>
      <c r="K1168" s="26">
        <v>-37730</v>
      </c>
      <c r="L1168" s="26"/>
      <c r="M1168" s="27">
        <v>0</v>
      </c>
      <c r="N1168" s="28"/>
      <c r="O1168" s="27">
        <v>0</v>
      </c>
      <c r="P1168" s="28">
        <v>0</v>
      </c>
      <c r="Q1168" s="27">
        <v>0</v>
      </c>
      <c r="R1168" s="26">
        <v>-37730</v>
      </c>
      <c r="S1168" s="115">
        <f ca="1">IF(PROVEEDORES[[#This Row],[FECHA DE PAGO]]=0,TODAY()-PROVEEDORES[[#This Row],[FECHA DE FACTURACIÓN]]-PROVEEDORES[[#This Row],[PLAZO Días]],0)</f>
        <v>0</v>
      </c>
      <c r="T11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69" spans="1:20" ht="21.9" customHeight="1" x14ac:dyDescent="0.3">
      <c r="A1169" s="113" t="str">
        <f>+IF(PROVEEDORES[[#This Row],[FECHA DE PAGO]]=PROVEEDORES[[#This Row],[FECHA DE FACTURACIÓN]],"DE CONTADO","CRÉDITO")</f>
        <v>DE CONTADO</v>
      </c>
      <c r="B1169" s="51" t="b">
        <f>+IF((PROVEEDORES[[#This Row],[FECHA DE PAGO]]-PROVEEDORES[[#This Row],[FECHA DE FACTURACIÓN]])&gt;PROVEEDORES[[#This Row],[PLAZO Días]],"PAGO VENCIDO")</f>
        <v>0</v>
      </c>
      <c r="C1169" s="25">
        <f>+VLOOKUP(PROVEEDORES[[#This Row],[PROVEEDOR]],TERCEROS_INFO[#All],2,FALSE)</f>
        <v>30</v>
      </c>
      <c r="D1169" s="30">
        <f>+SUMIFS(PROVEEDORES[Total],PROVEEDORES[PROVEEDOR],PROVEEDORES[[#This Row],[PROVEEDOR]],PROVEEDORES[FECHA DE PAGO],"")</f>
        <v>0</v>
      </c>
      <c r="E1169" s="30"/>
      <c r="F1169" s="73" t="str">
        <f>+VLOOKUP(PROVEEDORES[[#This Row],[PROVEEDOR]],TERCEROS_INFO[[PROVEEDOR]:[CORREO]],5,FALSE)</f>
        <v/>
      </c>
      <c r="G1169" s="111">
        <v>44567</v>
      </c>
      <c r="H1169" s="31" t="s">
        <v>1052</v>
      </c>
      <c r="I1169" s="111">
        <v>44567</v>
      </c>
      <c r="J1169" s="48"/>
      <c r="K1169" s="26">
        <v>1000000</v>
      </c>
      <c r="L1169" s="26"/>
      <c r="M1169" s="27">
        <v>0</v>
      </c>
      <c r="N1169" s="28"/>
      <c r="O1169" s="27">
        <v>349718</v>
      </c>
      <c r="P1169" s="28">
        <v>0</v>
      </c>
      <c r="Q1169" s="27">
        <v>0</v>
      </c>
      <c r="R1169" s="26">
        <v>-6701435</v>
      </c>
      <c r="S1169" s="115">
        <f ca="1">IF(PROVEEDORES[[#This Row],[FECHA DE PAGO]]=0,TODAY()-PROVEEDORES[[#This Row],[FECHA DE FACTURACIÓN]]-PROVEEDORES[[#This Row],[PLAZO Días]],0)</f>
        <v>0</v>
      </c>
      <c r="T116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0" spans="1:20" ht="21.9" customHeight="1" x14ac:dyDescent="0.3">
      <c r="A1170" s="113" t="str">
        <f>+IF(PROVEEDORES[[#This Row],[FECHA DE PAGO]]=PROVEEDORES[[#This Row],[FECHA DE FACTURACIÓN]],"DE CONTADO","CRÉDITO")</f>
        <v>CRÉDITO</v>
      </c>
      <c r="B1170" s="51" t="str">
        <f>+IF((PROVEEDORES[[#This Row],[FECHA DE PAGO]]-PROVEEDORES[[#This Row],[FECHA DE FACTURACIÓN]])&gt;PROVEEDORES[[#This Row],[PLAZO Días]],"PAGO VENCIDO")</f>
        <v>PAGO VENCIDO</v>
      </c>
      <c r="C1170" s="25">
        <f>+VLOOKUP(PROVEEDORES[[#This Row],[PROVEEDOR]],TERCEROS_INFO[#All],2,FALSE)</f>
        <v>30</v>
      </c>
      <c r="D1170" s="30">
        <f>+SUMIFS(PROVEEDORES[Total],PROVEEDORES[PROVEEDOR],PROVEEDORES[[#This Row],[PROVEEDOR]],PROVEEDORES[FECHA DE PAGO],"")</f>
        <v>0</v>
      </c>
      <c r="E1170" s="30"/>
      <c r="F1170" s="73" t="str">
        <f>+VLOOKUP(PROVEEDORES[[#This Row],[PROVEEDOR]],TERCEROS_INFO[[PROVEEDOR]:[CORREO]],5,FALSE)</f>
        <v>globalpowerc2018@gmail.com;girlesa.ruiz@servipilas.com;joriescobar64@gmail.com</v>
      </c>
      <c r="G1170" s="111">
        <v>44600</v>
      </c>
      <c r="H1170" s="31" t="s">
        <v>1057</v>
      </c>
      <c r="I1170" s="111">
        <v>44567</v>
      </c>
      <c r="J1170" s="48" t="s">
        <v>961</v>
      </c>
      <c r="K1170" s="26">
        <v>1350000</v>
      </c>
      <c r="L1170" s="26"/>
      <c r="M1170" s="27">
        <v>0</v>
      </c>
      <c r="N1170" s="28"/>
      <c r="O1170" s="27">
        <v>0</v>
      </c>
      <c r="P1170" s="28">
        <v>0</v>
      </c>
      <c r="Q1170" s="27">
        <v>0</v>
      </c>
      <c r="R1170" s="26">
        <v>1350000</v>
      </c>
      <c r="S1170" s="115">
        <f ca="1">IF(PROVEEDORES[[#This Row],[FECHA DE PAGO]]=0,TODAY()-PROVEEDORES[[#This Row],[FECHA DE FACTURACIÓN]]-PROVEEDORES[[#This Row],[PLAZO Días]],0)</f>
        <v>0</v>
      </c>
      <c r="T117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1" spans="1:20" ht="21.9" customHeight="1" x14ac:dyDescent="0.3">
      <c r="A1171" s="113" t="str">
        <f>+IF(PROVEEDORES[[#This Row],[FECHA DE PAGO]]=PROVEEDORES[[#This Row],[FECHA DE FACTURACIÓN]],"DE CONTADO","CRÉDITO")</f>
        <v>CRÉDITO</v>
      </c>
      <c r="B1171" s="51" t="str">
        <f>+IF((PROVEEDORES[[#This Row],[FECHA DE PAGO]]-PROVEEDORES[[#This Row],[FECHA DE FACTURACIÓN]])&gt;PROVEEDORES[[#This Row],[PLAZO Días]],"PAGO VENCIDO")</f>
        <v>PAGO VENCIDO</v>
      </c>
      <c r="C1171" s="25">
        <f>+VLOOKUP(PROVEEDORES[[#This Row],[PROVEEDOR]],TERCEROS_INFO[#All],2,FALSE)</f>
        <v>30</v>
      </c>
      <c r="D1171" s="30">
        <f>+SUMIFS(PROVEEDORES[Total],PROVEEDORES[PROVEEDOR],PROVEEDORES[[#This Row],[PROVEEDOR]],PROVEEDORES[FECHA DE PAGO],"")</f>
        <v>10764600</v>
      </c>
      <c r="E1171" s="30"/>
      <c r="F1171" s="73" t="str">
        <f>+VLOOKUP(PROVEEDORES[[#This Row],[PROVEEDOR]],TERCEROS_INFO[[PROVEEDOR]:[CORREO]],5,FALSE)</f>
        <v>apresupuesto@widexcolombia.com;girlesa.ruiz@servipilas.com;joriescobar64@gmail.com</v>
      </c>
      <c r="G1171" s="111">
        <v>44602</v>
      </c>
      <c r="H1171" s="31" t="s">
        <v>11</v>
      </c>
      <c r="I1171" s="111">
        <v>44567</v>
      </c>
      <c r="J1171" s="48" t="s">
        <v>977</v>
      </c>
      <c r="K1171" s="26">
        <v>2776134</v>
      </c>
      <c r="L1171" s="26"/>
      <c r="M1171" s="27">
        <v>527465.46</v>
      </c>
      <c r="N1171" s="28"/>
      <c r="O1171" s="27">
        <v>0</v>
      </c>
      <c r="P1171" s="28">
        <v>2.5000000000000001E-2</v>
      </c>
      <c r="Q1171" s="27">
        <v>69403.350000000006</v>
      </c>
      <c r="R1171" s="26">
        <v>3234196.11</v>
      </c>
      <c r="S1171" s="115">
        <f ca="1">IF(PROVEEDORES[[#This Row],[FECHA DE PAGO]]=0,TODAY()-PROVEEDORES[[#This Row],[FECHA DE FACTURACIÓN]]-PROVEEDORES[[#This Row],[PLAZO Días]],0)</f>
        <v>0</v>
      </c>
      <c r="T11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2" spans="1:20" ht="21.9" customHeight="1" x14ac:dyDescent="0.3">
      <c r="A1172" s="113" t="str">
        <f>+IF(PROVEEDORES[[#This Row],[FECHA DE PAGO]]=PROVEEDORES[[#This Row],[FECHA DE FACTURACIÓN]],"DE CONTADO","CRÉDITO")</f>
        <v>CRÉDITO</v>
      </c>
      <c r="B1172" s="51" t="b">
        <f>+IF((PROVEEDORES[[#This Row],[FECHA DE PAGO]]-PROVEEDORES[[#This Row],[FECHA DE FACTURACIÓN]])&gt;PROVEEDORES[[#This Row],[PLAZO Días]],"PAGO VENCIDO")</f>
        <v>0</v>
      </c>
      <c r="C1172" s="25">
        <f>+VLOOKUP(PROVEEDORES[[#This Row],[PROVEEDOR]],TERCEROS_INFO[#All],2,FALSE)</f>
        <v>90</v>
      </c>
      <c r="D1172" s="30">
        <f>+SUMIFS(PROVEEDORES[Total],PROVEEDORES[PROVEEDOR],PROVEEDORES[[#This Row],[PROVEEDOR]],PROVEEDORES[FECHA DE PAGO],"")</f>
        <v>0</v>
      </c>
      <c r="E1172" s="30"/>
      <c r="F1172" s="73" t="str">
        <f>+VLOOKUP(PROVEEDORES[[#This Row],[PROVEEDOR]],TERCEROS_INFO[[PROVEEDOR]:[CORREO]],5,FALSE)</f>
        <v/>
      </c>
      <c r="G1172" s="111">
        <v>44656</v>
      </c>
      <c r="H1172" s="31" t="s">
        <v>1024</v>
      </c>
      <c r="I1172" s="111">
        <v>44572</v>
      </c>
      <c r="J1172" s="48" t="s">
        <v>971</v>
      </c>
      <c r="K1172" s="26">
        <v>425000</v>
      </c>
      <c r="L1172" s="26"/>
      <c r="M1172" s="27">
        <v>0</v>
      </c>
      <c r="N1172" s="28"/>
      <c r="O1172" s="27">
        <v>0</v>
      </c>
      <c r="P1172" s="28">
        <v>0</v>
      </c>
      <c r="Q1172" s="27">
        <v>0</v>
      </c>
      <c r="R1172" s="26">
        <v>425000</v>
      </c>
      <c r="S1172" s="115">
        <f ca="1">IF(PROVEEDORES[[#This Row],[FECHA DE PAGO]]=0,TODAY()-PROVEEDORES[[#This Row],[FECHA DE FACTURACIÓN]]-PROVEEDORES[[#This Row],[PLAZO Días]],0)</f>
        <v>0</v>
      </c>
      <c r="T117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3" spans="1:20" ht="21.9" customHeight="1" x14ac:dyDescent="0.3">
      <c r="A1173" s="113" t="str">
        <f>+IF(PROVEEDORES[[#This Row],[FECHA DE PAGO]]=PROVEEDORES[[#This Row],[FECHA DE FACTURACIÓN]],"DE CONTADO","CRÉDITO")</f>
        <v>CRÉDITO</v>
      </c>
      <c r="B1173" s="51" t="str">
        <f>+IF((PROVEEDORES[[#This Row],[FECHA DE PAGO]]-PROVEEDORES[[#This Row],[FECHA DE FACTURACIÓN]])&gt;PROVEEDORES[[#This Row],[PLAZO Días]],"PAGO VENCIDO")</f>
        <v>PAGO VENCIDO</v>
      </c>
      <c r="C1173" s="25">
        <f>+VLOOKUP(PROVEEDORES[[#This Row],[PROVEEDOR]],TERCEROS_INFO[#All],2,FALSE)</f>
        <v>30</v>
      </c>
      <c r="D1173" s="30">
        <f>+SUMIFS(PROVEEDORES[Total],PROVEEDORES[PROVEEDOR],PROVEEDORES[[#This Row],[PROVEEDOR]],PROVEEDORES[FECHA DE PAGO],"")</f>
        <v>148000</v>
      </c>
      <c r="E1173" s="30"/>
      <c r="F1173" s="73" t="str">
        <f>+VLOOKUP(PROVEEDORES[[#This Row],[PROVEEDOR]],TERCEROS_INFO[[PROVEEDOR]:[CORREO]],5,FALSE)</f>
        <v>jarlysas@gmail.com;o.clockinternational@gmail.com;girlesa.ruiz@servipilas.com;joriescobar64@gmail.com</v>
      </c>
      <c r="G1173" s="111">
        <v>44657</v>
      </c>
      <c r="H1173" s="31" t="s">
        <v>1048</v>
      </c>
      <c r="I1173" s="111">
        <v>44573</v>
      </c>
      <c r="J1173" s="48" t="s">
        <v>969</v>
      </c>
      <c r="K1173" s="26">
        <v>854000</v>
      </c>
      <c r="L1173" s="26"/>
      <c r="M1173" s="27">
        <v>0</v>
      </c>
      <c r="N1173" s="28"/>
      <c r="O1173" s="27">
        <v>0</v>
      </c>
      <c r="P1173" s="28">
        <v>0</v>
      </c>
      <c r="Q1173" s="27">
        <v>0</v>
      </c>
      <c r="R1173" s="26">
        <v>854000</v>
      </c>
      <c r="S1173" s="115">
        <f ca="1">IF(PROVEEDORES[[#This Row],[FECHA DE PAGO]]=0,TODAY()-PROVEEDORES[[#This Row],[FECHA DE FACTURACIÓN]]-PROVEEDORES[[#This Row],[PLAZO Días]],0)</f>
        <v>0</v>
      </c>
      <c r="T117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4" spans="1:20" ht="21.9" customHeight="1" x14ac:dyDescent="0.3">
      <c r="A1174" s="113" t="str">
        <f>+IF(PROVEEDORES[[#This Row],[FECHA DE PAGO]]=PROVEEDORES[[#This Row],[FECHA DE FACTURACIÓN]],"DE CONTADO","CRÉDITO")</f>
        <v>CRÉDITO</v>
      </c>
      <c r="B1174" s="51" t="str">
        <f>+IF((PROVEEDORES[[#This Row],[FECHA DE PAGO]]-PROVEEDORES[[#This Row],[FECHA DE FACTURACIÓN]])&gt;PROVEEDORES[[#This Row],[PLAZO Días]],"PAGO VENCIDO")</f>
        <v>PAGO VENCIDO</v>
      </c>
      <c r="C1174" s="25">
        <f>+VLOOKUP(PROVEEDORES[[#This Row],[PROVEEDOR]],TERCEROS_INFO[#All],2,FALSE)</f>
        <v>30</v>
      </c>
      <c r="D1174" s="30">
        <f>+SUMIFS(PROVEEDORES[Total],PROVEEDORES[PROVEEDOR],PROVEEDORES[[#This Row],[PROVEEDOR]],PROVEEDORES[FECHA DE PAGO],"")</f>
        <v>0</v>
      </c>
      <c r="E1174" s="30"/>
      <c r="F1174" s="73" t="str">
        <f>+VLOOKUP(PROVEEDORES[[#This Row],[PROVEEDOR]],TERCEROS_INFO[[PROVEEDOR]:[CORREO]],5,FALSE)</f>
        <v>variedades.sfg@gmail.com;girlesa.ruiz@servipilas.com;joriescobar64@gmail.com</v>
      </c>
      <c r="G1174" s="111">
        <v>44652</v>
      </c>
      <c r="H1174" s="31" t="s">
        <v>988</v>
      </c>
      <c r="I1174" s="111">
        <v>44573</v>
      </c>
      <c r="J1174" s="48" t="s">
        <v>974</v>
      </c>
      <c r="K1174" s="26">
        <v>1120000</v>
      </c>
      <c r="L1174" s="26"/>
      <c r="M1174" s="27">
        <v>0</v>
      </c>
      <c r="N1174" s="28"/>
      <c r="O1174" s="27">
        <v>0</v>
      </c>
      <c r="P1174" s="28">
        <v>0</v>
      </c>
      <c r="Q1174" s="27">
        <v>0</v>
      </c>
      <c r="R1174" s="26">
        <v>1120000</v>
      </c>
      <c r="S1174" s="115">
        <f ca="1">IF(PROVEEDORES[[#This Row],[FECHA DE PAGO]]=0,TODAY()-PROVEEDORES[[#This Row],[FECHA DE FACTURACIÓN]]-PROVEEDORES[[#This Row],[PLAZO Días]],0)</f>
        <v>0</v>
      </c>
      <c r="T117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5" spans="1:20" ht="21.9" customHeight="1" x14ac:dyDescent="0.3">
      <c r="A1175" s="113" t="str">
        <f>+IF(PROVEEDORES[[#This Row],[FECHA DE PAGO]]=PROVEEDORES[[#This Row],[FECHA DE FACTURACIÓN]],"DE CONTADO","CRÉDITO")</f>
        <v>CRÉDITO</v>
      </c>
      <c r="B1175" s="51" t="str">
        <f>+IF((PROVEEDORES[[#This Row],[FECHA DE PAGO]]-PROVEEDORES[[#This Row],[FECHA DE FACTURACIÓN]])&gt;PROVEEDORES[[#This Row],[PLAZO Días]],"PAGO VENCIDO")</f>
        <v>PAGO VENCIDO</v>
      </c>
      <c r="C1175" s="25">
        <f>+VLOOKUP(PROVEEDORES[[#This Row],[PROVEEDOR]],TERCEROS_INFO[#All],2,FALSE)</f>
        <v>30</v>
      </c>
      <c r="D1175" s="30">
        <f>+SUMIFS(PROVEEDORES[Total],PROVEEDORES[PROVEEDOR],PROVEEDORES[[#This Row],[PROVEEDOR]],PROVEEDORES[FECHA DE PAGO],"")</f>
        <v>148000</v>
      </c>
      <c r="E1175" s="30"/>
      <c r="F1175" s="73" t="str">
        <f>+VLOOKUP(PROVEEDORES[[#This Row],[PROVEEDOR]],TERCEROS_INFO[[PROVEEDOR]:[CORREO]],5,FALSE)</f>
        <v>jarlysas@gmail.com;o.clockinternational@gmail.com;girlesa.ruiz@servipilas.com;joriescobar64@gmail.com</v>
      </c>
      <c r="G1175" s="111">
        <v>44657</v>
      </c>
      <c r="H1175" s="31" t="s">
        <v>1048</v>
      </c>
      <c r="I1175" s="111">
        <v>44573</v>
      </c>
      <c r="J1175" s="48" t="s">
        <v>968</v>
      </c>
      <c r="K1175" s="26">
        <v>2011600</v>
      </c>
      <c r="L1175" s="26"/>
      <c r="M1175" s="27">
        <v>0</v>
      </c>
      <c r="N1175" s="28"/>
      <c r="O1175" s="27">
        <v>0</v>
      </c>
      <c r="P1175" s="28">
        <v>0</v>
      </c>
      <c r="Q1175" s="27">
        <v>0</v>
      </c>
      <c r="R1175" s="26">
        <v>2011600</v>
      </c>
      <c r="S1175" s="115">
        <f ca="1">IF(PROVEEDORES[[#This Row],[FECHA DE PAGO]]=0,TODAY()-PROVEEDORES[[#This Row],[FECHA DE FACTURACIÓN]]-PROVEEDORES[[#This Row],[PLAZO Días]],0)</f>
        <v>0</v>
      </c>
      <c r="T117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6" spans="1:20" ht="21.9" customHeight="1" x14ac:dyDescent="0.3">
      <c r="A1176" s="113" t="str">
        <f>+IF(PROVEEDORES[[#This Row],[FECHA DE PAGO]]=PROVEEDORES[[#This Row],[FECHA DE FACTURACIÓN]],"DE CONTADO","CRÉDITO")</f>
        <v>CRÉDITO</v>
      </c>
      <c r="B1176" s="51" t="str">
        <f>+IF((PROVEEDORES[[#This Row],[FECHA DE PAGO]]-PROVEEDORES[[#This Row],[FECHA DE FACTURACIÓN]])&gt;PROVEEDORES[[#This Row],[PLAZO Días]],"PAGO VENCIDO")</f>
        <v>PAGO VENCIDO</v>
      </c>
      <c r="C1176" s="25">
        <f>+VLOOKUP(PROVEEDORES[[#This Row],[PROVEEDOR]],TERCEROS_INFO[#All],2,FALSE)</f>
        <v>30</v>
      </c>
      <c r="D1176" s="30">
        <f>+SUMIFS(PROVEEDORES[Total],PROVEEDORES[PROVEEDOR],PROVEEDORES[[#This Row],[PROVEEDOR]],PROVEEDORES[FECHA DE PAGO],"")</f>
        <v>0</v>
      </c>
      <c r="E1176" s="30"/>
      <c r="F1176" s="73" t="str">
        <f>+VLOOKUP(PROVEEDORES[[#This Row],[PROVEEDOR]],TERCEROS_INFO[[PROVEEDOR]:[CORREO]],5,FALSE)</f>
        <v>variedades.sfg@gmail.com;girlesa.ruiz@servipilas.com;joriescobar64@gmail.com</v>
      </c>
      <c r="G1176" s="111">
        <v>44658</v>
      </c>
      <c r="H1176" s="31" t="s">
        <v>988</v>
      </c>
      <c r="I1176" s="111">
        <v>44573</v>
      </c>
      <c r="J1176" s="48" t="s">
        <v>975</v>
      </c>
      <c r="K1176" s="26">
        <v>5650500</v>
      </c>
      <c r="L1176" s="26"/>
      <c r="M1176" s="27">
        <v>0</v>
      </c>
      <c r="N1176" s="28"/>
      <c r="O1176" s="27">
        <v>0</v>
      </c>
      <c r="P1176" s="28">
        <v>0</v>
      </c>
      <c r="Q1176" s="27">
        <v>0</v>
      </c>
      <c r="R1176" s="26">
        <v>5650500</v>
      </c>
      <c r="S1176" s="115">
        <f ca="1">IF(PROVEEDORES[[#This Row],[FECHA DE PAGO]]=0,TODAY()-PROVEEDORES[[#This Row],[FECHA DE FACTURACIÓN]]-PROVEEDORES[[#This Row],[PLAZO Días]],0)</f>
        <v>0</v>
      </c>
      <c r="T11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7" spans="1:20" ht="21.9" customHeight="1" x14ac:dyDescent="0.3">
      <c r="A1177" s="113" t="str">
        <f>+IF(PROVEEDORES[[#This Row],[FECHA DE PAGO]]=PROVEEDORES[[#This Row],[FECHA DE FACTURACIÓN]],"DE CONTADO","CRÉDITO")</f>
        <v>CRÉDITO</v>
      </c>
      <c r="B1177" s="51" t="b">
        <f>+IF((PROVEEDORES[[#This Row],[FECHA DE PAGO]]-PROVEEDORES[[#This Row],[FECHA DE FACTURACIÓN]])&gt;PROVEEDORES[[#This Row],[PLAZO Días]],"PAGO VENCIDO")</f>
        <v>0</v>
      </c>
      <c r="C1177" s="25">
        <f>+VLOOKUP(PROVEEDORES[[#This Row],[PROVEEDOR]],TERCEROS_INFO[#All],2,FALSE)</f>
        <v>10</v>
      </c>
      <c r="D1177" s="30">
        <f>+SUMIFS(PROVEEDORES[Total],PROVEEDORES[PROVEEDOR],PROVEEDORES[[#This Row],[PROVEEDOR]],PROVEEDORES[FECHA DE PAGO],"")</f>
        <v>0</v>
      </c>
      <c r="E1177" s="30"/>
      <c r="F1177" s="73" t="str">
        <f>+VLOOKUP(PROVEEDORES[[#This Row],[PROVEEDOR]],TERCEROS_INFO[[PROVEEDOR]:[CORREO]],5,FALSE)</f>
        <v>dotaciones.ohana.eu@gmail.com;girlesa.ruiz@servipilas.com;joriescobar64@gmail.com</v>
      </c>
      <c r="G1177" s="111">
        <v>44579</v>
      </c>
      <c r="H1177" s="31" t="s">
        <v>1031</v>
      </c>
      <c r="I1177" s="111">
        <v>44574</v>
      </c>
      <c r="J1177" s="48" t="s">
        <v>964</v>
      </c>
      <c r="K1177" s="26">
        <v>372000</v>
      </c>
      <c r="L1177" s="26"/>
      <c r="M1177" s="27">
        <v>0</v>
      </c>
      <c r="N1177" s="28"/>
      <c r="O1177" s="27">
        <v>0</v>
      </c>
      <c r="P1177" s="28">
        <v>0</v>
      </c>
      <c r="Q1177" s="27">
        <v>0</v>
      </c>
      <c r="R1177" s="26">
        <v>372</v>
      </c>
      <c r="S1177" s="115">
        <f ca="1">IF(PROVEEDORES[[#This Row],[FECHA DE PAGO]]=0,TODAY()-PROVEEDORES[[#This Row],[FECHA DE FACTURACIÓN]]-PROVEEDORES[[#This Row],[PLAZO Días]],0)</f>
        <v>0</v>
      </c>
      <c r="T11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8" spans="1:20" ht="21.9" customHeight="1" x14ac:dyDescent="0.3">
      <c r="A1178" s="113" t="str">
        <f>+IF(PROVEEDORES[[#This Row],[FECHA DE PAGO]]=PROVEEDORES[[#This Row],[FECHA DE FACTURACIÓN]],"DE CONTADO","CRÉDITO")</f>
        <v>CRÉDITO</v>
      </c>
      <c r="B1178" s="51" t="str">
        <f>+IF((PROVEEDORES[[#This Row],[FECHA DE PAGO]]-PROVEEDORES[[#This Row],[FECHA DE FACTURACIÓN]])&gt;PROVEEDORES[[#This Row],[PLAZO Días]],"PAGO VENCIDO")</f>
        <v>PAGO VENCIDO</v>
      </c>
      <c r="C1178" s="25">
        <f>+VLOOKUP(PROVEEDORES[[#This Row],[PROVEEDOR]],TERCEROS_INFO[#All],2,FALSE)</f>
        <v>30</v>
      </c>
      <c r="D1178" s="30">
        <f>+SUMIFS(PROVEEDORES[Total],PROVEEDORES[PROVEEDOR],PROVEEDORES[[#This Row],[PROVEEDOR]],PROVEEDORES[FECHA DE PAGO],"")</f>
        <v>1741040.075</v>
      </c>
      <c r="E1178" s="30"/>
      <c r="F1178" s="73" t="str">
        <f>+VLOOKUP(PROVEEDORES[[#This Row],[PROVEEDOR]],TERCEROS_INFO[[PROVEEDOR]:[CORREO]],5,FALSE)</f>
        <v>sfonnegra@nanicastation.com.co;facturas@nanicastation.com.co;girlesa.ruiz@servipilas.com;joriescobar64@gmail.com</v>
      </c>
      <c r="G1178" s="111">
        <v>44617</v>
      </c>
      <c r="H1178" s="31" t="s">
        <v>570</v>
      </c>
      <c r="I1178" s="111">
        <v>44574</v>
      </c>
      <c r="J1178" s="48" t="s">
        <v>978</v>
      </c>
      <c r="K1178" s="26">
        <v>1420170</v>
      </c>
      <c r="L1178" s="26"/>
      <c r="M1178" s="27">
        <v>269832.3</v>
      </c>
      <c r="N1178" s="28"/>
      <c r="O1178" s="27">
        <v>0</v>
      </c>
      <c r="P1178" s="28">
        <v>2.5000000000000001E-2</v>
      </c>
      <c r="Q1178" s="27">
        <v>35504.25</v>
      </c>
      <c r="R1178" s="26">
        <v>1654498.05</v>
      </c>
      <c r="S1178" s="115">
        <f ca="1">IF(PROVEEDORES[[#This Row],[FECHA DE PAGO]]=0,TODAY()-PROVEEDORES[[#This Row],[FECHA DE FACTURACIÓN]]-PROVEEDORES[[#This Row],[PLAZO Días]],0)</f>
        <v>0</v>
      </c>
      <c r="T117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79" spans="1:20" ht="21.9" customHeight="1" x14ac:dyDescent="0.3">
      <c r="A1179" s="113" t="str">
        <f>+IF(PROVEEDORES[[#This Row],[FECHA DE PAGO]]=PROVEEDORES[[#This Row],[FECHA DE FACTURACIÓN]],"DE CONTADO","CRÉDITO")</f>
        <v>CRÉDITO</v>
      </c>
      <c r="B1179" s="51" t="b">
        <f>+IF((PROVEEDORES[[#This Row],[FECHA DE PAGO]]-PROVEEDORES[[#This Row],[FECHA DE FACTURACIÓN]])&gt;PROVEEDORES[[#This Row],[PLAZO Días]],"PAGO VENCIDO")</f>
        <v>0</v>
      </c>
      <c r="C1179" s="25">
        <f>+VLOOKUP(PROVEEDORES[[#This Row],[PROVEEDOR]],TERCEROS_INFO[#All],2,FALSE)</f>
        <v>10</v>
      </c>
      <c r="D1179" s="30">
        <f>+SUMIFS(PROVEEDORES[Total],PROVEEDORES[PROVEEDOR],PROVEEDORES[[#This Row],[PROVEEDOR]],PROVEEDORES[FECHA DE PAGO],"")</f>
        <v>0</v>
      </c>
      <c r="E1179" s="30"/>
      <c r="F1179" s="73" t="str">
        <f>+VLOOKUP(PROVEEDORES[[#This Row],[PROVEEDOR]],TERCEROS_INFO[[PROVEEDOR]:[CORREO]],5,FALSE)</f>
        <v>howardlondono@impocarga.com;oswaldo.alvarez@logimexsas.com;girlesa.ruiz@servipilas.com;joriescobar64@gmail.com</v>
      </c>
      <c r="G1179" s="111">
        <v>44575</v>
      </c>
      <c r="H1179" s="31" t="s">
        <v>957</v>
      </c>
      <c r="I1179" s="111">
        <v>44574</v>
      </c>
      <c r="J1179" s="48" t="s">
        <v>959</v>
      </c>
      <c r="K1179" s="26">
        <v>3291827</v>
      </c>
      <c r="L1179" s="26"/>
      <c r="M1179" s="27">
        <v>625447.13</v>
      </c>
      <c r="N1179" s="28"/>
      <c r="O1179" s="27">
        <v>0</v>
      </c>
      <c r="P1179" s="28">
        <v>0</v>
      </c>
      <c r="Q1179" s="27">
        <v>0</v>
      </c>
      <c r="R1179" s="26">
        <v>3917274.13</v>
      </c>
      <c r="S1179" s="115">
        <f ca="1">IF(PROVEEDORES[[#This Row],[FECHA DE PAGO]]=0,TODAY()-PROVEEDORES[[#This Row],[FECHA DE FACTURACIÓN]]-PROVEEDORES[[#This Row],[PLAZO Días]],0)</f>
        <v>0</v>
      </c>
      <c r="T11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0" spans="1:20" ht="21.9" customHeight="1" x14ac:dyDescent="0.3">
      <c r="A1180" s="113" t="str">
        <f>+IF(PROVEEDORES[[#This Row],[FECHA DE PAGO]]=PROVEEDORES[[#This Row],[FECHA DE FACTURACIÓN]],"DE CONTADO","CRÉDITO")</f>
        <v>CRÉDITO</v>
      </c>
      <c r="B1180" s="51" t="str">
        <f>+IF((PROVEEDORES[[#This Row],[FECHA DE PAGO]]-PROVEEDORES[[#This Row],[FECHA DE FACTURACIÓN]])&gt;PROVEEDORES[[#This Row],[PLAZO Días]],"PAGO VENCIDO")</f>
        <v>PAGO VENCIDO</v>
      </c>
      <c r="C1180" s="25">
        <f>+VLOOKUP(PROVEEDORES[[#This Row],[PROVEEDOR]],TERCEROS_INFO[#All],2,FALSE)</f>
        <v>30</v>
      </c>
      <c r="D1180" s="30">
        <f>+SUMIFS(PROVEEDORES[Total],PROVEEDORES[PROVEEDOR],PROVEEDORES[[#This Row],[PROVEEDOR]],PROVEEDORES[FECHA DE PAGO],"")</f>
        <v>0</v>
      </c>
      <c r="E1180" s="30"/>
      <c r="F1180" s="73" t="str">
        <f>+VLOOKUP(PROVEEDORES[[#This Row],[PROVEEDOR]],TERCEROS_INFO[[PROVEEDOR]:[CORREO]],5,FALSE)</f>
        <v>ventasmegamundo@yahoo.es;girlesa.ruiz@servipilas.com;joriescobar64@gmail.com</v>
      </c>
      <c r="G1180" s="111">
        <v>44648</v>
      </c>
      <c r="H1180" s="31" t="s">
        <v>574</v>
      </c>
      <c r="I1180" s="111">
        <v>44574</v>
      </c>
      <c r="J1180" s="48">
        <v>635</v>
      </c>
      <c r="K1180" s="26">
        <v>3807563.02</v>
      </c>
      <c r="L1180" s="26"/>
      <c r="M1180" s="27">
        <v>723436.97380000004</v>
      </c>
      <c r="N1180" s="28"/>
      <c r="O1180" s="27">
        <v>0</v>
      </c>
      <c r="P1180" s="28">
        <v>2.5000000000000001E-2</v>
      </c>
      <c r="Q1180" s="27">
        <v>95189.075500000006</v>
      </c>
      <c r="R1180" s="26">
        <v>4435810.9183</v>
      </c>
      <c r="S1180" s="115">
        <f ca="1">IF(PROVEEDORES[[#This Row],[FECHA DE PAGO]]=0,TODAY()-PROVEEDORES[[#This Row],[FECHA DE FACTURACIÓN]]-PROVEEDORES[[#This Row],[PLAZO Días]],0)</f>
        <v>0</v>
      </c>
      <c r="T11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1" spans="1:20" ht="21.9" customHeight="1" x14ac:dyDescent="0.3">
      <c r="A1181" s="113" t="str">
        <f>+IF(PROVEEDORES[[#This Row],[FECHA DE PAGO]]=PROVEEDORES[[#This Row],[FECHA DE FACTURACIÓN]],"DE CONTADO","CRÉDITO")</f>
        <v>CRÉDITO</v>
      </c>
      <c r="B1181" s="51" t="b">
        <f>+IF((PROVEEDORES[[#This Row],[FECHA DE PAGO]]-PROVEEDORES[[#This Row],[FECHA DE FACTURACIÓN]])&gt;PROVEEDORES[[#This Row],[PLAZO Días]],"PAGO VENCIDO")</f>
        <v>0</v>
      </c>
      <c r="C1181" s="25">
        <f>+VLOOKUP(PROVEEDORES[[#This Row],[PROVEEDOR]],TERCEROS_INFO[#All],2,FALSE)</f>
        <v>30</v>
      </c>
      <c r="D1181" s="30">
        <f>+SUMIFS(PROVEEDORES[Total],PROVEEDORES[PROVEEDOR],PROVEEDORES[[#This Row],[PROVEEDOR]],PROVEEDORES[FECHA DE PAGO],"")</f>
        <v>2719966.6375000002</v>
      </c>
      <c r="E1181" s="30"/>
      <c r="F1181" s="73" t="str">
        <f>+VLOOKUP(PROVEEDORES[[#This Row],[PROVEEDOR]],TERCEROS_INFO[[PROVEEDOR]:[CORREO]],5,FALSE)</f>
        <v>aleja-1305agudelo@hotmail.com;provecol@une.net.co;girlesa.ruiz@servipilas.com;joriescobar64@gmail.com</v>
      </c>
      <c r="G1181" s="111">
        <v>44600</v>
      </c>
      <c r="H1181" s="31" t="s">
        <v>460</v>
      </c>
      <c r="I1181" s="111">
        <v>44574</v>
      </c>
      <c r="J1181" s="48">
        <v>162642</v>
      </c>
      <c r="K1181" s="26">
        <v>4279357</v>
      </c>
      <c r="L1181" s="26">
        <v>107523</v>
      </c>
      <c r="M1181" s="27">
        <v>813077.83</v>
      </c>
      <c r="N1181" s="28"/>
      <c r="O1181" s="27">
        <v>0</v>
      </c>
      <c r="P1181" s="28">
        <v>0</v>
      </c>
      <c r="Q1181" s="27">
        <v>0</v>
      </c>
      <c r="R1181" s="26">
        <v>4984911.83</v>
      </c>
      <c r="S1181" s="115">
        <f ca="1">IF(PROVEEDORES[[#This Row],[FECHA DE PAGO]]=0,TODAY()-PROVEEDORES[[#This Row],[FECHA DE FACTURACIÓN]]-PROVEEDORES[[#This Row],[PLAZO Días]],0)</f>
        <v>0</v>
      </c>
      <c r="T11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2" spans="1:20" ht="21.9" customHeight="1" x14ac:dyDescent="0.3">
      <c r="A1182" s="113" t="str">
        <f>+IF(PROVEEDORES[[#This Row],[FECHA DE PAGO]]=PROVEEDORES[[#This Row],[FECHA DE FACTURACIÓN]],"DE CONTADO","CRÉDITO")</f>
        <v>CRÉDITO</v>
      </c>
      <c r="B1182" s="51" t="str">
        <f>+IF((PROVEEDORES[[#This Row],[FECHA DE PAGO]]-PROVEEDORES[[#This Row],[FECHA DE FACTURACIÓN]])&gt;PROVEEDORES[[#This Row],[PLAZO Días]],"PAGO VENCIDO")</f>
        <v>PAGO VENCIDO</v>
      </c>
      <c r="C1182" s="25">
        <f>+VLOOKUP(PROVEEDORES[[#This Row],[PROVEEDOR]],TERCEROS_INFO[#All],2,FALSE)</f>
        <v>30</v>
      </c>
      <c r="D1182" s="30">
        <f>+SUMIFS(PROVEEDORES[Total],PROVEEDORES[PROVEEDOR],PROVEEDORES[[#This Row],[PROVEEDOR]],PROVEEDORES[FECHA DE PAGO],"")</f>
        <v>6482443.1751999995</v>
      </c>
      <c r="E1182" s="30"/>
      <c r="F1182" s="73" t="str">
        <f>+VLOOKUP(PROVEEDORES[[#This Row],[PROVEEDOR]],TERCEROS_INFO[[PROVEEDOR]:[CORREO]],5,FALSE)</f>
        <v>angela.navas@hyrdistribuciones.com;girlesa.ruiz@servipilas.com;joriescobar64@gmail.com</v>
      </c>
      <c r="G1182" s="111">
        <v>44617</v>
      </c>
      <c r="H1182" s="31" t="s">
        <v>18</v>
      </c>
      <c r="I1182" s="111">
        <v>44574</v>
      </c>
      <c r="J1182" s="48">
        <v>1048362</v>
      </c>
      <c r="K1182" s="26">
        <v>7141767.0800000001</v>
      </c>
      <c r="L1182" s="26"/>
      <c r="M1182" s="27">
        <v>1356935.7452</v>
      </c>
      <c r="N1182" s="28"/>
      <c r="O1182" s="27">
        <v>0</v>
      </c>
      <c r="P1182" s="28">
        <v>2.5000000000000001E-2</v>
      </c>
      <c r="Q1182" s="27">
        <v>178544.17700000003</v>
      </c>
      <c r="R1182" s="26">
        <v>8320158.6482000006</v>
      </c>
      <c r="S1182" s="115">
        <f ca="1">IF(PROVEEDORES[[#This Row],[FECHA DE PAGO]]=0,TODAY()-PROVEEDORES[[#This Row],[FECHA DE FACTURACIÓN]]-PROVEEDORES[[#This Row],[PLAZO Días]],0)</f>
        <v>0</v>
      </c>
      <c r="T118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3" spans="1:20" ht="21.9" customHeight="1" x14ac:dyDescent="0.3">
      <c r="A1183" s="113" t="str">
        <f>+IF(PROVEEDORES[[#This Row],[FECHA DE PAGO]]=PROVEEDORES[[#This Row],[FECHA DE FACTURACIÓN]],"DE CONTADO","CRÉDITO")</f>
        <v>DE CONTADO</v>
      </c>
      <c r="B1183" s="51" t="b">
        <f>+IF((PROVEEDORES[[#This Row],[FECHA DE PAGO]]-PROVEEDORES[[#This Row],[FECHA DE FACTURACIÓN]])&gt;PROVEEDORES[[#This Row],[PLAZO Días]],"PAGO VENCIDO")</f>
        <v>0</v>
      </c>
      <c r="C1183" s="25">
        <f>+VLOOKUP(PROVEEDORES[[#This Row],[PROVEEDOR]],TERCEROS_INFO[#All],2,FALSE)</f>
        <v>30</v>
      </c>
      <c r="D1183" s="30">
        <f>+SUMIFS(PROVEEDORES[Total],PROVEEDORES[PROVEEDOR],PROVEEDORES[[#This Row],[PROVEEDOR]],PROVEEDORES[FECHA DE PAGO],"")</f>
        <v>0</v>
      </c>
      <c r="E1183" s="30"/>
      <c r="F1183" s="73" t="str">
        <f>+VLOOKUP(PROVEEDORES[[#This Row],[PROVEEDOR]],TERCEROS_INFO[[PROVEEDOR]:[CORREO]],5,FALSE)</f>
        <v/>
      </c>
      <c r="G1183" s="111">
        <v>44575</v>
      </c>
      <c r="H1183" s="31" t="s">
        <v>1052</v>
      </c>
      <c r="I1183" s="111">
        <v>44575</v>
      </c>
      <c r="J1183" s="48"/>
      <c r="K1183" s="26">
        <v>1000000</v>
      </c>
      <c r="L1183" s="26"/>
      <c r="M1183" s="27">
        <v>0</v>
      </c>
      <c r="N1183" s="28"/>
      <c r="O1183" s="27">
        <v>0</v>
      </c>
      <c r="P1183" s="28">
        <v>0</v>
      </c>
      <c r="Q1183" s="27">
        <v>0</v>
      </c>
      <c r="R1183" s="26">
        <v>1000000</v>
      </c>
      <c r="S1183" s="115">
        <f ca="1">IF(PROVEEDORES[[#This Row],[FECHA DE PAGO]]=0,TODAY()-PROVEEDORES[[#This Row],[FECHA DE FACTURACIÓN]]-PROVEEDORES[[#This Row],[PLAZO Días]],0)</f>
        <v>0</v>
      </c>
      <c r="T118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4" spans="1:20" ht="21.9" customHeight="1" x14ac:dyDescent="0.3">
      <c r="A1184" s="113" t="str">
        <f>+IF(PROVEEDORES[[#This Row],[FECHA DE PAGO]]=PROVEEDORES[[#This Row],[FECHA DE FACTURACIÓN]],"DE CONTADO","CRÉDITO")</f>
        <v>CRÉDITO</v>
      </c>
      <c r="B1184" s="51" t="b">
        <f>+IF((PROVEEDORES[[#This Row],[FECHA DE PAGO]]-PROVEEDORES[[#This Row],[FECHA DE FACTURACIÓN]])&gt;PROVEEDORES[[#This Row],[PLAZO Días]],"PAGO VENCIDO")</f>
        <v>0</v>
      </c>
      <c r="C1184" s="25">
        <f>+VLOOKUP(PROVEEDORES[[#This Row],[PROVEEDOR]],TERCEROS_INFO[#All],2,FALSE)</f>
        <v>30</v>
      </c>
      <c r="D1184" s="30">
        <f>+SUMIFS(PROVEEDORES[Total],PROVEEDORES[PROVEEDOR],PROVEEDORES[[#This Row],[PROVEEDOR]],PROVEEDORES[FECHA DE PAGO],"")</f>
        <v>3750700</v>
      </c>
      <c r="E1184" s="30"/>
      <c r="F1184" s="73" t="str">
        <f>+VLOOKUP(PROVEEDORES[[#This Row],[PROVEEDOR]],TERCEROS_INFO[[PROVEEDOR]:[CORREO]],5,FALSE)</f>
        <v/>
      </c>
      <c r="G1184" s="111">
        <v>44606</v>
      </c>
      <c r="H1184" s="31" t="s">
        <v>996</v>
      </c>
      <c r="I1184" s="111">
        <v>44576</v>
      </c>
      <c r="J1184" s="48" t="s">
        <v>972</v>
      </c>
      <c r="K1184" s="26">
        <v>560000</v>
      </c>
      <c r="L1184" s="26"/>
      <c r="M1184" s="27">
        <v>0</v>
      </c>
      <c r="N1184" s="28"/>
      <c r="O1184" s="27">
        <v>0</v>
      </c>
      <c r="P1184" s="28">
        <v>0</v>
      </c>
      <c r="Q1184" s="27">
        <v>0</v>
      </c>
      <c r="R1184" s="26">
        <v>560000</v>
      </c>
      <c r="S1184" s="115">
        <f ca="1">IF(PROVEEDORES[[#This Row],[FECHA DE PAGO]]=0,TODAY()-PROVEEDORES[[#This Row],[FECHA DE FACTURACIÓN]]-PROVEEDORES[[#This Row],[PLAZO Días]],0)</f>
        <v>0</v>
      </c>
      <c r="T11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5" spans="1:20" ht="21.9" customHeight="1" x14ac:dyDescent="0.3">
      <c r="A1185" s="113" t="str">
        <f>+IF(PROVEEDORES[[#This Row],[FECHA DE PAGO]]=PROVEEDORES[[#This Row],[FECHA DE FACTURACIÓN]],"DE CONTADO","CRÉDITO")</f>
        <v>CRÉDITO</v>
      </c>
      <c r="B1185" s="51" t="b">
        <f>+IF((PROVEEDORES[[#This Row],[FECHA DE PAGO]]-PROVEEDORES[[#This Row],[FECHA DE FACTURACIÓN]])&gt;PROVEEDORES[[#This Row],[PLAZO Días]],"PAGO VENCIDO")</f>
        <v>0</v>
      </c>
      <c r="C1185" s="25">
        <f>+VLOOKUP(PROVEEDORES[[#This Row],[PROVEEDOR]],TERCEROS_INFO[#All],2,FALSE)</f>
        <v>30</v>
      </c>
      <c r="D1185" s="30">
        <f>+SUMIFS(PROVEEDORES[Total],PROVEEDORES[PROVEEDOR],PROVEEDORES[[#This Row],[PROVEEDOR]],PROVEEDORES[FECHA DE PAGO],"")</f>
        <v>3750700</v>
      </c>
      <c r="E1185" s="30"/>
      <c r="F1185" s="73" t="str">
        <f>+VLOOKUP(PROVEEDORES[[#This Row],[PROVEEDOR]],TERCEROS_INFO[[PROVEEDOR]:[CORREO]],5,FALSE)</f>
        <v/>
      </c>
      <c r="G1185" s="111">
        <v>44606</v>
      </c>
      <c r="H1185" s="31" t="s">
        <v>996</v>
      </c>
      <c r="I1185" s="111">
        <v>44576</v>
      </c>
      <c r="J1185" s="48" t="s">
        <v>973</v>
      </c>
      <c r="K1185" s="26">
        <v>1306000</v>
      </c>
      <c r="L1185" s="26"/>
      <c r="M1185" s="27">
        <v>0</v>
      </c>
      <c r="N1185" s="28"/>
      <c r="O1185" s="27">
        <v>0</v>
      </c>
      <c r="P1185" s="28">
        <v>0</v>
      </c>
      <c r="Q1185" s="27">
        <v>0</v>
      </c>
      <c r="R1185" s="26">
        <v>1306000</v>
      </c>
      <c r="S1185" s="115">
        <f ca="1">IF(PROVEEDORES[[#This Row],[FECHA DE PAGO]]=0,TODAY()-PROVEEDORES[[#This Row],[FECHA DE FACTURACIÓN]]-PROVEEDORES[[#This Row],[PLAZO Días]],0)</f>
        <v>0</v>
      </c>
      <c r="T118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6" spans="1:20" ht="21.9" customHeight="1" x14ac:dyDescent="0.3">
      <c r="A1186" s="113" t="str">
        <f>+IF(PROVEEDORES[[#This Row],[FECHA DE PAGO]]=PROVEEDORES[[#This Row],[FECHA DE FACTURACIÓN]],"DE CONTADO","CRÉDITO")</f>
        <v>CRÉDITO</v>
      </c>
      <c r="B1186" s="51" t="b">
        <f>+IF((PROVEEDORES[[#This Row],[FECHA DE PAGO]]-PROVEEDORES[[#This Row],[FECHA DE FACTURACIÓN]])&gt;PROVEEDORES[[#This Row],[PLAZO Días]],"PAGO VENCIDO")</f>
        <v>0</v>
      </c>
      <c r="C1186" s="25">
        <f>+VLOOKUP(PROVEEDORES[[#This Row],[PROVEEDOR]],TERCEROS_INFO[#All],2,FALSE)</f>
        <v>30</v>
      </c>
      <c r="D1186" s="30">
        <f>+SUMIFS(PROVEEDORES[Total],PROVEEDORES[PROVEEDOR],PROVEEDORES[[#This Row],[PROVEEDOR]],PROVEEDORES[FECHA DE PAGO],"")</f>
        <v>0</v>
      </c>
      <c r="E1186" s="30"/>
      <c r="F1186" s="73" t="str">
        <f>+VLOOKUP(PROVEEDORES[[#This Row],[PROVEEDOR]],TERCEROS_INFO[[PROVEEDOR]:[CORREO]],5,FALSE)</f>
        <v/>
      </c>
      <c r="G1186" s="111">
        <v>44581</v>
      </c>
      <c r="H1186" s="31" t="s">
        <v>1007</v>
      </c>
      <c r="I1186" s="111">
        <v>44576</v>
      </c>
      <c r="J1186" s="48" t="s">
        <v>1008</v>
      </c>
      <c r="K1186" s="26">
        <v>2056000</v>
      </c>
      <c r="L1186" s="26"/>
      <c r="M1186" s="27">
        <v>0</v>
      </c>
      <c r="N1186" s="28"/>
      <c r="O1186" s="27">
        <v>0</v>
      </c>
      <c r="P1186" s="28">
        <v>0</v>
      </c>
      <c r="Q1186" s="27">
        <v>0</v>
      </c>
      <c r="R1186" s="26">
        <v>2056000</v>
      </c>
      <c r="S1186" s="115">
        <f ca="1">IF(PROVEEDORES[[#This Row],[FECHA DE PAGO]]=0,TODAY()-PROVEEDORES[[#This Row],[FECHA DE FACTURACIÓN]]-PROVEEDORES[[#This Row],[PLAZO Días]],0)</f>
        <v>0</v>
      </c>
      <c r="T118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7" spans="1:20" ht="21.9" customHeight="1" x14ac:dyDescent="0.3">
      <c r="A1187" s="113" t="str">
        <f>+IF(PROVEEDORES[[#This Row],[FECHA DE PAGO]]=PROVEEDORES[[#This Row],[FECHA DE FACTURACIÓN]],"DE CONTADO","CRÉDITO")</f>
        <v>CRÉDITO</v>
      </c>
      <c r="B1187" s="51" t="b">
        <f>+IF((PROVEEDORES[[#This Row],[FECHA DE PAGO]]-PROVEEDORES[[#This Row],[FECHA DE FACTURACIÓN]])&gt;PROVEEDORES[[#This Row],[PLAZO Días]],"PAGO VENCIDO")</f>
        <v>0</v>
      </c>
      <c r="C1187" s="25">
        <f>+VLOOKUP(PROVEEDORES[[#This Row],[PROVEEDOR]],TERCEROS_INFO[#All],2,FALSE)</f>
        <v>30</v>
      </c>
      <c r="D1187" s="30">
        <f>+SUMIFS(PROVEEDORES[Total],PROVEEDORES[PROVEEDOR],PROVEEDORES[[#This Row],[PROVEEDOR]],PROVEEDORES[FECHA DE PAGO],"")</f>
        <v>0</v>
      </c>
      <c r="E1187" s="30"/>
      <c r="F1187" s="73" t="str">
        <f>+VLOOKUP(PROVEEDORES[[#This Row],[PROVEEDOR]],TERCEROS_INFO[[PROVEEDOR]:[CORREO]],5,FALSE)</f>
        <v>oswaldo.alvarez@logimexsas.com;girlesa.ruiz@servipilas.com;joriescobar64@gmail.com</v>
      </c>
      <c r="G1187" s="111">
        <v>44579</v>
      </c>
      <c r="H1187" s="31" t="s">
        <v>966</v>
      </c>
      <c r="I1187" s="111">
        <v>44578</v>
      </c>
      <c r="J1187" s="48" t="s">
        <v>967</v>
      </c>
      <c r="K1187" s="26">
        <v>1776000</v>
      </c>
      <c r="L1187" s="26"/>
      <c r="M1187" s="27">
        <v>0</v>
      </c>
      <c r="N1187" s="28"/>
      <c r="O1187" s="27">
        <v>0</v>
      </c>
      <c r="P1187" s="28">
        <v>0</v>
      </c>
      <c r="Q1187" s="27">
        <v>0</v>
      </c>
      <c r="R1187" s="26">
        <v>1776000</v>
      </c>
      <c r="S1187" s="115">
        <f ca="1">IF(PROVEEDORES[[#This Row],[FECHA DE PAGO]]=0,TODAY()-PROVEEDORES[[#This Row],[FECHA DE FACTURACIÓN]]-PROVEEDORES[[#This Row],[PLAZO Días]],0)</f>
        <v>0</v>
      </c>
      <c r="T11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8" spans="1:20" ht="21.9" customHeight="1" x14ac:dyDescent="0.3">
      <c r="A1188" s="113" t="str">
        <f>+IF(PROVEEDORES[[#This Row],[FECHA DE PAGO]]=PROVEEDORES[[#This Row],[FECHA DE FACTURACIÓN]],"DE CONTADO","CRÉDITO")</f>
        <v>CRÉDITO</v>
      </c>
      <c r="B1188" s="51" t="b">
        <f>+IF((PROVEEDORES[[#This Row],[FECHA DE PAGO]]-PROVEEDORES[[#This Row],[FECHA DE FACTURACIÓN]])&gt;PROVEEDORES[[#This Row],[PLAZO Días]],"PAGO VENCIDO")</f>
        <v>0</v>
      </c>
      <c r="C1188" s="25">
        <f>+VLOOKUP(PROVEEDORES[[#This Row],[PROVEEDOR]],TERCEROS_INFO[#All],2,FALSE)</f>
        <v>30</v>
      </c>
      <c r="D1188" s="30">
        <f>+SUMIFS(PROVEEDORES[Total],PROVEEDORES[PROVEEDOR],PROVEEDORES[[#This Row],[PROVEEDOR]],PROVEEDORES[FECHA DE PAGO],"")</f>
        <v>0</v>
      </c>
      <c r="E1188" s="30"/>
      <c r="F1188" s="73" t="str">
        <f>+VLOOKUP(PROVEEDORES[[#This Row],[PROVEEDOR]],TERCEROS_INFO[[PROVEEDOR]:[CORREO]],5,FALSE)</f>
        <v/>
      </c>
      <c r="G1188" s="111">
        <v>44579</v>
      </c>
      <c r="H1188" s="31" t="s">
        <v>117</v>
      </c>
      <c r="I1188" s="111">
        <v>44578</v>
      </c>
      <c r="J1188" s="48" t="s">
        <v>965</v>
      </c>
      <c r="K1188" s="26">
        <v>6935000</v>
      </c>
      <c r="L1188" s="26"/>
      <c r="M1188" s="27">
        <v>0</v>
      </c>
      <c r="N1188" s="28"/>
      <c r="O1188" s="27">
        <v>0</v>
      </c>
      <c r="P1188" s="28">
        <v>0</v>
      </c>
      <c r="Q1188" s="27">
        <v>0</v>
      </c>
      <c r="R1188" s="26">
        <v>6935000</v>
      </c>
      <c r="S1188" s="115">
        <f ca="1">IF(PROVEEDORES[[#This Row],[FECHA DE PAGO]]=0,TODAY()-PROVEEDORES[[#This Row],[FECHA DE FACTURACIÓN]]-PROVEEDORES[[#This Row],[PLAZO Días]],0)</f>
        <v>0</v>
      </c>
      <c r="T11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89" spans="1:20" ht="21.9" customHeight="1" x14ac:dyDescent="0.3">
      <c r="A1189" s="113" t="str">
        <f>+IF(PROVEEDORES[[#This Row],[FECHA DE PAGO]]=PROVEEDORES[[#This Row],[FECHA DE FACTURACIÓN]],"DE CONTADO","CRÉDITO")</f>
        <v>CRÉDITO</v>
      </c>
      <c r="B1189" s="51" t="str">
        <f>+IF((PROVEEDORES[[#This Row],[FECHA DE PAGO]]-PROVEEDORES[[#This Row],[FECHA DE FACTURACIÓN]])&gt;PROVEEDORES[[#This Row],[PLAZO Días]],"PAGO VENCIDO")</f>
        <v>PAGO VENCIDO</v>
      </c>
      <c r="C1189" s="25">
        <f>+VLOOKUP(PROVEEDORES[[#This Row],[PROVEEDOR]],TERCEROS_INFO[#All],2,FALSE)</f>
        <v>30</v>
      </c>
      <c r="D1189" s="30">
        <f>+SUMIFS(PROVEEDORES[Total],PROVEEDORES[PROVEEDOR],PROVEEDORES[[#This Row],[PROVEEDOR]],PROVEEDORES[FECHA DE PAGO],"")</f>
        <v>4078650.6</v>
      </c>
      <c r="E1189" s="30"/>
      <c r="F1189" s="73" t="str">
        <f>+VLOOKUP(PROVEEDORES[[#This Row],[PROVEEDOR]],TERCEROS_INFO[[PROVEEDOR]:[CORREO]],5,FALSE)</f>
        <v>financiera@nalpicentral.com;girlesa.ruiz@servipilas.com;joriescobar64@gmail.com</v>
      </c>
      <c r="G1189" s="111">
        <v>44614</v>
      </c>
      <c r="H1189" s="31" t="s">
        <v>1095</v>
      </c>
      <c r="I1189" s="111">
        <v>44579</v>
      </c>
      <c r="J1189" s="48">
        <v>24344</v>
      </c>
      <c r="K1189" s="26">
        <v>640000</v>
      </c>
      <c r="L1189" s="26"/>
      <c r="M1189" s="27">
        <v>121600</v>
      </c>
      <c r="N1189" s="28"/>
      <c r="O1189" s="27">
        <v>0</v>
      </c>
      <c r="P1189" s="28">
        <v>0</v>
      </c>
      <c r="Q1189" s="27">
        <v>0</v>
      </c>
      <c r="R1189" s="26">
        <v>761600</v>
      </c>
      <c r="S1189" s="115">
        <f ca="1">IF(PROVEEDORES[[#This Row],[FECHA DE PAGO]]=0,TODAY()-PROVEEDORES[[#This Row],[FECHA DE FACTURACIÓN]]-PROVEEDORES[[#This Row],[PLAZO Días]],0)</f>
        <v>0</v>
      </c>
      <c r="T11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0" spans="1:20" ht="21.9" customHeight="1" x14ac:dyDescent="0.3">
      <c r="A1190" s="113" t="str">
        <f>+IF(PROVEEDORES[[#This Row],[FECHA DE PAGO]]=PROVEEDORES[[#This Row],[FECHA DE FACTURACIÓN]],"DE CONTADO","CRÉDITO")</f>
        <v>CRÉDITO</v>
      </c>
      <c r="B1190" s="51" t="str">
        <f>+IF((PROVEEDORES[[#This Row],[FECHA DE PAGO]]-PROVEEDORES[[#This Row],[FECHA DE FACTURACIÓN]])&gt;PROVEEDORES[[#This Row],[PLAZO Días]],"PAGO VENCIDO")</f>
        <v>PAGO VENCIDO</v>
      </c>
      <c r="C1190" s="25">
        <f>+VLOOKUP(PROVEEDORES[[#This Row],[PROVEEDOR]],TERCEROS_INFO[#All],2,FALSE)</f>
        <v>45</v>
      </c>
      <c r="D1190" s="30">
        <f>+SUMIFS(PROVEEDORES[Total],PROVEEDORES[PROVEEDOR],PROVEEDORES[[#This Row],[PROVEEDOR]],PROVEEDORES[FECHA DE PAGO],"")</f>
        <v>1070024.2</v>
      </c>
      <c r="E1190" s="30"/>
      <c r="F1190" s="73" t="str">
        <f>+VLOOKUP(PROVEEDORES[[#This Row],[PROVEEDOR]],TERCEROS_INFO[[PROVEEDOR]:[CORREO]],5,FALSE)</f>
        <v>libardopineda@tronex.com;girlesa.ruiz@servipilas.com;joriescobar64@gmail.com</v>
      </c>
      <c r="G1190" s="111">
        <v>44650</v>
      </c>
      <c r="H1190" s="31" t="s">
        <v>10</v>
      </c>
      <c r="I1190" s="111">
        <v>44579</v>
      </c>
      <c r="J1190" s="48" t="s">
        <v>1164</v>
      </c>
      <c r="K1190" s="26">
        <v>990000</v>
      </c>
      <c r="L1190" s="26"/>
      <c r="M1190" s="27">
        <v>188100</v>
      </c>
      <c r="N1190" s="28"/>
      <c r="O1190" s="27">
        <v>0</v>
      </c>
      <c r="P1190" s="28">
        <v>0</v>
      </c>
      <c r="Q1190" s="27">
        <v>0</v>
      </c>
      <c r="R1190" s="26">
        <v>1178100</v>
      </c>
      <c r="S1190" s="115">
        <f ca="1">IF(PROVEEDORES[[#This Row],[FECHA DE PAGO]]=0,TODAY()-PROVEEDORES[[#This Row],[FECHA DE FACTURACIÓN]]-PROVEEDORES[[#This Row],[PLAZO Días]],0)</f>
        <v>0</v>
      </c>
      <c r="T11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1" spans="1:20" ht="21.9" customHeight="1" x14ac:dyDescent="0.3">
      <c r="A1191" s="113" t="str">
        <f>+IF(PROVEEDORES[[#This Row],[FECHA DE PAGO]]=PROVEEDORES[[#This Row],[FECHA DE FACTURACIÓN]],"DE CONTADO","CRÉDITO")</f>
        <v>CRÉDITO</v>
      </c>
      <c r="B1191" s="51" t="str">
        <f>+IF((PROVEEDORES[[#This Row],[FECHA DE PAGO]]-PROVEEDORES[[#This Row],[FECHA DE FACTURACIÓN]])&gt;PROVEEDORES[[#This Row],[PLAZO Días]],"PAGO VENCIDO")</f>
        <v>PAGO VENCIDO</v>
      </c>
      <c r="C1191" s="25">
        <f>+VLOOKUP(PROVEEDORES[[#This Row],[PROVEEDOR]],TERCEROS_INFO[#All],2,FALSE)</f>
        <v>30</v>
      </c>
      <c r="D1191" s="30">
        <f>+SUMIFS(PROVEEDORES[Total],PROVEEDORES[PROVEEDOR],PROVEEDORES[[#This Row],[PROVEEDOR]],PROVEEDORES[FECHA DE PAGO],"")</f>
        <v>0</v>
      </c>
      <c r="E1191" s="30"/>
      <c r="F1191" s="73" t="str">
        <f>+VLOOKUP(PROVEEDORES[[#This Row],[PROVEEDOR]],TERCEROS_INFO[[PROVEEDOR]:[CORREO]],5,FALSE)</f>
        <v>tesoreria@makingbusiness.com.co;girlesa.ruiz@servipilas.com;joriescobar64@gmail.com</v>
      </c>
      <c r="G1191" s="111">
        <v>44624</v>
      </c>
      <c r="H1191" s="31" t="s">
        <v>32</v>
      </c>
      <c r="I1191" s="111">
        <v>44579</v>
      </c>
      <c r="J1191" s="48" t="s">
        <v>979</v>
      </c>
      <c r="K1191" s="26">
        <v>2379411.12</v>
      </c>
      <c r="L1191" s="26"/>
      <c r="M1191" s="27">
        <v>452088.1128</v>
      </c>
      <c r="N1191" s="28"/>
      <c r="O1191" s="27">
        <v>0</v>
      </c>
      <c r="P1191" s="28">
        <v>2.5000000000000001E-2</v>
      </c>
      <c r="Q1191" s="27">
        <v>59485.278000000006</v>
      </c>
      <c r="R1191" s="26">
        <v>2772013.9548000004</v>
      </c>
      <c r="S1191" s="115">
        <f ca="1">IF(PROVEEDORES[[#This Row],[FECHA DE PAGO]]=0,TODAY()-PROVEEDORES[[#This Row],[FECHA DE FACTURACIÓN]]-PROVEEDORES[[#This Row],[PLAZO Días]],0)</f>
        <v>0</v>
      </c>
      <c r="T11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2" spans="1:20" ht="21.9" customHeight="1" x14ac:dyDescent="0.3">
      <c r="A1192" s="113" t="str">
        <f>+IF(PROVEEDORES[[#This Row],[FECHA DE PAGO]]=PROVEEDORES[[#This Row],[FECHA DE FACTURACIÓN]],"DE CONTADO","CRÉDITO")</f>
        <v>CRÉDITO</v>
      </c>
      <c r="B1192" s="51" t="str">
        <f>+IF((PROVEEDORES[[#This Row],[FECHA DE PAGO]]-PROVEEDORES[[#This Row],[FECHA DE FACTURACIÓN]])&gt;PROVEEDORES[[#This Row],[PLAZO Días]],"PAGO VENCIDO")</f>
        <v>PAGO VENCIDO</v>
      </c>
      <c r="C1192" s="25">
        <f>+VLOOKUP(PROVEEDORES[[#This Row],[PROVEEDOR]],TERCEROS_INFO[#All],2,FALSE)</f>
        <v>30</v>
      </c>
      <c r="D1192" s="30">
        <f>+SUMIFS(PROVEEDORES[Total],PROVEEDORES[PROVEEDOR],PROVEEDORES[[#This Row],[PROVEEDOR]],PROVEEDORES[FECHA DE PAGO],"")</f>
        <v>10764600</v>
      </c>
      <c r="E1192" s="30"/>
      <c r="F1192" s="73" t="str">
        <f>+VLOOKUP(PROVEEDORES[[#This Row],[PROVEEDOR]],TERCEROS_INFO[[PROVEEDOR]:[CORREO]],5,FALSE)</f>
        <v>apresupuesto@widexcolombia.com;girlesa.ruiz@servipilas.com;joriescobar64@gmail.com</v>
      </c>
      <c r="G1192" s="111">
        <v>44624</v>
      </c>
      <c r="H1192" s="31" t="s">
        <v>11</v>
      </c>
      <c r="I1192" s="111">
        <v>44579</v>
      </c>
      <c r="J1192" s="48" t="s">
        <v>976</v>
      </c>
      <c r="K1192" s="26">
        <v>2740840</v>
      </c>
      <c r="L1192" s="26"/>
      <c r="M1192" s="27">
        <v>520759.60000000003</v>
      </c>
      <c r="N1192" s="28"/>
      <c r="O1192" s="27">
        <v>0</v>
      </c>
      <c r="P1192" s="28">
        <v>2.5000000000000001E-2</v>
      </c>
      <c r="Q1192" s="27">
        <v>68521</v>
      </c>
      <c r="R1192" s="26">
        <v>3193078.6</v>
      </c>
      <c r="S1192" s="115">
        <f ca="1">IF(PROVEEDORES[[#This Row],[FECHA DE PAGO]]=0,TODAY()-PROVEEDORES[[#This Row],[FECHA DE FACTURACIÓN]]-PROVEEDORES[[#This Row],[PLAZO Días]],0)</f>
        <v>0</v>
      </c>
      <c r="T11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3" spans="1:20" ht="21.9" customHeight="1" x14ac:dyDescent="0.3">
      <c r="A1193" s="113" t="str">
        <f>+IF(PROVEEDORES[[#This Row],[FECHA DE PAGO]]=PROVEEDORES[[#This Row],[FECHA DE FACTURACIÓN]],"DE CONTADO","CRÉDITO")</f>
        <v>CRÉDITO</v>
      </c>
      <c r="B1193" s="51" t="b">
        <f>+IF((PROVEEDORES[[#This Row],[FECHA DE PAGO]]-PROVEEDORES[[#This Row],[FECHA DE FACTURACIÓN]])&gt;PROVEEDORES[[#This Row],[PLAZO Días]],"PAGO VENCIDO")</f>
        <v>0</v>
      </c>
      <c r="C1193" s="25">
        <f>+VLOOKUP(PROVEEDORES[[#This Row],[PROVEEDOR]],TERCEROS_INFO[#All],2,FALSE)</f>
        <v>30</v>
      </c>
      <c r="D1193" s="30">
        <f>+SUMIFS(PROVEEDORES[Total],PROVEEDORES[PROVEEDOR],PROVEEDORES[[#This Row],[PROVEEDOR]],PROVEEDORES[FECHA DE PAGO],"")</f>
        <v>1645000</v>
      </c>
      <c r="E1193" s="30"/>
      <c r="F1193" s="73" t="str">
        <f>+VLOOKUP(PROVEEDORES[[#This Row],[PROVEEDOR]],TERCEROS_INFO[[PROVEEDOR]:[CORREO]],5,FALSE)</f>
        <v/>
      </c>
      <c r="G1193" s="111">
        <v>44588</v>
      </c>
      <c r="H1193" s="31" t="s">
        <v>1070</v>
      </c>
      <c r="I1193" s="111">
        <v>44580</v>
      </c>
      <c r="J1193" s="48" t="s">
        <v>970</v>
      </c>
      <c r="K1193" s="26">
        <v>699000</v>
      </c>
      <c r="L1193" s="26"/>
      <c r="M1193" s="27">
        <v>0</v>
      </c>
      <c r="N1193" s="28"/>
      <c r="O1193" s="27">
        <v>0</v>
      </c>
      <c r="P1193" s="28">
        <v>0</v>
      </c>
      <c r="Q1193" s="27">
        <v>0</v>
      </c>
      <c r="R1193" s="26">
        <v>699000</v>
      </c>
      <c r="S1193" s="115">
        <f ca="1">IF(PROVEEDORES[[#This Row],[FECHA DE PAGO]]=0,TODAY()-PROVEEDORES[[#This Row],[FECHA DE FACTURACIÓN]]-PROVEEDORES[[#This Row],[PLAZO Días]],0)</f>
        <v>0</v>
      </c>
      <c r="T11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4" spans="1:20" ht="21.9" customHeight="1" x14ac:dyDescent="0.3">
      <c r="A1194" s="113" t="str">
        <f>+IF(PROVEEDORES[[#This Row],[FECHA DE PAGO]]=PROVEEDORES[[#This Row],[FECHA DE FACTURACIÓN]],"DE CONTADO","CRÉDITO")</f>
        <v>CRÉDITO</v>
      </c>
      <c r="B1194" s="51" t="str">
        <f>+IF((PROVEEDORES[[#This Row],[FECHA DE PAGO]]-PROVEEDORES[[#This Row],[FECHA DE FACTURACIÓN]])&gt;PROVEEDORES[[#This Row],[PLAZO Días]],"PAGO VENCIDO")</f>
        <v>PAGO VENCIDO</v>
      </c>
      <c r="C1194" s="25">
        <f>+VLOOKUP(PROVEEDORES[[#This Row],[PROVEEDOR]],TERCEROS_INFO[#All],2,FALSE)</f>
        <v>30</v>
      </c>
      <c r="D1194" s="30">
        <f>+SUMIFS(PROVEEDORES[Total],PROVEEDORES[PROVEEDOR],PROVEEDORES[[#This Row],[PROVEEDOR]],PROVEEDORES[FECHA DE PAGO],"")</f>
        <v>1119790</v>
      </c>
      <c r="E1194" s="30"/>
      <c r="F1194" s="73" t="str">
        <f>+VLOOKUP(PROVEEDORES[[#This Row],[PROVEEDOR]],TERCEROS_INFO[[PROVEEDOR]:[CORREO]],5,FALSE)</f>
        <v>MVALENCIA@mps.com.co;girlesa.ruiz@servipilas.com;joriescobar64@gmail.com</v>
      </c>
      <c r="G1194" s="111">
        <v>44617</v>
      </c>
      <c r="H1194" s="31" t="s">
        <v>17</v>
      </c>
      <c r="I1194" s="111">
        <v>44580</v>
      </c>
      <c r="J1194" s="48">
        <v>1864904</v>
      </c>
      <c r="K1194" s="26">
        <v>1440260</v>
      </c>
      <c r="L1194" s="26"/>
      <c r="M1194" s="27">
        <v>273649.40000000002</v>
      </c>
      <c r="N1194" s="28"/>
      <c r="O1194" s="27">
        <v>0</v>
      </c>
      <c r="P1194" s="28">
        <v>0</v>
      </c>
      <c r="Q1194" s="27">
        <v>0</v>
      </c>
      <c r="R1194" s="26">
        <v>1713909.4</v>
      </c>
      <c r="S1194" s="115">
        <f ca="1">IF(PROVEEDORES[[#This Row],[FECHA DE PAGO]]=0,TODAY()-PROVEEDORES[[#This Row],[FECHA DE FACTURACIÓN]]-PROVEEDORES[[#This Row],[PLAZO Días]],0)</f>
        <v>0</v>
      </c>
      <c r="T11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5" spans="1:20" ht="21.9" customHeight="1" x14ac:dyDescent="0.3">
      <c r="A1195" s="113" t="str">
        <f>+IF(PROVEEDORES[[#This Row],[FECHA DE PAGO]]=PROVEEDORES[[#This Row],[FECHA DE FACTURACIÓN]],"DE CONTADO","CRÉDITO")</f>
        <v>CRÉDITO</v>
      </c>
      <c r="B1195" s="51" t="b">
        <f>+IF((PROVEEDORES[[#This Row],[FECHA DE PAGO]]-PROVEEDORES[[#This Row],[FECHA DE FACTURACIÓN]])&gt;PROVEEDORES[[#This Row],[PLAZO Días]],"PAGO VENCIDO")</f>
        <v>0</v>
      </c>
      <c r="C1195" s="25">
        <f>+VLOOKUP(PROVEEDORES[[#This Row],[PROVEEDOR]],TERCEROS_INFO[#All],2,FALSE)</f>
        <v>30</v>
      </c>
      <c r="D1195" s="30">
        <f>+SUMIFS(PROVEEDORES[Total],PROVEEDORES[PROVEEDOR],PROVEEDORES[[#This Row],[PROVEEDOR]],PROVEEDORES[FECHA DE PAGO],"")</f>
        <v>0</v>
      </c>
      <c r="E1195" s="30"/>
      <c r="F1195" s="73" t="str">
        <f>+VLOOKUP(PROVEEDORES[[#This Row],[PROVEEDOR]],TERCEROS_INFO[[PROVEEDOR]:[CORREO]],5,FALSE)</f>
        <v/>
      </c>
      <c r="G1195" s="111">
        <v>44585</v>
      </c>
      <c r="H1195" s="31" t="s">
        <v>27</v>
      </c>
      <c r="I1195" s="111">
        <v>44580</v>
      </c>
      <c r="J1195" s="48">
        <v>130713</v>
      </c>
      <c r="K1195" s="26">
        <v>8864000</v>
      </c>
      <c r="L1195" s="26"/>
      <c r="M1195" s="27">
        <v>0</v>
      </c>
      <c r="N1195" s="28"/>
      <c r="O1195" s="27">
        <v>0</v>
      </c>
      <c r="P1195" s="28">
        <v>0</v>
      </c>
      <c r="Q1195" s="27">
        <v>0</v>
      </c>
      <c r="R1195" s="26">
        <v>8864000</v>
      </c>
      <c r="S1195" s="115">
        <f ca="1">IF(PROVEEDORES[[#This Row],[FECHA DE PAGO]]=0,TODAY()-PROVEEDORES[[#This Row],[FECHA DE FACTURACIÓN]]-PROVEEDORES[[#This Row],[PLAZO Días]],0)</f>
        <v>0</v>
      </c>
      <c r="T11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6" spans="1:20" ht="21.9" customHeight="1" x14ac:dyDescent="0.3">
      <c r="A1196" s="113" t="str">
        <f>+IF(PROVEEDORES[[#This Row],[FECHA DE PAGO]]=PROVEEDORES[[#This Row],[FECHA DE FACTURACIÓN]],"DE CONTADO","CRÉDITO")</f>
        <v>CRÉDITO</v>
      </c>
      <c r="B1196" s="51" t="str">
        <f>+IF((PROVEEDORES[[#This Row],[FECHA DE PAGO]]-PROVEEDORES[[#This Row],[FECHA DE FACTURACIÓN]])&gt;PROVEEDORES[[#This Row],[PLAZO Días]],"PAGO VENCIDO")</f>
        <v>PAGO VENCIDO</v>
      </c>
      <c r="C1196" s="25">
        <f>+VLOOKUP(PROVEEDORES[[#This Row],[PROVEEDOR]],TERCEROS_INFO[#All],2,FALSE)</f>
        <v>30</v>
      </c>
      <c r="D1196" s="30">
        <f>+SUMIFS(PROVEEDORES[Total],PROVEEDORES[PROVEEDOR],PROVEEDORES[[#This Row],[PROVEEDOR]],PROVEEDORES[FECHA DE PAGO],"")</f>
        <v>0</v>
      </c>
      <c r="E1196" s="30"/>
      <c r="F1196" s="73" t="str">
        <f>+VLOOKUP(PROVEEDORES[[#This Row],[PROVEEDOR]],TERCEROS_INFO[[PROVEEDOR]:[CORREO]],5,FALSE)</f>
        <v>cxc11@unitecusa.com.co;jefecartera@unitecusa.com.co;girlesa.ruiz@servipilas.com;joriescobar64@gmail.com</v>
      </c>
      <c r="G1196" s="111">
        <v>44614</v>
      </c>
      <c r="H1196" s="31" t="s">
        <v>14</v>
      </c>
      <c r="I1196" s="111">
        <v>44581</v>
      </c>
      <c r="J1196" s="48" t="s">
        <v>1171</v>
      </c>
      <c r="K1196" s="26">
        <v>509250</v>
      </c>
      <c r="L1196" s="26"/>
      <c r="M1196" s="27">
        <v>96757.5</v>
      </c>
      <c r="N1196" s="28">
        <v>0.02</v>
      </c>
      <c r="O1196" s="27">
        <v>10185</v>
      </c>
      <c r="P1196" s="28">
        <v>0</v>
      </c>
      <c r="Q1196" s="27">
        <v>0</v>
      </c>
      <c r="R1196" s="26">
        <v>595822.5</v>
      </c>
      <c r="S1196" s="115">
        <f ca="1">IF(PROVEEDORES[[#This Row],[FECHA DE PAGO]]=0,TODAY()-PROVEEDORES[[#This Row],[FECHA DE FACTURACIÓN]]-PROVEEDORES[[#This Row],[PLAZO Días]],0)</f>
        <v>0</v>
      </c>
      <c r="T119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7" spans="1:20" ht="21.9" customHeight="1" x14ac:dyDescent="0.3">
      <c r="A1197" s="113" t="str">
        <f>+IF(PROVEEDORES[[#This Row],[FECHA DE PAGO]]=PROVEEDORES[[#This Row],[FECHA DE FACTURACIÓN]],"DE CONTADO","CRÉDITO")</f>
        <v>DE CONTADO</v>
      </c>
      <c r="B1197" s="51" t="b">
        <f>+IF((PROVEEDORES[[#This Row],[FECHA DE PAGO]]-PROVEEDORES[[#This Row],[FECHA DE FACTURACIÓN]])&gt;PROVEEDORES[[#This Row],[PLAZO Días]],"PAGO VENCIDO")</f>
        <v>0</v>
      </c>
      <c r="C1197" s="25">
        <f>+VLOOKUP(PROVEEDORES[[#This Row],[PROVEEDOR]],TERCEROS_INFO[#All],2,FALSE)</f>
        <v>30</v>
      </c>
      <c r="D1197" s="30">
        <f>+SUMIFS(PROVEEDORES[Total],PROVEEDORES[PROVEEDOR],PROVEEDORES[[#This Row],[PROVEEDOR]],PROVEEDORES[FECHA DE PAGO],"")</f>
        <v>0</v>
      </c>
      <c r="E1197" s="30"/>
      <c r="F1197" s="73" t="str">
        <f>+VLOOKUP(PROVEEDORES[[#This Row],[PROVEEDOR]],TERCEROS_INFO[[PROVEEDOR]:[CORREO]],5,FALSE)</f>
        <v/>
      </c>
      <c r="G1197" s="111">
        <v>44581</v>
      </c>
      <c r="H1197" s="31" t="s">
        <v>1007</v>
      </c>
      <c r="I1197" s="111">
        <v>44581</v>
      </c>
      <c r="J1197" s="48" t="s">
        <v>1009</v>
      </c>
      <c r="K1197" s="26">
        <v>1920000</v>
      </c>
      <c r="L1197" s="26"/>
      <c r="M1197" s="27">
        <v>0</v>
      </c>
      <c r="N1197" s="28"/>
      <c r="O1197" s="27">
        <v>0</v>
      </c>
      <c r="P1197" s="28">
        <v>0</v>
      </c>
      <c r="Q1197" s="27">
        <v>0</v>
      </c>
      <c r="R1197" s="26">
        <v>0</v>
      </c>
      <c r="S1197" s="115">
        <f ca="1">IF(PROVEEDORES[[#This Row],[FECHA DE PAGO]]=0,TODAY()-PROVEEDORES[[#This Row],[FECHA DE FACTURACIÓN]]-PROVEEDORES[[#This Row],[PLAZO Días]],0)</f>
        <v>0</v>
      </c>
      <c r="T119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8" spans="1:20" ht="21.9" customHeight="1" x14ac:dyDescent="0.3">
      <c r="A1198" s="113" t="str">
        <f>+IF(PROVEEDORES[[#This Row],[FECHA DE PAGO]]=PROVEEDORES[[#This Row],[FECHA DE FACTURACIÓN]],"DE CONTADO","CRÉDITO")</f>
        <v>CRÉDITO</v>
      </c>
      <c r="B1198" s="51" t="b">
        <f>+IF((PROVEEDORES[[#This Row],[FECHA DE PAGO]]-PROVEEDORES[[#This Row],[FECHA DE FACTURACIÓN]])&gt;PROVEEDORES[[#This Row],[PLAZO Días]],"PAGO VENCIDO")</f>
        <v>0</v>
      </c>
      <c r="C1198" s="25">
        <f>+VLOOKUP(PROVEEDORES[[#This Row],[PROVEEDOR]],TERCEROS_INFO[#All],2,FALSE)</f>
        <v>45</v>
      </c>
      <c r="D1198" s="30">
        <f>+SUMIFS(PROVEEDORES[Total],PROVEEDORES[PROVEEDOR],PROVEEDORES[[#This Row],[PROVEEDOR]],PROVEEDORES[FECHA DE PAGO],"")</f>
        <v>17760678.600000001</v>
      </c>
      <c r="E1198" s="30"/>
      <c r="F1198" s="73" t="str">
        <f>+VLOOKUP(PROVEEDORES[[#This Row],[PROVEEDOR]],TERCEROS_INFO[[PROVEEDOR]:[CORREO]],5,FALSE)</f>
        <v>zully.florez@powest.com;girlesa.ruiz@servipilas.com;joriescobar64@gmail.com</v>
      </c>
      <c r="G1198" s="111">
        <v>44624</v>
      </c>
      <c r="H1198" s="31" t="s">
        <v>19</v>
      </c>
      <c r="I1198" s="111">
        <v>44581</v>
      </c>
      <c r="J1198" s="48" t="s">
        <v>1151</v>
      </c>
      <c r="K1198" s="26">
        <v>3491200</v>
      </c>
      <c r="L1198" s="26"/>
      <c r="M1198" s="27">
        <v>663328</v>
      </c>
      <c r="N1198" s="28"/>
      <c r="O1198" s="27">
        <v>0</v>
      </c>
      <c r="P1198" s="28">
        <v>0</v>
      </c>
      <c r="Q1198" s="27">
        <v>0</v>
      </c>
      <c r="R1198" s="26">
        <v>4154528</v>
      </c>
      <c r="S1198" s="115">
        <f ca="1">IF(PROVEEDORES[[#This Row],[FECHA DE PAGO]]=0,TODAY()-PROVEEDORES[[#This Row],[FECHA DE FACTURACIÓN]]-PROVEEDORES[[#This Row],[PLAZO Días]],0)</f>
        <v>0</v>
      </c>
      <c r="T11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199" spans="1:20" ht="21.9" customHeight="1" x14ac:dyDescent="0.3">
      <c r="A1199" s="113" t="str">
        <f>+IF(PROVEEDORES[[#This Row],[FECHA DE PAGO]]=PROVEEDORES[[#This Row],[FECHA DE FACTURACIÓN]],"DE CONTADO","CRÉDITO")</f>
        <v>CRÉDITO</v>
      </c>
      <c r="B1199" s="51" t="str">
        <f>+IF((PROVEEDORES[[#This Row],[FECHA DE PAGO]]-PROVEEDORES[[#This Row],[FECHA DE FACTURACIÓN]])&gt;PROVEEDORES[[#This Row],[PLAZO Días]],"PAGO VENCIDO")</f>
        <v>PAGO VENCIDO</v>
      </c>
      <c r="C1199" s="25">
        <f>+VLOOKUP(PROVEEDORES[[#This Row],[PROVEEDOR]],TERCEROS_INFO[#All],2,FALSE)</f>
        <v>30</v>
      </c>
      <c r="D1199" s="30">
        <f>+SUMIFS(PROVEEDORES[Total],PROVEEDORES[PROVEEDOR],PROVEEDORES[[#This Row],[PROVEEDOR]],PROVEEDORES[FECHA DE PAGO],"")</f>
        <v>0</v>
      </c>
      <c r="E1199" s="30"/>
      <c r="F1199" s="73" t="str">
        <f>+VLOOKUP(PROVEEDORES[[#This Row],[PROVEEDOR]],TERCEROS_INFO[[PROVEEDOR]:[CORREO]],5,FALSE)</f>
        <v/>
      </c>
      <c r="G1199" s="111">
        <v>44623</v>
      </c>
      <c r="H1199" s="31" t="s">
        <v>989</v>
      </c>
      <c r="I1199" s="111">
        <v>44582</v>
      </c>
      <c r="J1199" s="48" t="s">
        <v>990</v>
      </c>
      <c r="K1199" s="26">
        <v>811000</v>
      </c>
      <c r="L1199" s="26"/>
      <c r="M1199" s="27">
        <v>0</v>
      </c>
      <c r="N1199" s="28"/>
      <c r="O1199" s="27">
        <v>0</v>
      </c>
      <c r="P1199" s="28">
        <v>0</v>
      </c>
      <c r="Q1199" s="27">
        <v>0</v>
      </c>
      <c r="R1199" s="26">
        <v>811000</v>
      </c>
      <c r="S1199" s="115">
        <f ca="1">IF(PROVEEDORES[[#This Row],[FECHA DE PAGO]]=0,TODAY()-PROVEEDORES[[#This Row],[FECHA DE FACTURACIÓN]]-PROVEEDORES[[#This Row],[PLAZO Días]],0)</f>
        <v>0</v>
      </c>
      <c r="T11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0" spans="1:20" ht="21.9" customHeight="1" x14ac:dyDescent="0.3">
      <c r="A1200" s="113" t="str">
        <f>+IF(PROVEEDORES[[#This Row],[FECHA DE PAGO]]=PROVEEDORES[[#This Row],[FECHA DE FACTURACIÓN]],"DE CONTADO","CRÉDITO")</f>
        <v>DE CONTADO</v>
      </c>
      <c r="B1200" s="51" t="b">
        <f>+IF((PROVEEDORES[[#This Row],[FECHA DE PAGO]]-PROVEEDORES[[#This Row],[FECHA DE FACTURACIÓN]])&gt;PROVEEDORES[[#This Row],[PLAZO Días]],"PAGO VENCIDO")</f>
        <v>0</v>
      </c>
      <c r="C1200" s="25">
        <f>+VLOOKUP(PROVEEDORES[[#This Row],[PROVEEDOR]],TERCEROS_INFO[#All],2,FALSE)</f>
        <v>30</v>
      </c>
      <c r="D1200" s="30">
        <f>+SUMIFS(PROVEEDORES[Total],PROVEEDORES[PROVEEDOR],PROVEEDORES[[#This Row],[PROVEEDOR]],PROVEEDORES[FECHA DE PAGO],"")</f>
        <v>0</v>
      </c>
      <c r="E1200" s="30"/>
      <c r="F1200" s="73" t="str">
        <f>+VLOOKUP(PROVEEDORES[[#This Row],[PROVEEDOR]],TERCEROS_INFO[[PROVEEDOR]:[CORREO]],5,FALSE)</f>
        <v/>
      </c>
      <c r="G1200" s="111">
        <v>44582</v>
      </c>
      <c r="H1200" s="31" t="s">
        <v>1052</v>
      </c>
      <c r="I1200" s="111">
        <v>44582</v>
      </c>
      <c r="J1200" s="48"/>
      <c r="K1200" s="26">
        <v>1000000</v>
      </c>
      <c r="L1200" s="26"/>
      <c r="M1200" s="27">
        <v>0</v>
      </c>
      <c r="N1200" s="28"/>
      <c r="O1200" s="27">
        <v>0</v>
      </c>
      <c r="P1200" s="28">
        <v>0</v>
      </c>
      <c r="Q1200" s="27">
        <v>0</v>
      </c>
      <c r="R1200" s="26">
        <v>1000000</v>
      </c>
      <c r="S1200" s="115">
        <f ca="1">IF(PROVEEDORES[[#This Row],[FECHA DE PAGO]]=0,TODAY()-PROVEEDORES[[#This Row],[FECHA DE FACTURACIÓN]]-PROVEEDORES[[#This Row],[PLAZO Días]],0)</f>
        <v>0</v>
      </c>
      <c r="T120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1" spans="1:20" ht="21.9" customHeight="1" x14ac:dyDescent="0.3">
      <c r="A1201" s="113" t="str">
        <f>+IF(PROVEEDORES[[#This Row],[FECHA DE PAGO]]=PROVEEDORES[[#This Row],[FECHA DE FACTURACIÓN]],"DE CONTADO","CRÉDITO")</f>
        <v>CRÉDITO</v>
      </c>
      <c r="B1201" s="51" t="b">
        <f>+IF((PROVEEDORES[[#This Row],[FECHA DE PAGO]]-PROVEEDORES[[#This Row],[FECHA DE FACTURACIÓN]])&gt;PROVEEDORES[[#This Row],[PLAZO Días]],"PAGO VENCIDO")</f>
        <v>0</v>
      </c>
      <c r="C1201" s="25">
        <f>+VLOOKUP(PROVEEDORES[[#This Row],[PROVEEDOR]],TERCEROS_INFO[#All],2,FALSE)</f>
        <v>90</v>
      </c>
      <c r="D1201" s="30">
        <f>+SUMIFS(PROVEEDORES[Total],PROVEEDORES[PROVEEDOR],PROVEEDORES[[#This Row],[PROVEEDOR]],PROVEEDORES[FECHA DE PAGO],"")</f>
        <v>0</v>
      </c>
      <c r="E1201" s="30"/>
      <c r="F1201" s="73" t="str">
        <f>+VLOOKUP(PROVEEDORES[[#This Row],[PROVEEDOR]],TERCEROS_INFO[[PROVEEDOR]:[CORREO]],5,FALSE)</f>
        <v/>
      </c>
      <c r="G1201" s="111">
        <v>44656</v>
      </c>
      <c r="H1201" s="31" t="s">
        <v>1024</v>
      </c>
      <c r="I1201" s="111">
        <v>44582</v>
      </c>
      <c r="J1201" s="48" t="s">
        <v>1025</v>
      </c>
      <c r="K1201" s="26">
        <v>2842000</v>
      </c>
      <c r="L1201" s="26"/>
      <c r="M1201" s="27">
        <v>0</v>
      </c>
      <c r="N1201" s="28"/>
      <c r="O1201" s="27">
        <v>0</v>
      </c>
      <c r="P1201" s="28">
        <v>0</v>
      </c>
      <c r="Q1201" s="27">
        <v>0</v>
      </c>
      <c r="R1201" s="26">
        <v>2842000</v>
      </c>
      <c r="S1201" s="115">
        <f ca="1">IF(PROVEEDORES[[#This Row],[FECHA DE PAGO]]=0,TODAY()-PROVEEDORES[[#This Row],[FECHA DE FACTURACIÓN]]-PROVEEDORES[[#This Row],[PLAZO Días]],0)</f>
        <v>0</v>
      </c>
      <c r="T12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2" spans="1:20" ht="21.9" customHeight="1" x14ac:dyDescent="0.3">
      <c r="A1202" s="113" t="str">
        <f>+IF(PROVEEDORES[[#This Row],[FECHA DE PAGO]]=PROVEEDORES[[#This Row],[FECHA DE FACTURACIÓN]],"DE CONTADO","CRÉDITO")</f>
        <v>DE CONTADO</v>
      </c>
      <c r="B1202" s="51" t="b">
        <f>+IF((PROVEEDORES[[#This Row],[FECHA DE PAGO]]-PROVEEDORES[[#This Row],[FECHA DE FACTURACIÓN]])&gt;PROVEEDORES[[#This Row],[PLAZO Días]],"PAGO VENCIDO")</f>
        <v>0</v>
      </c>
      <c r="C1202" s="25">
        <f>+VLOOKUP(PROVEEDORES[[#This Row],[PROVEEDOR]],TERCEROS_INFO[#All],2,FALSE)</f>
        <v>30</v>
      </c>
      <c r="D1202" s="30">
        <f>+SUMIFS(PROVEEDORES[Total],PROVEEDORES[PROVEEDOR],PROVEEDORES[[#This Row],[PROVEEDOR]],PROVEEDORES[FECHA DE PAGO],"")</f>
        <v>0</v>
      </c>
      <c r="E1202" s="30"/>
      <c r="F1202" s="73" t="str">
        <f>+VLOOKUP(PROVEEDORES[[#This Row],[PROVEEDOR]],TERCEROS_INFO[[PROVEEDOR]:[CORREO]],5,FALSE)</f>
        <v/>
      </c>
      <c r="G1202" s="111">
        <v>44583</v>
      </c>
      <c r="H1202" s="31" t="s">
        <v>1003</v>
      </c>
      <c r="I1202" s="111">
        <v>44583</v>
      </c>
      <c r="J1202" s="48" t="s">
        <v>1004</v>
      </c>
      <c r="K1202" s="26">
        <v>510000</v>
      </c>
      <c r="L1202" s="26"/>
      <c r="M1202" s="27">
        <v>0</v>
      </c>
      <c r="N1202" s="28"/>
      <c r="O1202" s="27">
        <v>0</v>
      </c>
      <c r="P1202" s="28">
        <v>0</v>
      </c>
      <c r="Q1202" s="27">
        <v>0</v>
      </c>
      <c r="R1202" s="26">
        <v>510000</v>
      </c>
      <c r="S1202" s="115">
        <f ca="1">IF(PROVEEDORES[[#This Row],[FECHA DE PAGO]]=0,TODAY()-PROVEEDORES[[#This Row],[FECHA DE FACTURACIÓN]]-PROVEEDORES[[#This Row],[PLAZO Días]],0)</f>
        <v>0</v>
      </c>
      <c r="T12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3" spans="1:20" ht="21.9" customHeight="1" x14ac:dyDescent="0.3">
      <c r="A1203" s="113" t="str">
        <f>+IF(PROVEEDORES[[#This Row],[FECHA DE PAGO]]=PROVEEDORES[[#This Row],[FECHA DE FACTURACIÓN]],"DE CONTADO","CRÉDITO")</f>
        <v>CRÉDITO</v>
      </c>
      <c r="B1203" s="51" t="str">
        <f>+IF((PROVEEDORES[[#This Row],[FECHA DE PAGO]]-PROVEEDORES[[#This Row],[FECHA DE FACTURACIÓN]])&gt;PROVEEDORES[[#This Row],[PLAZO Días]],"PAGO VENCIDO")</f>
        <v>PAGO VENCIDO</v>
      </c>
      <c r="C1203" s="25">
        <f>+VLOOKUP(PROVEEDORES[[#This Row],[PROVEEDOR]],TERCEROS_INFO[#All],2,FALSE)</f>
        <v>30</v>
      </c>
      <c r="D1203" s="30">
        <f>+SUMIFS(PROVEEDORES[Total],PROVEEDORES[PROVEEDOR],PROVEEDORES[[#This Row],[PROVEEDOR]],PROVEEDORES[FECHA DE PAGO],"")</f>
        <v>0</v>
      </c>
      <c r="E1203" s="30"/>
      <c r="F1203" s="73" t="str">
        <f>+VLOOKUP(PROVEEDORES[[#This Row],[PROVEEDOR]],TERCEROS_INFO[[PROVEEDOR]:[CORREO]],5,FALSE)</f>
        <v>globalpowerc2018@gmail.com;girlesa.ruiz@servipilas.com;joriescobar64@gmail.com</v>
      </c>
      <c r="G1203" s="111">
        <v>44621</v>
      </c>
      <c r="H1203" s="31" t="s">
        <v>1057</v>
      </c>
      <c r="I1203" s="111">
        <v>44585</v>
      </c>
      <c r="J1203" s="48" t="s">
        <v>1058</v>
      </c>
      <c r="K1203" s="26">
        <v>2420000</v>
      </c>
      <c r="L1203" s="26"/>
      <c r="M1203" s="27">
        <v>0</v>
      </c>
      <c r="N1203" s="28"/>
      <c r="O1203" s="27">
        <v>0</v>
      </c>
      <c r="P1203" s="28">
        <v>0</v>
      </c>
      <c r="Q1203" s="27">
        <v>0</v>
      </c>
      <c r="R1203" s="26">
        <v>2420000</v>
      </c>
      <c r="S1203" s="115">
        <f ca="1">IF(PROVEEDORES[[#This Row],[FECHA DE PAGO]]=0,TODAY()-PROVEEDORES[[#This Row],[FECHA DE FACTURACIÓN]]-PROVEEDORES[[#This Row],[PLAZO Días]],0)</f>
        <v>0</v>
      </c>
      <c r="T12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4" spans="1:20" ht="21.9" customHeight="1" x14ac:dyDescent="0.3">
      <c r="A1204" s="113" t="str">
        <f>+IF(PROVEEDORES[[#This Row],[FECHA DE PAGO]]=PROVEEDORES[[#This Row],[FECHA DE FACTURACIÓN]],"DE CONTADO","CRÉDITO")</f>
        <v>CRÉDITO</v>
      </c>
      <c r="B1204" s="51" t="str">
        <f>+IF((PROVEEDORES[[#This Row],[FECHA DE PAGO]]-PROVEEDORES[[#This Row],[FECHA DE FACTURACIÓN]])&gt;PROVEEDORES[[#This Row],[PLAZO Días]],"PAGO VENCIDO")</f>
        <v>PAGO VENCIDO</v>
      </c>
      <c r="C1204" s="25">
        <f>+VLOOKUP(PROVEEDORES[[#This Row],[PROVEEDOR]],TERCEROS_INFO[#All],2,FALSE)</f>
        <v>30</v>
      </c>
      <c r="D1204" s="30">
        <f>+SUMIFS(PROVEEDORES[Total],PROVEEDORES[PROVEEDOR],PROVEEDORES[[#This Row],[PROVEEDOR]],PROVEEDORES[FECHA DE PAGO],"")</f>
        <v>3400186.8245000001</v>
      </c>
      <c r="E1204" s="30"/>
      <c r="F1204" s="73" t="str">
        <f>+VLOOKUP(PROVEEDORES[[#This Row],[PROVEEDOR]],TERCEROS_INFO[[PROVEEDOR]:[CORREO]],5,FALSE)</f>
        <v>contabilidad@amgimportadora.com;mcastellanos@amgimportadora.com;girlesa.ruiz@servipilas.com;joriescobar64@gmail.com</v>
      </c>
      <c r="G1204" s="111">
        <v>44657</v>
      </c>
      <c r="H1204" s="31" t="s">
        <v>20</v>
      </c>
      <c r="I1204" s="111">
        <v>44585</v>
      </c>
      <c r="J1204" s="48">
        <v>6124</v>
      </c>
      <c r="K1204" s="26">
        <v>4330819.2</v>
      </c>
      <c r="L1204" s="26"/>
      <c r="M1204" s="27">
        <v>822855.64800000004</v>
      </c>
      <c r="N1204" s="28"/>
      <c r="O1204" s="27">
        <v>0</v>
      </c>
      <c r="P1204" s="28">
        <v>2.5000000000000001E-2</v>
      </c>
      <c r="Q1204" s="27">
        <v>108270.48000000001</v>
      </c>
      <c r="R1204" s="26">
        <v>5045404.3679999998</v>
      </c>
      <c r="S1204" s="115">
        <f ca="1">IF(PROVEEDORES[[#This Row],[FECHA DE PAGO]]=0,TODAY()-PROVEEDORES[[#This Row],[FECHA DE FACTURACIÓN]]-PROVEEDORES[[#This Row],[PLAZO Días]],0)</f>
        <v>0</v>
      </c>
      <c r="T12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5" spans="1:20" ht="21.9" customHeight="1" x14ac:dyDescent="0.3">
      <c r="A1205" s="113" t="str">
        <f>+IF(PROVEEDORES[[#This Row],[FECHA DE PAGO]]=PROVEEDORES[[#This Row],[FECHA DE FACTURACIÓN]],"DE CONTADO","CRÉDITO")</f>
        <v>CRÉDITO</v>
      </c>
      <c r="B1205" s="51" t="b">
        <f>+IF((PROVEEDORES[[#This Row],[FECHA DE PAGO]]-PROVEEDORES[[#This Row],[FECHA DE FACTURACIÓN]])&gt;PROVEEDORES[[#This Row],[PLAZO Días]],"PAGO VENCIDO")</f>
        <v>0</v>
      </c>
      <c r="C1205" s="25">
        <f>+VLOOKUP(PROVEEDORES[[#This Row],[PROVEEDOR]],TERCEROS_INFO[#All],2,FALSE)</f>
        <v>30</v>
      </c>
      <c r="D1205" s="30">
        <f>+SUMIFS(PROVEEDORES[Total],PROVEEDORES[PROVEEDOR],PROVEEDORES[[#This Row],[PROVEEDOR]],PROVEEDORES[FECHA DE PAGO],"")</f>
        <v>24126684</v>
      </c>
      <c r="E1205" s="30"/>
      <c r="F1205" s="73">
        <f>+VLOOKUP(PROVEEDORES[[#This Row],[PROVEEDOR]],TERCEROS_INFO[[PROVEEDOR]:[CORREO]],5,FALSE)</f>
        <v>0</v>
      </c>
      <c r="H1205" s="31" t="s">
        <v>510</v>
      </c>
      <c r="I1205" s="111">
        <v>44585</v>
      </c>
      <c r="J1205" s="48" t="s">
        <v>1179</v>
      </c>
      <c r="K1205" s="26">
        <v>6152000</v>
      </c>
      <c r="L1205" s="26"/>
      <c r="M1205" s="27">
        <v>1168880</v>
      </c>
      <c r="N1205" s="28"/>
      <c r="O1205" s="27">
        <v>0</v>
      </c>
      <c r="P1205" s="28">
        <v>2.5000000000000001E-2</v>
      </c>
      <c r="Q1205" s="27">
        <v>153800</v>
      </c>
      <c r="R1205" s="26">
        <v>7167080</v>
      </c>
      <c r="S1205" s="115">
        <f ca="1">IF(PROVEEDORES[[#This Row],[FECHA DE PAGO]]=0,TODAY()-PROVEEDORES[[#This Row],[FECHA DE FACTURACIÓN]]-PROVEEDORES[[#This Row],[PLAZO Días]],0)</f>
        <v>53</v>
      </c>
      <c r="T1205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06" spans="1:20" ht="21.9" customHeight="1" x14ac:dyDescent="0.3">
      <c r="A1206" s="113" t="str">
        <f>+IF(PROVEEDORES[[#This Row],[FECHA DE PAGO]]=PROVEEDORES[[#This Row],[FECHA DE FACTURACIÓN]],"DE CONTADO","CRÉDITO")</f>
        <v>CRÉDITO</v>
      </c>
      <c r="B1206" s="51" t="b">
        <f>+IF((PROVEEDORES[[#This Row],[FECHA DE PAGO]]-PROVEEDORES[[#This Row],[FECHA DE FACTURACIÓN]])&gt;PROVEEDORES[[#This Row],[PLAZO Días]],"PAGO VENCIDO")</f>
        <v>0</v>
      </c>
      <c r="C1206" s="25">
        <f>+VLOOKUP(PROVEEDORES[[#This Row],[PROVEEDOR]],TERCEROS_INFO[#All],2,FALSE)</f>
        <v>60</v>
      </c>
      <c r="D1206" s="30">
        <f>+SUMIFS(PROVEEDORES[Total],PROVEEDORES[PROVEEDOR],PROVEEDORES[[#This Row],[PROVEEDOR]],PROVEEDORES[FECHA DE PAGO],"")</f>
        <v>602800</v>
      </c>
      <c r="E1206" s="30"/>
      <c r="F1206" s="73" t="str">
        <f>+VLOOKUP(PROVEEDORES[[#This Row],[PROVEEDOR]],TERCEROS_INFO[[PROVEEDOR]:[CORREO]],5,FALSE)</f>
        <v>jessica.barios.com@carpainternacional;girlesa.ruiz@servipilas.com;joriescobar64@gmail.com</v>
      </c>
      <c r="G1206" s="111">
        <v>44623</v>
      </c>
      <c r="H1206" s="31" t="s">
        <v>607</v>
      </c>
      <c r="I1206" s="111">
        <v>44586</v>
      </c>
      <c r="J1206" s="48" t="s">
        <v>1093</v>
      </c>
      <c r="K1206" s="26">
        <v>180400</v>
      </c>
      <c r="L1206" s="26"/>
      <c r="M1206" s="27">
        <v>0</v>
      </c>
      <c r="N1206" s="28"/>
      <c r="O1206" s="27">
        <v>0</v>
      </c>
      <c r="P1206" s="28">
        <v>0</v>
      </c>
      <c r="Q1206" s="27">
        <v>0</v>
      </c>
      <c r="R1206" s="26">
        <v>180400</v>
      </c>
      <c r="S1206" s="115">
        <f ca="1">IF(PROVEEDORES[[#This Row],[FECHA DE PAGO]]=0,TODAY()-PROVEEDORES[[#This Row],[FECHA DE FACTURACIÓN]]-PROVEEDORES[[#This Row],[PLAZO Días]],0)</f>
        <v>0</v>
      </c>
      <c r="T120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7" spans="1:20" ht="21.9" customHeight="1" x14ac:dyDescent="0.3">
      <c r="A1207" s="113" t="str">
        <f>+IF(PROVEEDORES[[#This Row],[FECHA DE PAGO]]=PROVEEDORES[[#This Row],[FECHA DE FACTURACIÓN]],"DE CONTADO","CRÉDITO")</f>
        <v>CRÉDITO</v>
      </c>
      <c r="B1207" s="51" t="b">
        <f>+IF((PROVEEDORES[[#This Row],[FECHA DE PAGO]]-PROVEEDORES[[#This Row],[FECHA DE FACTURACIÓN]])&gt;PROVEEDORES[[#This Row],[PLAZO Días]],"PAGO VENCIDO")</f>
        <v>0</v>
      </c>
      <c r="C1207" s="25">
        <f>+VLOOKUP(PROVEEDORES[[#This Row],[PROVEEDOR]],TERCEROS_INFO[#All],2,FALSE)</f>
        <v>30</v>
      </c>
      <c r="D1207" s="30">
        <f>+SUMIFS(PROVEEDORES[Total],PROVEEDORES[PROVEEDOR],PROVEEDORES[[#This Row],[PROVEEDOR]],PROVEEDORES[FECHA DE PAGO],"")</f>
        <v>-40927.67</v>
      </c>
      <c r="E1207" s="30"/>
      <c r="F1207" s="73" t="str">
        <f>+VLOOKUP(PROVEEDORES[[#This Row],[PROVEEDOR]],TERCEROS_INFO[[PROVEEDOR]:[CORREO]],5,FALSE)</f>
        <v>comercial4@apcmayorista.com;girlesa.ruiz@servipilas.com;joriescobar64@gmail.com</v>
      </c>
      <c r="H1207" s="31" t="s">
        <v>21</v>
      </c>
      <c r="I1207" s="111">
        <v>44587</v>
      </c>
      <c r="J1207" s="48" t="s">
        <v>1178</v>
      </c>
      <c r="K1207" s="26">
        <v>-34393</v>
      </c>
      <c r="L1207" s="26"/>
      <c r="M1207" s="27">
        <v>-6534.67</v>
      </c>
      <c r="N1207" s="28"/>
      <c r="O1207" s="27">
        <v>0</v>
      </c>
      <c r="P1207" s="28">
        <v>0</v>
      </c>
      <c r="Q1207" s="27">
        <v>0</v>
      </c>
      <c r="R1207" s="26">
        <v>-40927.67</v>
      </c>
      <c r="S1207" s="115">
        <f ca="1">IF(PROVEEDORES[[#This Row],[FECHA DE PAGO]]=0,TODAY()-PROVEEDORES[[#This Row],[FECHA DE FACTURACIÓN]]-PROVEEDORES[[#This Row],[PLAZO Días]],0)</f>
        <v>51</v>
      </c>
      <c r="T1207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08" spans="1:20" ht="21.9" customHeight="1" x14ac:dyDescent="0.3">
      <c r="A1208" s="113" t="str">
        <f>+IF(PROVEEDORES[[#This Row],[FECHA DE PAGO]]=PROVEEDORES[[#This Row],[FECHA DE FACTURACIÓN]],"DE CONTADO","CRÉDITO")</f>
        <v>CRÉDITO</v>
      </c>
      <c r="B1208" s="51" t="b">
        <f>+IF((PROVEEDORES[[#This Row],[FECHA DE PAGO]]-PROVEEDORES[[#This Row],[FECHA DE FACTURACIÓN]])&gt;PROVEEDORES[[#This Row],[PLAZO Días]],"PAGO VENCIDO")</f>
        <v>0</v>
      </c>
      <c r="C1208" s="25">
        <f>+VLOOKUP(PROVEEDORES[[#This Row],[PROVEEDOR]],TERCEROS_INFO[#All],2,FALSE)</f>
        <v>30</v>
      </c>
      <c r="D1208" s="30">
        <f>+SUMIFS(PROVEEDORES[Total],PROVEEDORES[PROVEEDOR],PROVEEDORES[[#This Row],[PROVEEDOR]],PROVEEDORES[FECHA DE PAGO],"")</f>
        <v>195500</v>
      </c>
      <c r="E1208" s="30"/>
      <c r="F1208" s="73" t="str">
        <f>+VLOOKUP(PROVEEDORES[[#This Row],[PROVEEDOR]],TERCEROS_INFO[[PROVEEDOR]:[CORREO]],5,FALSE)</f>
        <v/>
      </c>
      <c r="G1208" s="111">
        <v>44609</v>
      </c>
      <c r="H1208" s="31" t="s">
        <v>1053</v>
      </c>
      <c r="I1208" s="111">
        <v>44587</v>
      </c>
      <c r="J1208" s="48" t="s">
        <v>1054</v>
      </c>
      <c r="K1208" s="26">
        <v>271500</v>
      </c>
      <c r="L1208" s="26"/>
      <c r="M1208" s="27">
        <v>0</v>
      </c>
      <c r="N1208" s="28"/>
      <c r="O1208" s="27">
        <v>0</v>
      </c>
      <c r="P1208" s="28">
        <v>0</v>
      </c>
      <c r="Q1208" s="27">
        <v>0</v>
      </c>
      <c r="R1208" s="26">
        <v>271500</v>
      </c>
      <c r="S1208" s="115">
        <f ca="1">IF(PROVEEDORES[[#This Row],[FECHA DE PAGO]]=0,TODAY()-PROVEEDORES[[#This Row],[FECHA DE FACTURACIÓN]]-PROVEEDORES[[#This Row],[PLAZO Días]],0)</f>
        <v>0</v>
      </c>
      <c r="T12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09" spans="1:20" ht="21.9" customHeight="1" x14ac:dyDescent="0.3">
      <c r="A1209" s="113" t="str">
        <f>+IF(PROVEEDORES[[#This Row],[FECHA DE PAGO]]=PROVEEDORES[[#This Row],[FECHA DE FACTURACIÓN]],"DE CONTADO","CRÉDITO")</f>
        <v>CRÉDITO</v>
      </c>
      <c r="B1209" s="51" t="str">
        <f>+IF((PROVEEDORES[[#This Row],[FECHA DE PAGO]]-PROVEEDORES[[#This Row],[FECHA DE FACTURACIÓN]])&gt;PROVEEDORES[[#This Row],[PLAZO Días]],"PAGO VENCIDO")</f>
        <v>PAGO VENCIDO</v>
      </c>
      <c r="C1209" s="25">
        <f>+VLOOKUP(PROVEEDORES[[#This Row],[PROVEEDOR]],TERCEROS_INFO[#All],2,FALSE)</f>
        <v>45</v>
      </c>
      <c r="D1209" s="30">
        <f>+SUMIFS(PROVEEDORES[Total],PROVEEDORES[PROVEEDOR],PROVEEDORES[[#This Row],[PROVEEDOR]],PROVEEDORES[FECHA DE PAGO],"")</f>
        <v>1070024.2</v>
      </c>
      <c r="E1209" s="30"/>
      <c r="F1209" s="73" t="str">
        <f>+VLOOKUP(PROVEEDORES[[#This Row],[PROVEEDOR]],TERCEROS_INFO[[PROVEEDOR]:[CORREO]],5,FALSE)</f>
        <v>libardopineda@tronex.com;girlesa.ruiz@servipilas.com;joriescobar64@gmail.com</v>
      </c>
      <c r="G1209" s="111">
        <v>44656</v>
      </c>
      <c r="H1209" s="31" t="s">
        <v>10</v>
      </c>
      <c r="I1209" s="111">
        <v>44587</v>
      </c>
      <c r="J1209" s="48" t="s">
        <v>1166</v>
      </c>
      <c r="K1209" s="26">
        <v>1200000</v>
      </c>
      <c r="L1209" s="26"/>
      <c r="M1209" s="27">
        <v>228000</v>
      </c>
      <c r="N1209" s="28"/>
      <c r="O1209" s="27">
        <v>0</v>
      </c>
      <c r="P1209" s="28">
        <v>0</v>
      </c>
      <c r="Q1209" s="27">
        <v>0</v>
      </c>
      <c r="R1209" s="26">
        <v>1428000</v>
      </c>
      <c r="S1209" s="115">
        <f ca="1">IF(PROVEEDORES[[#This Row],[FECHA DE PAGO]]=0,TODAY()-PROVEEDORES[[#This Row],[FECHA DE FACTURACIÓN]]-PROVEEDORES[[#This Row],[PLAZO Días]],0)</f>
        <v>0</v>
      </c>
      <c r="T120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0" spans="1:20" ht="21.9" customHeight="1" x14ac:dyDescent="0.3">
      <c r="A1210" s="113" t="str">
        <f>+IF(PROVEEDORES[[#This Row],[FECHA DE PAGO]]=PROVEEDORES[[#This Row],[FECHA DE FACTURACIÓN]],"DE CONTADO","CRÉDITO")</f>
        <v>CRÉDITO</v>
      </c>
      <c r="B1210" s="51" t="str">
        <f>+IF((PROVEEDORES[[#This Row],[FECHA DE PAGO]]-PROVEEDORES[[#This Row],[FECHA DE FACTURACIÓN]])&gt;PROVEEDORES[[#This Row],[PLAZO Días]],"PAGO VENCIDO")</f>
        <v>PAGO VENCIDO</v>
      </c>
      <c r="C1210" s="25">
        <f>+VLOOKUP(PROVEEDORES[[#This Row],[PROVEEDOR]],TERCEROS_INFO[#All],2,FALSE)</f>
        <v>30</v>
      </c>
      <c r="D1210" s="30">
        <f>+SUMIFS(PROVEEDORES[Total],PROVEEDORES[PROVEEDOR],PROVEEDORES[[#This Row],[PROVEEDOR]],PROVEEDORES[FECHA DE PAGO],"")</f>
        <v>0</v>
      </c>
      <c r="E1210" s="30"/>
      <c r="F1210" s="73" t="str">
        <f>+VLOOKUP(PROVEEDORES[[#This Row],[PROVEEDOR]],TERCEROS_INFO[[PROVEEDOR]:[CORREO]],5,FALSE)</f>
        <v>avelinacomer@gmail.com;girlesa.ruiz@servipilas.com;joriescobar64@gmail.com</v>
      </c>
      <c r="G1210" s="111">
        <v>44620</v>
      </c>
      <c r="H1210" s="31" t="s">
        <v>1000</v>
      </c>
      <c r="I1210" s="111">
        <v>44587</v>
      </c>
      <c r="J1210" s="48" t="s">
        <v>1001</v>
      </c>
      <c r="K1210" s="26">
        <v>1412800</v>
      </c>
      <c r="L1210" s="26"/>
      <c r="M1210" s="27">
        <v>0</v>
      </c>
      <c r="N1210" s="28"/>
      <c r="O1210" s="27">
        <v>0</v>
      </c>
      <c r="P1210" s="28">
        <v>0</v>
      </c>
      <c r="Q1210" s="27">
        <v>0</v>
      </c>
      <c r="R1210" s="26">
        <v>1412800</v>
      </c>
      <c r="S1210" s="115">
        <f ca="1">IF(PROVEEDORES[[#This Row],[FECHA DE PAGO]]=0,TODAY()-PROVEEDORES[[#This Row],[FECHA DE FACTURACIÓN]]-PROVEEDORES[[#This Row],[PLAZO Días]],0)</f>
        <v>0</v>
      </c>
      <c r="T12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1" spans="1:20" ht="21.9" customHeight="1" x14ac:dyDescent="0.3">
      <c r="A1211" s="113" t="str">
        <f>+IF(PROVEEDORES[[#This Row],[FECHA DE PAGO]]=PROVEEDORES[[#This Row],[FECHA DE FACTURACIÓN]],"DE CONTADO","CRÉDITO")</f>
        <v>CRÉDITO</v>
      </c>
      <c r="B1211" s="51" t="str">
        <f>+IF((PROVEEDORES[[#This Row],[FECHA DE PAGO]]-PROVEEDORES[[#This Row],[FECHA DE FACTURACIÓN]])&gt;PROVEEDORES[[#This Row],[PLAZO Días]],"PAGO VENCIDO")</f>
        <v>PAGO VENCIDO</v>
      </c>
      <c r="C1211" s="25">
        <f>+VLOOKUP(PROVEEDORES[[#This Row],[PROVEEDOR]],TERCEROS_INFO[#All],2,FALSE)</f>
        <v>45</v>
      </c>
      <c r="D1211" s="30">
        <f>+SUMIFS(PROVEEDORES[Total],PROVEEDORES[PROVEEDOR],PROVEEDORES[[#This Row],[PROVEEDOR]],PROVEEDORES[FECHA DE PAGO],"")</f>
        <v>1070024.2</v>
      </c>
      <c r="E1211" s="30"/>
      <c r="F1211" s="73" t="str">
        <f>+VLOOKUP(PROVEEDORES[[#This Row],[PROVEEDOR]],TERCEROS_INFO[[PROVEEDOR]:[CORREO]],5,FALSE)</f>
        <v>libardopineda@tronex.com;girlesa.ruiz@servipilas.com;joriescobar64@gmail.com</v>
      </c>
      <c r="G1211" s="111">
        <v>44656</v>
      </c>
      <c r="H1211" s="31" t="s">
        <v>10</v>
      </c>
      <c r="I1211" s="111">
        <v>44587</v>
      </c>
      <c r="J1211" s="48" t="s">
        <v>1165</v>
      </c>
      <c r="K1211" s="26">
        <v>1600000</v>
      </c>
      <c r="L1211" s="26"/>
      <c r="M1211" s="27">
        <v>304000</v>
      </c>
      <c r="N1211" s="28"/>
      <c r="O1211" s="27">
        <v>0</v>
      </c>
      <c r="P1211" s="28">
        <v>0</v>
      </c>
      <c r="Q1211" s="27">
        <v>0</v>
      </c>
      <c r="R1211" s="26">
        <v>1904000</v>
      </c>
      <c r="S1211" s="115">
        <f ca="1">IF(PROVEEDORES[[#This Row],[FECHA DE PAGO]]=0,TODAY()-PROVEEDORES[[#This Row],[FECHA DE FACTURACIÓN]]-PROVEEDORES[[#This Row],[PLAZO Días]],0)</f>
        <v>0</v>
      </c>
      <c r="T12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2" spans="1:20" ht="21.9" customHeight="1" x14ac:dyDescent="0.3">
      <c r="A1212" s="113" t="str">
        <f>+IF(PROVEEDORES[[#This Row],[FECHA DE PAGO]]=PROVEEDORES[[#This Row],[FECHA DE FACTURACIÓN]],"DE CONTADO","CRÉDITO")</f>
        <v>CRÉDITO</v>
      </c>
      <c r="B1212" s="51" t="b">
        <f>+IF((PROVEEDORES[[#This Row],[FECHA DE PAGO]]-PROVEEDORES[[#This Row],[FECHA DE FACTURACIÓN]])&gt;PROVEEDORES[[#This Row],[PLAZO Días]],"PAGO VENCIDO")</f>
        <v>0</v>
      </c>
      <c r="C1212" s="25">
        <f>+VLOOKUP(PROVEEDORES[[#This Row],[PROVEEDOR]],TERCEROS_INFO[#All],2,FALSE)</f>
        <v>30</v>
      </c>
      <c r="D1212" s="30">
        <f>+SUMIFS(PROVEEDORES[Total],PROVEEDORES[PROVEEDOR],PROVEEDORES[[#This Row],[PROVEEDOR]],PROVEEDORES[FECHA DE PAGO],"")</f>
        <v>0</v>
      </c>
      <c r="E1212" s="30"/>
      <c r="F1212" s="73" t="str">
        <f>+VLOOKUP(PROVEEDORES[[#This Row],[PROVEEDOR]],TERCEROS_INFO[[PROVEEDOR]:[CORREO]],5,FALSE)</f>
        <v>??;girlesa.ruiz@servipilas.com;joriescobar64@gmail.com</v>
      </c>
      <c r="G1212" s="111">
        <v>44588</v>
      </c>
      <c r="H1212" s="31" t="s">
        <v>455</v>
      </c>
      <c r="I1212" s="111">
        <v>44587</v>
      </c>
      <c r="J1212" s="48">
        <v>130713</v>
      </c>
      <c r="K1212" s="26">
        <v>1874000</v>
      </c>
      <c r="L1212" s="26"/>
      <c r="M1212" s="27">
        <v>0</v>
      </c>
      <c r="N1212" s="28"/>
      <c r="O1212" s="27">
        <v>0</v>
      </c>
      <c r="P1212" s="28">
        <v>0</v>
      </c>
      <c r="Q1212" s="27">
        <v>0</v>
      </c>
      <c r="R1212" s="26">
        <v>1874000</v>
      </c>
      <c r="S1212" s="115">
        <f ca="1">IF(PROVEEDORES[[#This Row],[FECHA DE PAGO]]=0,TODAY()-PROVEEDORES[[#This Row],[FECHA DE FACTURACIÓN]]-PROVEEDORES[[#This Row],[PLAZO Días]],0)</f>
        <v>0</v>
      </c>
      <c r="T12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3" spans="1:20" ht="21.9" customHeight="1" x14ac:dyDescent="0.3">
      <c r="A1213" s="113" t="str">
        <f>+IF(PROVEEDORES[[#This Row],[FECHA DE PAGO]]=PROVEEDORES[[#This Row],[FECHA DE FACTURACIÓN]],"DE CONTADO","CRÉDITO")</f>
        <v>CRÉDITO</v>
      </c>
      <c r="B1213" s="51" t="b">
        <f>+IF((PROVEEDORES[[#This Row],[FECHA DE PAGO]]-PROVEEDORES[[#This Row],[FECHA DE FACTURACIÓN]])&gt;PROVEEDORES[[#This Row],[PLAZO Días]],"PAGO VENCIDO")</f>
        <v>0</v>
      </c>
      <c r="C1213" s="25">
        <f>+VLOOKUP(PROVEEDORES[[#This Row],[PROVEEDOR]],TERCEROS_INFO[#All],2,FALSE)</f>
        <v>30</v>
      </c>
      <c r="D1213" s="30">
        <f>+SUMIFS(PROVEEDORES[Total],PROVEEDORES[PROVEEDOR],PROVEEDORES[[#This Row],[PROVEEDOR]],PROVEEDORES[FECHA DE PAGO],"")</f>
        <v>0</v>
      </c>
      <c r="E1213" s="30"/>
      <c r="F1213" s="73" t="str">
        <f>+VLOOKUP(PROVEEDORES[[#This Row],[PROVEEDOR]],TERCEROS_INFO[[PROVEEDOR]:[CORREO]],5,FALSE)</f>
        <v>oswaldo.alvarez@logimexsas.com;girlesa.ruiz@servipilas.com;joriescobar64@gmail.com</v>
      </c>
      <c r="G1213" s="111">
        <v>44588</v>
      </c>
      <c r="H1213" s="31" t="s">
        <v>456</v>
      </c>
      <c r="I1213" s="111">
        <v>44587</v>
      </c>
      <c r="J1213" s="48" t="s">
        <v>1140</v>
      </c>
      <c r="K1213" s="26">
        <v>1919000</v>
      </c>
      <c r="L1213" s="26"/>
      <c r="M1213" s="27">
        <v>0</v>
      </c>
      <c r="N1213" s="28"/>
      <c r="O1213" s="27">
        <v>0</v>
      </c>
      <c r="P1213" s="28">
        <v>0</v>
      </c>
      <c r="Q1213" s="27">
        <v>0</v>
      </c>
      <c r="R1213" s="26">
        <v>1919000</v>
      </c>
      <c r="S1213" s="115">
        <f ca="1">IF(PROVEEDORES[[#This Row],[FECHA DE PAGO]]=0,TODAY()-PROVEEDORES[[#This Row],[FECHA DE FACTURACIÓN]]-PROVEEDORES[[#This Row],[PLAZO Días]],0)</f>
        <v>0</v>
      </c>
      <c r="T12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4" spans="1:20" ht="21.9" customHeight="1" x14ac:dyDescent="0.3">
      <c r="A1214" s="113" t="str">
        <f>+IF(PROVEEDORES[[#This Row],[FECHA DE PAGO]]=PROVEEDORES[[#This Row],[FECHA DE FACTURACIÓN]],"DE CONTADO","CRÉDITO")</f>
        <v>CRÉDITO</v>
      </c>
      <c r="B1214" s="51" t="b">
        <f>+IF((PROVEEDORES[[#This Row],[FECHA DE PAGO]]-PROVEEDORES[[#This Row],[FECHA DE FACTURACIÓN]])&gt;PROVEEDORES[[#This Row],[PLAZO Días]],"PAGO VENCIDO")</f>
        <v>0</v>
      </c>
      <c r="C1214" s="25">
        <f>+VLOOKUP(PROVEEDORES[[#This Row],[PROVEEDOR]],TERCEROS_INFO[#All],2,FALSE)</f>
        <v>45</v>
      </c>
      <c r="D1214" s="30">
        <f>+SUMIFS(PROVEEDORES[Total],PROVEEDORES[PROVEEDOR],PROVEEDORES[[#This Row],[PROVEEDOR]],PROVEEDORES[FECHA DE PAGO],"")</f>
        <v>0</v>
      </c>
      <c r="E1214" s="30"/>
      <c r="F1214" s="73" t="str">
        <f>+VLOOKUP(PROVEEDORES[[#This Row],[PROVEEDOR]],TERCEROS_INFO[[PROVEEDOR]:[CORREO]],5,FALSE)</f>
        <v>jessica.barios.com@carpainternacional;girlesa.ruiz@servipilas.com;joriescobar64@gmail.com</v>
      </c>
      <c r="G1214" s="111">
        <v>44623</v>
      </c>
      <c r="H1214" s="31" t="s">
        <v>608</v>
      </c>
      <c r="I1214" s="111">
        <v>44587</v>
      </c>
      <c r="J1214" s="48" t="s">
        <v>1096</v>
      </c>
      <c r="K1214" s="26">
        <v>2706000</v>
      </c>
      <c r="L1214" s="26"/>
      <c r="M1214" s="27">
        <v>0</v>
      </c>
      <c r="N1214" s="28"/>
      <c r="O1214" s="27">
        <v>0</v>
      </c>
      <c r="P1214" s="28">
        <v>0</v>
      </c>
      <c r="Q1214" s="27">
        <v>0</v>
      </c>
      <c r="R1214" s="26">
        <v>2706000</v>
      </c>
      <c r="S1214" s="115">
        <f ca="1">IF(PROVEEDORES[[#This Row],[FECHA DE PAGO]]=0,TODAY()-PROVEEDORES[[#This Row],[FECHA DE FACTURACIÓN]]-PROVEEDORES[[#This Row],[PLAZO Días]],0)</f>
        <v>0</v>
      </c>
      <c r="T12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5" spans="1:20" ht="21.9" customHeight="1" x14ac:dyDescent="0.3">
      <c r="A1215" s="113" t="str">
        <f>+IF(PROVEEDORES[[#This Row],[FECHA DE PAGO]]=PROVEEDORES[[#This Row],[FECHA DE FACTURACIÓN]],"DE CONTADO","CRÉDITO")</f>
        <v>CRÉDITO</v>
      </c>
      <c r="B1215" s="51" t="str">
        <f>+IF((PROVEEDORES[[#This Row],[FECHA DE PAGO]]-PROVEEDORES[[#This Row],[FECHA DE FACTURACIÓN]])&gt;PROVEEDORES[[#This Row],[PLAZO Días]],"PAGO VENCIDO")</f>
        <v>PAGO VENCIDO</v>
      </c>
      <c r="C1215" s="25">
        <f>+VLOOKUP(PROVEEDORES[[#This Row],[PROVEEDOR]],TERCEROS_INFO[#All],2,FALSE)</f>
        <v>30</v>
      </c>
      <c r="D1215" s="30">
        <f>+SUMIFS(PROVEEDORES[Total],PROVEEDORES[PROVEEDOR],PROVEEDORES[[#This Row],[PROVEEDOR]],PROVEEDORES[FECHA DE PAGO],"")</f>
        <v>3400186.8245000001</v>
      </c>
      <c r="E1215" s="30"/>
      <c r="F1215" s="73" t="str">
        <f>+VLOOKUP(PROVEEDORES[[#This Row],[PROVEEDOR]],TERCEROS_INFO[[PROVEEDOR]:[CORREO]],5,FALSE)</f>
        <v>contabilidad@amgimportadora.com;mcastellanos@amgimportadora.com;girlesa.ruiz@servipilas.com;joriescobar64@gmail.com</v>
      </c>
      <c r="G1215" s="111">
        <v>44657</v>
      </c>
      <c r="H1215" s="31" t="s">
        <v>20</v>
      </c>
      <c r="I1215" s="111">
        <v>44588</v>
      </c>
      <c r="J1215" s="48" t="s">
        <v>1091</v>
      </c>
      <c r="K1215" s="26">
        <v>-1591200</v>
      </c>
      <c r="L1215" s="26"/>
      <c r="M1215" s="27">
        <v>-302328</v>
      </c>
      <c r="N1215" s="28"/>
      <c r="O1215" s="27">
        <v>0</v>
      </c>
      <c r="P1215" s="28">
        <v>2.5000000000000001E-2</v>
      </c>
      <c r="Q1215" s="27">
        <v>-39780</v>
      </c>
      <c r="R1215" s="26">
        <v>-1853748</v>
      </c>
      <c r="S1215" s="115">
        <f ca="1">IF(PROVEEDORES[[#This Row],[FECHA DE PAGO]]=0,TODAY()-PROVEEDORES[[#This Row],[FECHA DE FACTURACIÓN]]-PROVEEDORES[[#This Row],[PLAZO Días]],0)</f>
        <v>0</v>
      </c>
      <c r="T12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6" spans="1:20" ht="21.9" customHeight="1" x14ac:dyDescent="0.3">
      <c r="A1216" s="113" t="str">
        <f>+IF(PROVEEDORES[[#This Row],[FECHA DE PAGO]]=PROVEEDORES[[#This Row],[FECHA DE FACTURACIÓN]],"DE CONTADO","CRÉDITO")</f>
        <v>CRÉDITO</v>
      </c>
      <c r="B1216" s="51" t="b">
        <f>+IF((PROVEEDORES[[#This Row],[FECHA DE PAGO]]-PROVEEDORES[[#This Row],[FECHA DE FACTURACIÓN]])&gt;PROVEEDORES[[#This Row],[PLAZO Días]],"PAGO VENCIDO")</f>
        <v>0</v>
      </c>
      <c r="C1216" s="25">
        <f>+VLOOKUP(PROVEEDORES[[#This Row],[PROVEEDOR]],TERCEROS_INFO[#All],2,FALSE)</f>
        <v>30</v>
      </c>
      <c r="D1216" s="30">
        <f>+SUMIFS(PROVEEDORES[Total],PROVEEDORES[PROVEEDOR],PROVEEDORES[[#This Row],[PROVEEDOR]],PROVEEDORES[FECHA DE PAGO],"")</f>
        <v>148000</v>
      </c>
      <c r="E1216" s="30"/>
      <c r="F1216" s="73" t="str">
        <f>+VLOOKUP(PROVEEDORES[[#This Row],[PROVEEDOR]],TERCEROS_INFO[[PROVEEDOR]:[CORREO]],5,FALSE)</f>
        <v>jarlysas@gmail.com;o.clockinternational@gmail.com;girlesa.ruiz@servipilas.com;joriescobar64@gmail.com</v>
      </c>
      <c r="H1216" s="31" t="s">
        <v>1048</v>
      </c>
      <c r="I1216" s="111">
        <v>44588</v>
      </c>
      <c r="J1216" s="48" t="s">
        <v>1026</v>
      </c>
      <c r="K1216" s="26">
        <v>148000</v>
      </c>
      <c r="L1216" s="26"/>
      <c r="M1216" s="27">
        <v>0</v>
      </c>
      <c r="N1216" s="28"/>
      <c r="O1216" s="27">
        <v>0</v>
      </c>
      <c r="P1216" s="28">
        <v>0</v>
      </c>
      <c r="Q1216" s="27">
        <v>0</v>
      </c>
      <c r="R1216" s="26">
        <v>148000</v>
      </c>
      <c r="S1216" s="115">
        <f ca="1">IF(PROVEEDORES[[#This Row],[FECHA DE PAGO]]=0,TODAY()-PROVEEDORES[[#This Row],[FECHA DE FACTURACIÓN]]-PROVEEDORES[[#This Row],[PLAZO Días]],0)</f>
        <v>50</v>
      </c>
      <c r="T1216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17" spans="1:20" ht="21.9" customHeight="1" x14ac:dyDescent="0.3">
      <c r="A1217" s="113" t="str">
        <f>+IF(PROVEEDORES[[#This Row],[FECHA DE PAGO]]=PROVEEDORES[[#This Row],[FECHA DE FACTURACIÓN]],"DE CONTADO","CRÉDITO")</f>
        <v>DE CONTADO</v>
      </c>
      <c r="B1217" s="51" t="b">
        <f>+IF((PROVEEDORES[[#This Row],[FECHA DE PAGO]]-PROVEEDORES[[#This Row],[FECHA DE FACTURACIÓN]])&gt;PROVEEDORES[[#This Row],[PLAZO Días]],"PAGO VENCIDO")</f>
        <v>0</v>
      </c>
      <c r="C1217" s="25">
        <f>+VLOOKUP(PROVEEDORES[[#This Row],[PROVEEDOR]],TERCEROS_INFO[#All],2,FALSE)</f>
        <v>30</v>
      </c>
      <c r="D1217" s="30">
        <f>+SUMIFS(PROVEEDORES[Total],PROVEEDORES[PROVEEDOR],PROVEEDORES[[#This Row],[PROVEEDOR]],PROVEEDORES[FECHA DE PAGO],"")</f>
        <v>0</v>
      </c>
      <c r="E1217" s="30"/>
      <c r="F1217" s="73" t="str">
        <f>+VLOOKUP(PROVEEDORES[[#This Row],[PROVEEDOR]],TERCEROS_INFO[[PROVEEDOR]:[CORREO]],5,FALSE)</f>
        <v/>
      </c>
      <c r="G1217" s="111">
        <v>44588</v>
      </c>
      <c r="H1217" s="31" t="s">
        <v>1027</v>
      </c>
      <c r="I1217" s="111">
        <v>44588</v>
      </c>
      <c r="J1217" s="48" t="s">
        <v>1028</v>
      </c>
      <c r="K1217" s="26">
        <v>280000</v>
      </c>
      <c r="L1217" s="26"/>
      <c r="M1217" s="27">
        <v>0</v>
      </c>
      <c r="N1217" s="28"/>
      <c r="O1217" s="27">
        <v>0</v>
      </c>
      <c r="P1217" s="28">
        <v>0</v>
      </c>
      <c r="Q1217" s="27">
        <v>0</v>
      </c>
      <c r="R1217" s="26">
        <v>280000</v>
      </c>
      <c r="S1217" s="115">
        <f ca="1">IF(PROVEEDORES[[#This Row],[FECHA DE PAGO]]=0,TODAY()-PROVEEDORES[[#This Row],[FECHA DE FACTURACIÓN]]-PROVEEDORES[[#This Row],[PLAZO Días]],0)</f>
        <v>0</v>
      </c>
      <c r="T12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8" spans="1:20" ht="21.9" customHeight="1" x14ac:dyDescent="0.3">
      <c r="A1218" s="113" t="str">
        <f>+IF(PROVEEDORES[[#This Row],[FECHA DE PAGO]]=PROVEEDORES[[#This Row],[FECHA DE FACTURACIÓN]],"DE CONTADO","CRÉDITO")</f>
        <v>CRÉDITO</v>
      </c>
      <c r="B1218" s="51" t="str">
        <f>+IF((PROVEEDORES[[#This Row],[FECHA DE PAGO]]-PROVEEDORES[[#This Row],[FECHA DE FACTURACIÓN]])&gt;PROVEEDORES[[#This Row],[PLAZO Días]],"PAGO VENCIDO")</f>
        <v>PAGO VENCIDO</v>
      </c>
      <c r="C1218" s="25">
        <f>+VLOOKUP(PROVEEDORES[[#This Row],[PROVEEDOR]],TERCEROS_INFO[#All],2,FALSE)</f>
        <v>30</v>
      </c>
      <c r="D1218" s="30">
        <f>+SUMIFS(PROVEEDORES[Total],PROVEEDORES[PROVEEDOR],PROVEEDORES[[#This Row],[PROVEEDOR]],PROVEEDORES[FECHA DE PAGO],"")</f>
        <v>3400186.8245000001</v>
      </c>
      <c r="E1218" s="30"/>
      <c r="F1218" s="73" t="str">
        <f>+VLOOKUP(PROVEEDORES[[#This Row],[PROVEEDOR]],TERCEROS_INFO[[PROVEEDOR]:[CORREO]],5,FALSE)</f>
        <v>contabilidad@amgimportadora.com;mcastellanos@amgimportadora.com;girlesa.ruiz@servipilas.com;joriescobar64@gmail.com</v>
      </c>
      <c r="G1218" s="111">
        <v>44635</v>
      </c>
      <c r="H1218" s="31" t="s">
        <v>20</v>
      </c>
      <c r="I1218" s="111">
        <v>44588</v>
      </c>
      <c r="J1218" s="48">
        <v>6152</v>
      </c>
      <c r="K1218" s="26">
        <v>1591200</v>
      </c>
      <c r="L1218" s="26"/>
      <c r="M1218" s="27">
        <v>302328</v>
      </c>
      <c r="N1218" s="28"/>
      <c r="O1218" s="27">
        <v>0</v>
      </c>
      <c r="P1218" s="28">
        <v>2.5000000000000001E-2</v>
      </c>
      <c r="Q1218" s="27">
        <v>39780</v>
      </c>
      <c r="R1218" s="26">
        <v>1853748</v>
      </c>
      <c r="S1218" s="115">
        <f ca="1">IF(PROVEEDORES[[#This Row],[FECHA DE PAGO]]=0,TODAY()-PROVEEDORES[[#This Row],[FECHA DE FACTURACIÓN]]-PROVEEDORES[[#This Row],[PLAZO Días]],0)</f>
        <v>0</v>
      </c>
      <c r="T12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19" spans="1:20" ht="21.9" customHeight="1" x14ac:dyDescent="0.3">
      <c r="A1219" s="113" t="str">
        <f>+IF(PROVEEDORES[[#This Row],[FECHA DE PAGO]]=PROVEEDORES[[#This Row],[FECHA DE FACTURACIÓN]],"DE CONTADO","CRÉDITO")</f>
        <v>CRÉDITO</v>
      </c>
      <c r="B1219" s="51" t="str">
        <f>+IF((PROVEEDORES[[#This Row],[FECHA DE PAGO]]-PROVEEDORES[[#This Row],[FECHA DE FACTURACIÓN]])&gt;PROVEEDORES[[#This Row],[PLAZO Días]],"PAGO VENCIDO")</f>
        <v>PAGO VENCIDO</v>
      </c>
      <c r="C1219" s="25">
        <f>+VLOOKUP(PROVEEDORES[[#This Row],[PROVEEDOR]],TERCEROS_INFO[#All],2,FALSE)</f>
        <v>30</v>
      </c>
      <c r="D1219" s="30">
        <f>+SUMIFS(PROVEEDORES[Total],PROVEEDORES[PROVEEDOR],PROVEEDORES[[#This Row],[PROVEEDOR]],PROVEEDORES[FECHA DE PAGO],"")</f>
        <v>0</v>
      </c>
      <c r="E1219" s="30"/>
      <c r="F1219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1219" s="111">
        <v>44637</v>
      </c>
      <c r="H1219" s="31" t="s">
        <v>514</v>
      </c>
      <c r="I1219" s="111">
        <v>44588</v>
      </c>
      <c r="J1219" s="48" t="s">
        <v>1099</v>
      </c>
      <c r="K1219" s="26">
        <v>7179945</v>
      </c>
      <c r="L1219" s="26"/>
      <c r="M1219" s="27">
        <v>1364189.55</v>
      </c>
      <c r="N1219" s="28"/>
      <c r="O1219" s="27">
        <v>0</v>
      </c>
      <c r="P1219" s="28">
        <v>0</v>
      </c>
      <c r="Q1219" s="27">
        <v>0</v>
      </c>
      <c r="R1219" s="26">
        <v>8544134.5500000007</v>
      </c>
      <c r="S1219" s="115">
        <f ca="1">IF(PROVEEDORES[[#This Row],[FECHA DE PAGO]]=0,TODAY()-PROVEEDORES[[#This Row],[FECHA DE FACTURACIÓN]]-PROVEEDORES[[#This Row],[PLAZO Días]],0)</f>
        <v>0</v>
      </c>
      <c r="T12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0" spans="1:20" ht="21.9" customHeight="1" x14ac:dyDescent="0.3">
      <c r="A1220" s="113" t="str">
        <f>+IF(PROVEEDORES[[#This Row],[FECHA DE PAGO]]=PROVEEDORES[[#This Row],[FECHA DE FACTURACIÓN]],"DE CONTADO","CRÉDITO")</f>
        <v>CRÉDITO</v>
      </c>
      <c r="B1220" s="51" t="str">
        <f>+IF((PROVEEDORES[[#This Row],[FECHA DE PAGO]]-PROVEEDORES[[#This Row],[FECHA DE FACTURACIÓN]])&gt;PROVEEDORES[[#This Row],[PLAZO Días]],"PAGO VENCIDO")</f>
        <v>PAGO VENCIDO</v>
      </c>
      <c r="C1220" s="25">
        <f>+VLOOKUP(PROVEEDORES[[#This Row],[PROVEEDOR]],TERCEROS_INFO[#All],2,FALSE)</f>
        <v>45</v>
      </c>
      <c r="D1220" s="30">
        <f>+SUMIFS(PROVEEDORES[Total],PROVEEDORES[PROVEEDOR],PROVEEDORES[[#This Row],[PROVEEDOR]],PROVEEDORES[FECHA DE PAGO],"")</f>
        <v>17760678.600000001</v>
      </c>
      <c r="E1220" s="30"/>
      <c r="F1220" s="73" t="str">
        <f>+VLOOKUP(PROVEEDORES[[#This Row],[PROVEEDOR]],TERCEROS_INFO[[PROVEEDOR]:[CORREO]],5,FALSE)</f>
        <v>zully.florez@powest.com;girlesa.ruiz@servipilas.com;joriescobar64@gmail.com</v>
      </c>
      <c r="G1220" s="111">
        <v>44637</v>
      </c>
      <c r="H1220" s="31" t="s">
        <v>19</v>
      </c>
      <c r="I1220" s="111">
        <v>44588</v>
      </c>
      <c r="J1220" s="48" t="s">
        <v>1152</v>
      </c>
      <c r="K1220" s="26">
        <v>11068800</v>
      </c>
      <c r="L1220" s="26"/>
      <c r="M1220" s="27">
        <v>2103072</v>
      </c>
      <c r="N1220" s="28"/>
      <c r="O1220" s="27">
        <v>0</v>
      </c>
      <c r="P1220" s="28">
        <v>0</v>
      </c>
      <c r="Q1220" s="27">
        <v>0</v>
      </c>
      <c r="R1220" s="26">
        <v>13171872</v>
      </c>
      <c r="S1220" s="115">
        <f ca="1">IF(PROVEEDORES[[#This Row],[FECHA DE PAGO]]=0,TODAY()-PROVEEDORES[[#This Row],[FECHA DE FACTURACIÓN]]-PROVEEDORES[[#This Row],[PLAZO Días]],0)</f>
        <v>0</v>
      </c>
      <c r="T12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1" spans="1:20" ht="21.9" customHeight="1" x14ac:dyDescent="0.3">
      <c r="A1221" s="113" t="str">
        <f>+IF(PROVEEDORES[[#This Row],[FECHA DE PAGO]]=PROVEEDORES[[#This Row],[FECHA DE FACTURACIÓN]],"DE CONTADO","CRÉDITO")</f>
        <v>CRÉDITO</v>
      </c>
      <c r="B1221" s="51" t="str">
        <f>+IF((PROVEEDORES[[#This Row],[FECHA DE PAGO]]-PROVEEDORES[[#This Row],[FECHA DE FACTURACIÓN]])&gt;PROVEEDORES[[#This Row],[PLAZO Días]],"PAGO VENCIDO")</f>
        <v>PAGO VENCIDO</v>
      </c>
      <c r="C1221" s="25">
        <f>+VLOOKUP(PROVEEDORES[[#This Row],[PROVEEDOR]],TERCEROS_INFO[#All],2,FALSE)</f>
        <v>30</v>
      </c>
      <c r="D1221" s="30">
        <f>+SUMIFS(PROVEEDORES[Total],PROVEEDORES[PROVEEDOR],PROVEEDORES[[#This Row],[PROVEEDOR]],PROVEEDORES[FECHA DE PAGO],"")</f>
        <v>4078650.6</v>
      </c>
      <c r="E1221" s="30"/>
      <c r="F1221" s="73" t="str">
        <f>+VLOOKUP(PROVEEDORES[[#This Row],[PROVEEDOR]],TERCEROS_INFO[[PROVEEDOR]:[CORREO]],5,FALSE)</f>
        <v>financiera@nalpicentral.com;girlesa.ruiz@servipilas.com;joriescobar64@gmail.com</v>
      </c>
      <c r="G1221" s="111">
        <v>44635</v>
      </c>
      <c r="H1221" s="31" t="s">
        <v>1095</v>
      </c>
      <c r="I1221" s="111">
        <v>44589</v>
      </c>
      <c r="J1221" s="48">
        <v>24466</v>
      </c>
      <c r="K1221" s="26">
        <v>384000</v>
      </c>
      <c r="L1221" s="26"/>
      <c r="M1221" s="27">
        <v>72960</v>
      </c>
      <c r="N1221" s="28"/>
      <c r="O1221" s="27">
        <v>0</v>
      </c>
      <c r="P1221" s="28">
        <v>0</v>
      </c>
      <c r="Q1221" s="27">
        <v>0</v>
      </c>
      <c r="R1221" s="26">
        <v>456960</v>
      </c>
      <c r="S1221" s="115">
        <f ca="1">IF(PROVEEDORES[[#This Row],[FECHA DE PAGO]]=0,TODAY()-PROVEEDORES[[#This Row],[FECHA DE FACTURACIÓN]]-PROVEEDORES[[#This Row],[PLAZO Días]],0)</f>
        <v>0</v>
      </c>
      <c r="T12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2" spans="1:20" ht="21.9" customHeight="1" x14ac:dyDescent="0.3">
      <c r="A1222" s="113" t="str">
        <f>+IF(PROVEEDORES[[#This Row],[FECHA DE PAGO]]=PROVEEDORES[[#This Row],[FECHA DE FACTURACIÓN]],"DE CONTADO","CRÉDITO")</f>
        <v>CRÉDITO</v>
      </c>
      <c r="B1222" s="51" t="str">
        <f>+IF((PROVEEDORES[[#This Row],[FECHA DE PAGO]]-PROVEEDORES[[#This Row],[FECHA DE FACTURACIÓN]])&gt;PROVEEDORES[[#This Row],[PLAZO Días]],"PAGO VENCIDO")</f>
        <v>PAGO VENCIDO</v>
      </c>
      <c r="C1222" s="25">
        <f>+VLOOKUP(PROVEEDORES[[#This Row],[PROVEEDOR]],TERCEROS_INFO[#All],2,FALSE)</f>
        <v>30</v>
      </c>
      <c r="D1222" s="30">
        <f>+SUMIFS(PROVEEDORES[Total],PROVEEDORES[PROVEEDOR],PROVEEDORES[[#This Row],[PROVEEDOR]],PROVEEDORES[FECHA DE PAGO],"")</f>
        <v>1645000</v>
      </c>
      <c r="E1222" s="30"/>
      <c r="F1222" s="73" t="str">
        <f>+VLOOKUP(PROVEEDORES[[#This Row],[PROVEEDOR]],TERCEROS_INFO[[PROVEEDOR]:[CORREO]],5,FALSE)</f>
        <v/>
      </c>
      <c r="G1222" s="111">
        <v>44627</v>
      </c>
      <c r="H1222" s="31" t="s">
        <v>1070</v>
      </c>
      <c r="I1222" s="111">
        <v>44589</v>
      </c>
      <c r="J1222" s="48">
        <v>2371</v>
      </c>
      <c r="K1222" s="26">
        <v>1036500</v>
      </c>
      <c r="L1222" s="26"/>
      <c r="M1222" s="27">
        <v>0</v>
      </c>
      <c r="N1222" s="28"/>
      <c r="O1222" s="27">
        <v>0</v>
      </c>
      <c r="P1222" s="28">
        <v>0</v>
      </c>
      <c r="Q1222" s="27">
        <v>0</v>
      </c>
      <c r="R1222" s="26">
        <v>1329000</v>
      </c>
      <c r="S1222" s="115">
        <f ca="1">IF(PROVEEDORES[[#This Row],[FECHA DE PAGO]]=0,TODAY()-PROVEEDORES[[#This Row],[FECHA DE FACTURACIÓN]]-PROVEEDORES[[#This Row],[PLAZO Días]],0)</f>
        <v>0</v>
      </c>
      <c r="T12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3" spans="1:20" ht="21.9" customHeight="1" x14ac:dyDescent="0.3">
      <c r="A1223" s="113" t="str">
        <f>+IF(PROVEEDORES[[#This Row],[FECHA DE PAGO]]=PROVEEDORES[[#This Row],[FECHA DE FACTURACIÓN]],"DE CONTADO","CRÉDITO")</f>
        <v>CRÉDITO</v>
      </c>
      <c r="B1223" s="51" t="b">
        <f>+IF((PROVEEDORES[[#This Row],[FECHA DE PAGO]]-PROVEEDORES[[#This Row],[FECHA DE FACTURACIÓN]])&gt;PROVEEDORES[[#This Row],[PLAZO Días]],"PAGO VENCIDO")</f>
        <v>0</v>
      </c>
      <c r="C1223" s="25">
        <f>+VLOOKUP(PROVEEDORES[[#This Row],[PROVEEDOR]],TERCEROS_INFO[#All],2,FALSE)</f>
        <v>30</v>
      </c>
      <c r="D1223" s="30">
        <f>+SUMIFS(PROVEEDORES[Total],PROVEEDORES[PROVEEDOR],PROVEEDORES[[#This Row],[PROVEEDOR]],PROVEEDORES[FECHA DE PAGO],"")</f>
        <v>0</v>
      </c>
      <c r="E1223" s="30"/>
      <c r="F1223" s="73">
        <f>+VLOOKUP(PROVEEDORES[[#This Row],[PROVEEDOR]],TERCEROS_INFO[[PROVEEDOR]:[CORREO]],5,FALSE)</f>
        <v>0</v>
      </c>
      <c r="G1223" s="111">
        <v>44594</v>
      </c>
      <c r="H1223" s="31" t="s">
        <v>1086</v>
      </c>
      <c r="I1223" s="111">
        <v>44589</v>
      </c>
      <c r="J1223" s="48" t="s">
        <v>1087</v>
      </c>
      <c r="K1223" s="26">
        <v>3418000</v>
      </c>
      <c r="L1223" s="26"/>
      <c r="M1223" s="27">
        <v>0</v>
      </c>
      <c r="N1223" s="28"/>
      <c r="O1223" s="27">
        <v>0</v>
      </c>
      <c r="P1223" s="28">
        <v>0</v>
      </c>
      <c r="Q1223" s="27">
        <v>0</v>
      </c>
      <c r="R1223" s="26">
        <v>3418000</v>
      </c>
      <c r="S1223" s="115">
        <f ca="1">IF(PROVEEDORES[[#This Row],[FECHA DE PAGO]]=0,TODAY()-PROVEEDORES[[#This Row],[FECHA DE FACTURACIÓN]]-PROVEEDORES[[#This Row],[PLAZO Días]],0)</f>
        <v>0</v>
      </c>
      <c r="T12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4" spans="1:20" ht="21.9" customHeight="1" x14ac:dyDescent="0.3">
      <c r="A1224" s="113" t="str">
        <f>+IF(PROVEEDORES[[#This Row],[FECHA DE PAGO]]=PROVEEDORES[[#This Row],[FECHA DE FACTURACIÓN]],"DE CONTADO","CRÉDITO")</f>
        <v>CRÉDITO</v>
      </c>
      <c r="B1224" s="51" t="str">
        <f>+IF((PROVEEDORES[[#This Row],[FECHA DE PAGO]]-PROVEEDORES[[#This Row],[FECHA DE FACTURACIÓN]])&gt;PROVEEDORES[[#This Row],[PLAZO Días]],"PAGO VENCIDO")</f>
        <v>PAGO VENCIDO</v>
      </c>
      <c r="C1224" s="25">
        <f>+VLOOKUP(PROVEEDORES[[#This Row],[PROVEEDOR]],TERCEROS_INFO[#All],2,FALSE)</f>
        <v>30</v>
      </c>
      <c r="D1224" s="30">
        <f>+SUMIFS(PROVEEDORES[Total],PROVEEDORES[PROVEEDOR],PROVEEDORES[[#This Row],[PROVEEDOR]],PROVEEDORES[FECHA DE PAGO],"")</f>
        <v>1451823</v>
      </c>
      <c r="E1224" s="30"/>
      <c r="F1224" s="73" t="str">
        <f>+VLOOKUP(PROVEEDORES[[#This Row],[PROVEEDOR]],TERCEROS_INFO[[PROVEEDOR]:[CORREO]],5,FALSE)</f>
        <v>cartera@ienewline.com;andres.arroyave@ienewline.com;girlesa.ruiz@servipilas.com;joriescobar64@gmail.com</v>
      </c>
      <c r="G1224" s="111">
        <v>44624</v>
      </c>
      <c r="H1224" s="31" t="s">
        <v>1131</v>
      </c>
      <c r="I1224" s="111">
        <v>44589</v>
      </c>
      <c r="J1224" s="48">
        <v>26650</v>
      </c>
      <c r="K1224" s="26">
        <v>4800000</v>
      </c>
      <c r="L1224" s="26"/>
      <c r="M1224" s="27">
        <v>912000</v>
      </c>
      <c r="N1224" s="28"/>
      <c r="O1224" s="27">
        <v>0</v>
      </c>
      <c r="P1224" s="28">
        <v>2.5000000000000001E-2</v>
      </c>
      <c r="Q1224" s="27">
        <v>120000</v>
      </c>
      <c r="R1224" s="26">
        <v>5592000</v>
      </c>
      <c r="S1224" s="115">
        <f ca="1">IF(PROVEEDORES[[#This Row],[FECHA DE PAGO]]=0,TODAY()-PROVEEDORES[[#This Row],[FECHA DE FACTURACIÓN]]-PROVEEDORES[[#This Row],[PLAZO Días]],0)</f>
        <v>0</v>
      </c>
      <c r="T12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5" spans="1:20" ht="21.9" customHeight="1" x14ac:dyDescent="0.3">
      <c r="A1225" s="113" t="str">
        <f>+IF(PROVEEDORES[[#This Row],[FECHA DE PAGO]]=PROVEEDORES[[#This Row],[FECHA DE FACTURACIÓN]],"DE CONTADO","CRÉDITO")</f>
        <v>CRÉDITO</v>
      </c>
      <c r="B1225" s="51" t="b">
        <f>+IF((PROVEEDORES[[#This Row],[FECHA DE PAGO]]-PROVEEDORES[[#This Row],[FECHA DE FACTURACIÓN]])&gt;PROVEEDORES[[#This Row],[PLAZO Días]],"PAGO VENCIDO")</f>
        <v>0</v>
      </c>
      <c r="C1225" s="25">
        <f>+VLOOKUP(PROVEEDORES[[#This Row],[PROVEEDOR]],TERCEROS_INFO[#All],2,FALSE)</f>
        <v>30</v>
      </c>
      <c r="D1225" s="30">
        <f>+SUMIFS(PROVEEDORES[Total],PROVEEDORES[PROVEEDOR],PROVEEDORES[[#This Row],[PROVEEDOR]],PROVEEDORES[FECHA DE PAGO],"")</f>
        <v>24126684</v>
      </c>
      <c r="E1225" s="30"/>
      <c r="F1225" s="73">
        <f>+VLOOKUP(PROVEEDORES[[#This Row],[PROVEEDOR]],TERCEROS_INFO[[PROVEEDOR]:[CORREO]],5,FALSE)</f>
        <v>0</v>
      </c>
      <c r="H1225" s="31" t="s">
        <v>510</v>
      </c>
      <c r="I1225" s="111">
        <v>44591</v>
      </c>
      <c r="J1225" s="48" t="s">
        <v>1177</v>
      </c>
      <c r="K1225" s="26">
        <v>7278800</v>
      </c>
      <c r="L1225" s="26"/>
      <c r="M1225" s="27">
        <v>1382972</v>
      </c>
      <c r="N1225" s="28"/>
      <c r="O1225" s="27">
        <v>0</v>
      </c>
      <c r="P1225" s="28">
        <v>2.5000000000000001E-2</v>
      </c>
      <c r="Q1225" s="27">
        <v>181970</v>
      </c>
      <c r="R1225" s="26">
        <v>8479802</v>
      </c>
      <c r="S1225" s="115">
        <f ca="1">IF(PROVEEDORES[[#This Row],[FECHA DE PAGO]]=0,TODAY()-PROVEEDORES[[#This Row],[FECHA DE FACTURACIÓN]]-PROVEEDORES[[#This Row],[PLAZO Días]],0)</f>
        <v>47</v>
      </c>
      <c r="T1225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26" spans="1:20" ht="21.9" customHeight="1" x14ac:dyDescent="0.3">
      <c r="A1226" s="113" t="str">
        <f>+IF(PROVEEDORES[[#This Row],[FECHA DE PAGO]]=PROVEEDORES[[#This Row],[FECHA DE FACTURACIÓN]],"DE CONTADO","CRÉDITO")</f>
        <v>CRÉDITO</v>
      </c>
      <c r="B1226" s="51" t="b">
        <f>+IF((PROVEEDORES[[#This Row],[FECHA DE PAGO]]-PROVEEDORES[[#This Row],[FECHA DE FACTURACIÓN]])&gt;PROVEEDORES[[#This Row],[PLAZO Días]],"PAGO VENCIDO")</f>
        <v>0</v>
      </c>
      <c r="C1226" s="25">
        <f>+VLOOKUP(PROVEEDORES[[#This Row],[PROVEEDOR]],TERCEROS_INFO[#All],2,FALSE)</f>
        <v>30</v>
      </c>
      <c r="D1226" s="30">
        <f>+SUMIFS(PROVEEDORES[Total],PROVEEDORES[PROVEEDOR],PROVEEDORES[[#This Row],[PROVEEDOR]],PROVEEDORES[FECHA DE PAGO],"")</f>
        <v>-30345</v>
      </c>
      <c r="E1226" s="30"/>
      <c r="F1226" s="73" t="str">
        <f>+VLOOKUP(PROVEEDORES[[#This Row],[PROVEEDOR]],TERCEROS_INFO[[PROVEEDOR]:[CORREO]],5,FALSE)</f>
        <v>ventasmegamundo@yahoo.es;girlesa.ruiz@servipilas.com;joriescobar64@gmail.com</v>
      </c>
      <c r="H1226" s="31" t="s">
        <v>1146</v>
      </c>
      <c r="I1226" s="111">
        <v>44592</v>
      </c>
      <c r="J1226" s="48" t="s">
        <v>1176</v>
      </c>
      <c r="K1226" s="26">
        <v>-25500</v>
      </c>
      <c r="L1226" s="26"/>
      <c r="M1226" s="27">
        <v>-4845</v>
      </c>
      <c r="N1226" s="28"/>
      <c r="O1226" s="27">
        <v>0</v>
      </c>
      <c r="P1226" s="28">
        <v>0</v>
      </c>
      <c r="Q1226" s="27">
        <v>0</v>
      </c>
      <c r="R1226" s="26">
        <v>-30345</v>
      </c>
      <c r="S1226" s="115">
        <f ca="1">IF(PROVEEDORES[[#This Row],[FECHA DE PAGO]]=0,TODAY()-PROVEEDORES[[#This Row],[FECHA DE FACTURACIÓN]]-PROVEEDORES[[#This Row],[PLAZO Días]],0)</f>
        <v>46</v>
      </c>
      <c r="T1226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27" spans="1:20" ht="21.9" customHeight="1" x14ac:dyDescent="0.3">
      <c r="A1227" s="113" t="str">
        <f>+IF(PROVEEDORES[[#This Row],[FECHA DE PAGO]]=PROVEEDORES[[#This Row],[FECHA DE FACTURACIÓN]],"DE CONTADO","CRÉDITO")</f>
        <v>CRÉDITO</v>
      </c>
      <c r="B1227" s="51" t="b">
        <f>+IF((PROVEEDORES[[#This Row],[FECHA DE PAGO]]-PROVEEDORES[[#This Row],[FECHA DE FACTURACIÓN]])&gt;PROVEEDORES[[#This Row],[PLAZO Días]],"PAGO VENCIDO")</f>
        <v>0</v>
      </c>
      <c r="C1227" s="25">
        <f>+VLOOKUP(PROVEEDORES[[#This Row],[PROVEEDOR]],TERCEROS_INFO[#All],2,FALSE)</f>
        <v>30</v>
      </c>
      <c r="D1227" s="30">
        <f>+SUMIFS(PROVEEDORES[Total],PROVEEDORES[PROVEEDOR],PROVEEDORES[[#This Row],[PROVEEDOR]],PROVEEDORES[FECHA DE PAGO],"")</f>
        <v>0</v>
      </c>
      <c r="E1227" s="30"/>
      <c r="F1227" s="73" t="str">
        <f>+VLOOKUP(PROVEEDORES[[#This Row],[PROVEEDOR]],TERCEROS_INFO[[PROVEEDOR]:[CORREO]],5,FALSE)</f>
        <v>oswaldo.alvarez@logimexsas.com;girlesa.ruiz@servipilas.com;joriescobar64@gmail.com</v>
      </c>
      <c r="G1227" s="111">
        <v>44602</v>
      </c>
      <c r="H1227" s="31" t="s">
        <v>966</v>
      </c>
      <c r="I1227" s="111">
        <v>44592</v>
      </c>
      <c r="J1227" s="48" t="s">
        <v>1142</v>
      </c>
      <c r="K1227" s="26">
        <v>253315.8</v>
      </c>
      <c r="L1227" s="26"/>
      <c r="M1227" s="27">
        <v>0</v>
      </c>
      <c r="N1227" s="28"/>
      <c r="O1227" s="27">
        <v>0</v>
      </c>
      <c r="P1227" s="28">
        <v>0</v>
      </c>
      <c r="Q1227" s="27">
        <v>0</v>
      </c>
      <c r="R1227" s="26">
        <v>253315.8</v>
      </c>
      <c r="S1227" s="115">
        <f ca="1">IF(PROVEEDORES[[#This Row],[FECHA DE PAGO]]=0,TODAY()-PROVEEDORES[[#This Row],[FECHA DE FACTURACIÓN]]-PROVEEDORES[[#This Row],[PLAZO Días]],0)</f>
        <v>0</v>
      </c>
      <c r="T12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8" spans="1:20" ht="21.9" customHeight="1" x14ac:dyDescent="0.3">
      <c r="A1228" s="113" t="str">
        <f>+IF(PROVEEDORES[[#This Row],[FECHA DE PAGO]]=PROVEEDORES[[#This Row],[FECHA DE FACTURACIÓN]],"DE CONTADO","CRÉDITO")</f>
        <v>CRÉDITO</v>
      </c>
      <c r="B1228" s="51" t="str">
        <f>+IF((PROVEEDORES[[#This Row],[FECHA DE PAGO]]-PROVEEDORES[[#This Row],[FECHA DE FACTURACIÓN]])&gt;PROVEEDORES[[#This Row],[PLAZO Días]],"PAGO VENCIDO")</f>
        <v>PAGO VENCIDO</v>
      </c>
      <c r="C1228" s="25">
        <f>+VLOOKUP(PROVEEDORES[[#This Row],[PROVEEDOR]],TERCEROS_INFO[#All],2,FALSE)</f>
        <v>30</v>
      </c>
      <c r="D1228" s="30">
        <f>+SUMIFS(PROVEEDORES[Total],PROVEEDORES[PROVEEDOR],PROVEEDORES[[#This Row],[PROVEEDOR]],PROVEEDORES[FECHA DE PAGO],"")</f>
        <v>3406</v>
      </c>
      <c r="E1228" s="30"/>
      <c r="F1228" s="73" t="str">
        <f>+VLOOKUP(PROVEEDORES[[#This Row],[PROVEEDOR]],TERCEROS_INFO[[PROVEEDOR]:[CORREO]],5,FALSE)</f>
        <v>ventas@ismartsas.com;girlesa.ruiz@servipilas.com;joriescobar64@gmail.com</v>
      </c>
      <c r="G1228" s="111">
        <v>44644</v>
      </c>
      <c r="H1228" s="31" t="s">
        <v>48</v>
      </c>
      <c r="I1228" s="111">
        <v>44592</v>
      </c>
      <c r="J1228" s="48" t="s">
        <v>1132</v>
      </c>
      <c r="K1228" s="26">
        <v>1609330</v>
      </c>
      <c r="L1228" s="26"/>
      <c r="M1228" s="27">
        <v>305772.7</v>
      </c>
      <c r="N1228" s="28"/>
      <c r="O1228" s="27">
        <v>0</v>
      </c>
      <c r="P1228" s="28">
        <v>2.5000000000000001E-2</v>
      </c>
      <c r="Q1228" s="27">
        <v>40233.25</v>
      </c>
      <c r="R1228" s="26">
        <v>1874869.45</v>
      </c>
      <c r="S1228" s="115">
        <f ca="1">IF(PROVEEDORES[[#This Row],[FECHA DE PAGO]]=0,TODAY()-PROVEEDORES[[#This Row],[FECHA DE FACTURACIÓN]]-PROVEEDORES[[#This Row],[PLAZO Días]],0)</f>
        <v>0</v>
      </c>
      <c r="T122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29" spans="1:20" ht="21.9" customHeight="1" x14ac:dyDescent="0.3">
      <c r="A1229" s="113" t="str">
        <f>+IF(PROVEEDORES[[#This Row],[FECHA DE PAGO]]=PROVEEDORES[[#This Row],[FECHA DE FACTURACIÓN]],"DE CONTADO","CRÉDITO")</f>
        <v>CRÉDITO</v>
      </c>
      <c r="B1229" s="51" t="b">
        <f>+IF((PROVEEDORES[[#This Row],[FECHA DE PAGO]]-PROVEEDORES[[#This Row],[FECHA DE FACTURACIÓN]])&gt;PROVEEDORES[[#This Row],[PLAZO Días]],"PAGO VENCIDO")</f>
        <v>0</v>
      </c>
      <c r="C1229" s="25">
        <f>+VLOOKUP(PROVEEDORES[[#This Row],[PROVEEDOR]],TERCEROS_INFO[#All],2,FALSE)</f>
        <v>30</v>
      </c>
      <c r="D1229" s="30">
        <f>+SUMIFS(PROVEEDORES[Total],PROVEEDORES[PROVEEDOR],PROVEEDORES[[#This Row],[PROVEEDOR]],PROVEEDORES[FECHA DE PAGO],"")</f>
        <v>264406</v>
      </c>
      <c r="E1229" s="30"/>
      <c r="F1229" s="73" t="str">
        <f>+VLOOKUP(PROVEEDORES[[#This Row],[PROVEEDOR]],TERCEROS_INFO[[PROVEEDOR]:[CORREO]],5,FALSE)</f>
        <v>oswaldo.alvarez@logimexsas.com;girlesa.ruiz@servipilas.com;joriescobar64@gmail.com</v>
      </c>
      <c r="G1229" s="111">
        <v>44602</v>
      </c>
      <c r="H1229" s="31" t="s">
        <v>393</v>
      </c>
      <c r="I1229" s="111">
        <v>44593</v>
      </c>
      <c r="J1229" s="48" t="s">
        <v>1144</v>
      </c>
      <c r="K1229" s="26">
        <v>3402</v>
      </c>
      <c r="L1229" s="26"/>
      <c r="M1229" s="27">
        <v>0</v>
      </c>
      <c r="N1229" s="28"/>
      <c r="O1229" s="27">
        <v>0</v>
      </c>
      <c r="P1229" s="28">
        <v>0</v>
      </c>
      <c r="Q1229" s="27">
        <v>0</v>
      </c>
      <c r="R1229" s="26">
        <v>3402</v>
      </c>
      <c r="S1229" s="115">
        <f ca="1">IF(PROVEEDORES[[#This Row],[FECHA DE PAGO]]=0,TODAY()-PROVEEDORES[[#This Row],[FECHA DE FACTURACIÓN]]-PROVEEDORES[[#This Row],[PLAZO Días]],0)</f>
        <v>0</v>
      </c>
      <c r="T122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0" spans="1:20" ht="21.9" customHeight="1" x14ac:dyDescent="0.3">
      <c r="A1230" s="113" t="str">
        <f>+IF(PROVEEDORES[[#This Row],[FECHA DE PAGO]]=PROVEEDORES[[#This Row],[FECHA DE FACTURACIÓN]],"DE CONTADO","CRÉDITO")</f>
        <v>CRÉDITO</v>
      </c>
      <c r="B1230" s="51" t="b">
        <f>+IF((PROVEEDORES[[#This Row],[FECHA DE PAGO]]-PROVEEDORES[[#This Row],[FECHA DE FACTURACIÓN]])&gt;PROVEEDORES[[#This Row],[PLAZO Días]],"PAGO VENCIDO")</f>
        <v>0</v>
      </c>
      <c r="C1230" s="25">
        <f>+VLOOKUP(PROVEEDORES[[#This Row],[PROVEEDOR]],TERCEROS_INFO[#All],2,FALSE)</f>
        <v>20</v>
      </c>
      <c r="D1230" s="30">
        <f>+SUMIFS(PROVEEDORES[Total],PROVEEDORES[PROVEEDOR],PROVEEDORES[[#This Row],[PROVEEDOR]],PROVEEDORES[FECHA DE PAGO],"")</f>
        <v>0</v>
      </c>
      <c r="E1230" s="30"/>
      <c r="F1230" s="73" t="str">
        <f>+VLOOKUP(PROVEEDORES[[#This Row],[PROVEEDOR]],TERCEROS_INFO[[PROVEEDOR]:[CORREO]],5,FALSE)</f>
        <v>bog.fa1@pressex.co;bog.fm1@pressex.co;kbaumgartner@pressex.co;girlesa.ruiz@servipilas.com;joriescobar64@gmail.com</v>
      </c>
      <c r="G1230" s="111">
        <v>44609</v>
      </c>
      <c r="H1230" s="31" t="s">
        <v>448</v>
      </c>
      <c r="I1230" s="111">
        <v>44593</v>
      </c>
      <c r="J1230" s="48" t="s">
        <v>1157</v>
      </c>
      <c r="K1230" s="26">
        <v>155400</v>
      </c>
      <c r="L1230" s="26"/>
      <c r="M1230" s="27">
        <v>0</v>
      </c>
      <c r="N1230" s="28"/>
      <c r="O1230" s="27">
        <v>0</v>
      </c>
      <c r="P1230" s="28">
        <v>0.01</v>
      </c>
      <c r="Q1230" s="27">
        <v>1554</v>
      </c>
      <c r="R1230" s="26">
        <v>153846</v>
      </c>
      <c r="S1230" s="115">
        <f ca="1">IF(PROVEEDORES[[#This Row],[FECHA DE PAGO]]=0,TODAY()-PROVEEDORES[[#This Row],[FECHA DE FACTURACIÓN]]-PROVEEDORES[[#This Row],[PLAZO Días]],0)</f>
        <v>0</v>
      </c>
      <c r="T123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1" spans="1:20" ht="21.9" customHeight="1" x14ac:dyDescent="0.3">
      <c r="A1231" s="113" t="str">
        <f>+IF(PROVEEDORES[[#This Row],[FECHA DE PAGO]]=PROVEEDORES[[#This Row],[FECHA DE FACTURACIÓN]],"DE CONTADO","CRÉDITO")</f>
        <v>CRÉDITO</v>
      </c>
      <c r="B1231" s="51" t="b">
        <f>+IF((PROVEEDORES[[#This Row],[FECHA DE PAGO]]-PROVEEDORES[[#This Row],[FECHA DE FACTURACIÓN]])&gt;PROVEEDORES[[#This Row],[PLAZO Días]],"PAGO VENCIDO")</f>
        <v>0</v>
      </c>
      <c r="C1231" s="25">
        <f>+VLOOKUP(PROVEEDORES[[#This Row],[PROVEEDOR]],TERCEROS_INFO[#All],2,FALSE)</f>
        <v>30</v>
      </c>
      <c r="D1231" s="30">
        <f>+SUMIFS(PROVEEDORES[Total],PROVEEDORES[PROVEEDOR],PROVEEDORES[[#This Row],[PROVEEDOR]],PROVEEDORES[FECHA DE PAGO],"")</f>
        <v>248736.18000000002</v>
      </c>
      <c r="E1231" s="30"/>
      <c r="F1231" s="73" t="str">
        <f>+VLOOKUP(PROVEEDORES[[#This Row],[PROVEEDOR]],TERCEROS_INFO[[PROVEEDOR]:[CORREO]],5,FALSE)</f>
        <v>administracion@sapian.com.co;girlesa.ruiz@servipilas.com;joriescobar64@gmail.com</v>
      </c>
      <c r="G1231" s="111">
        <v>44617</v>
      </c>
      <c r="H1231" s="31" t="s">
        <v>346</v>
      </c>
      <c r="I1231" s="111">
        <v>44593</v>
      </c>
      <c r="J1231" s="48">
        <v>4124</v>
      </c>
      <c r="K1231" s="26">
        <v>215356</v>
      </c>
      <c r="L1231" s="26"/>
      <c r="M1231" s="27">
        <v>40917.64</v>
      </c>
      <c r="N1231" s="28"/>
      <c r="O1231" s="27">
        <v>0</v>
      </c>
      <c r="P1231" s="28">
        <v>3.5000000000000003E-2</v>
      </c>
      <c r="Q1231" s="27">
        <v>7537.4600000000009</v>
      </c>
      <c r="R1231" s="26">
        <v>248736.18000000002</v>
      </c>
      <c r="S1231" s="115">
        <f ca="1">IF(PROVEEDORES[[#This Row],[FECHA DE PAGO]]=0,TODAY()-PROVEEDORES[[#This Row],[FECHA DE FACTURACIÓN]]-PROVEEDORES[[#This Row],[PLAZO Días]],0)</f>
        <v>0</v>
      </c>
      <c r="T12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2" spans="1:20" ht="21.9" customHeight="1" x14ac:dyDescent="0.3">
      <c r="A1232" s="113" t="str">
        <f>+IF(PROVEEDORES[[#This Row],[FECHA DE PAGO]]=PROVEEDORES[[#This Row],[FECHA DE FACTURACIÓN]],"DE CONTADO","CRÉDITO")</f>
        <v>CRÉDITO</v>
      </c>
      <c r="B1232" s="51" t="b">
        <f>+IF((PROVEEDORES[[#This Row],[FECHA DE PAGO]]-PROVEEDORES[[#This Row],[FECHA DE FACTURACIÓN]])&gt;PROVEEDORES[[#This Row],[PLAZO Días]],"PAGO VENCIDO")</f>
        <v>0</v>
      </c>
      <c r="C1232" s="25">
        <f>+VLOOKUP(PROVEEDORES[[#This Row],[PROVEEDOR]],TERCEROS_INFO[#All],2,FALSE)</f>
        <v>30</v>
      </c>
      <c r="D1232" s="30">
        <f>+SUMIFS(PROVEEDORES[Total],PROVEEDORES[PROVEEDOR],PROVEEDORES[[#This Row],[PROVEEDOR]],PROVEEDORES[FECHA DE PAGO],"")</f>
        <v>0</v>
      </c>
      <c r="E1232" s="30"/>
      <c r="F1232" s="73" t="str">
        <f>+VLOOKUP(PROVEEDORES[[#This Row],[PROVEEDOR]],TERCEROS_INFO[[PROVEEDOR]:[CORREO]],5,FALSE)</f>
        <v>senalizacionyavisos@gmail.com;girlesa.ruiz@servipilas.com;joriescobar64@gmail.com</v>
      </c>
      <c r="G1232" s="111">
        <v>44595</v>
      </c>
      <c r="H1232" s="31" t="s">
        <v>341</v>
      </c>
      <c r="I1232" s="111">
        <v>44593</v>
      </c>
      <c r="J1232" s="48">
        <v>805</v>
      </c>
      <c r="K1232" s="26">
        <v>239200</v>
      </c>
      <c r="L1232" s="26"/>
      <c r="M1232" s="27">
        <v>45448</v>
      </c>
      <c r="N1232" s="28"/>
      <c r="O1232" s="27">
        <v>0</v>
      </c>
      <c r="P1232" s="28">
        <v>0</v>
      </c>
      <c r="Q1232" s="27">
        <v>0</v>
      </c>
      <c r="R1232" s="26">
        <v>0</v>
      </c>
      <c r="S1232" s="115">
        <f ca="1">IF(PROVEEDORES[[#This Row],[FECHA DE PAGO]]=0,TODAY()-PROVEEDORES[[#This Row],[FECHA DE FACTURACIÓN]]-PROVEEDORES[[#This Row],[PLAZO Días]],0)</f>
        <v>0</v>
      </c>
      <c r="T12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3" spans="1:20" ht="21.9" customHeight="1" x14ac:dyDescent="0.3">
      <c r="A1233" s="113" t="str">
        <f>+IF(PROVEEDORES[[#This Row],[FECHA DE PAGO]]=PROVEEDORES[[#This Row],[FECHA DE FACTURACIÓN]],"DE CONTADO","CRÉDITO")</f>
        <v>CRÉDITO</v>
      </c>
      <c r="B1233" s="51" t="b">
        <f>+IF((PROVEEDORES[[#This Row],[FECHA DE PAGO]]-PROVEEDORES[[#This Row],[FECHA DE FACTURACIÓN]])&gt;PROVEEDORES[[#This Row],[PLAZO Días]],"PAGO VENCIDO")</f>
        <v>0</v>
      </c>
      <c r="C1233" s="25">
        <f>+VLOOKUP(PROVEEDORES[[#This Row],[PROVEEDOR]],TERCEROS_INFO[#All],2,FALSE)</f>
        <v>30</v>
      </c>
      <c r="D1233" s="30">
        <f>+SUMIFS(PROVEEDORES[Total],PROVEEDORES[PROVEEDOR],PROVEEDORES[[#This Row],[PROVEEDOR]],PROVEEDORES[FECHA DE PAGO],"")</f>
        <v>0</v>
      </c>
      <c r="E1233" s="30"/>
      <c r="F1233" s="73" t="str">
        <f>+VLOOKUP(PROVEEDORES[[#This Row],[PROVEEDOR]],TERCEROS_INFO[[PROVEEDOR]:[CORREO]],5,FALSE)</f>
        <v>facturacion@losmolinos.com.co</v>
      </c>
      <c r="G1233" s="111">
        <v>44607</v>
      </c>
      <c r="H1233" s="31" t="s">
        <v>345</v>
      </c>
      <c r="I1233" s="111">
        <v>44593</v>
      </c>
      <c r="J1233" s="48">
        <v>66158</v>
      </c>
      <c r="K1233" s="26">
        <v>284467</v>
      </c>
      <c r="L1233" s="26"/>
      <c r="M1233" s="27">
        <v>0</v>
      </c>
      <c r="N1233" s="28"/>
      <c r="O1233" s="27">
        <v>0</v>
      </c>
      <c r="P1233" s="28">
        <v>0</v>
      </c>
      <c r="Q1233" s="27">
        <v>0</v>
      </c>
      <c r="R1233" s="26">
        <v>284467</v>
      </c>
      <c r="S1233" s="115">
        <f ca="1">IF(PROVEEDORES[[#This Row],[FECHA DE PAGO]]=0,TODAY()-PROVEEDORES[[#This Row],[FECHA DE FACTURACIÓN]]-PROVEEDORES[[#This Row],[PLAZO Días]],0)</f>
        <v>0</v>
      </c>
      <c r="T12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4" spans="1:20" ht="21.9" customHeight="1" x14ac:dyDescent="0.3">
      <c r="A1234" s="113" t="str">
        <f>+IF(PROVEEDORES[[#This Row],[FECHA DE PAGO]]=PROVEEDORES[[#This Row],[FECHA DE FACTURACIÓN]],"DE CONTADO","CRÉDITO")</f>
        <v>CRÉDITO</v>
      </c>
      <c r="B1234" s="51" t="str">
        <f>+IF((PROVEEDORES[[#This Row],[FECHA DE PAGO]]-PROVEEDORES[[#This Row],[FECHA DE FACTURACIÓN]])&gt;PROVEEDORES[[#This Row],[PLAZO Días]],"PAGO VENCIDO")</f>
        <v>PAGO VENCIDO</v>
      </c>
      <c r="C1234" s="25">
        <f>+VLOOKUP(PROVEEDORES[[#This Row],[PROVEEDOR]],TERCEROS_INFO[#All],2,FALSE)</f>
        <v>13</v>
      </c>
      <c r="D1234" s="30">
        <f>+SUMIFS(PROVEEDORES[Total],PROVEEDORES[PROVEEDOR],PROVEEDORES[[#This Row],[PROVEEDOR]],PROVEEDORES[FECHA DE PAGO],"")</f>
        <v>0</v>
      </c>
      <c r="E1234" s="30"/>
      <c r="F1234" s="73">
        <f>+VLOOKUP(PROVEEDORES[[#This Row],[PROVEEDOR]],TERCEROS_INFO[[PROVEEDOR]:[CORREO]],5,FALSE)</f>
        <v>0</v>
      </c>
      <c r="G1234" s="111">
        <v>44607</v>
      </c>
      <c r="H1234" s="31" t="s">
        <v>329</v>
      </c>
      <c r="I1234" s="111">
        <v>44593</v>
      </c>
      <c r="J1234" s="48" t="s">
        <v>331</v>
      </c>
      <c r="K1234" s="26">
        <v>313385</v>
      </c>
      <c r="L1234" s="26"/>
      <c r="M1234" s="27">
        <v>0</v>
      </c>
      <c r="N1234" s="28"/>
      <c r="O1234" s="27">
        <v>0</v>
      </c>
      <c r="P1234" s="28">
        <v>0</v>
      </c>
      <c r="Q1234" s="27">
        <v>0</v>
      </c>
      <c r="R1234" s="26">
        <v>313385</v>
      </c>
      <c r="S1234" s="115">
        <f ca="1">IF(PROVEEDORES[[#This Row],[FECHA DE PAGO]]=0,TODAY()-PROVEEDORES[[#This Row],[FECHA DE FACTURACIÓN]]-PROVEEDORES[[#This Row],[PLAZO Días]],0)</f>
        <v>0</v>
      </c>
      <c r="T123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5" spans="1:20" ht="21.9" customHeight="1" x14ac:dyDescent="0.3">
      <c r="A1235" s="113" t="str">
        <f>+IF(PROVEEDORES[[#This Row],[FECHA DE PAGO]]=PROVEEDORES[[#This Row],[FECHA DE FACTURACIÓN]],"DE CONTADO","CRÉDITO")</f>
        <v>CRÉDITO</v>
      </c>
      <c r="B1235" s="51" t="b">
        <f>+IF((PROVEEDORES[[#This Row],[FECHA DE PAGO]]-PROVEEDORES[[#This Row],[FECHA DE FACTURACIÓN]])&gt;PROVEEDORES[[#This Row],[PLAZO Días]],"PAGO VENCIDO")</f>
        <v>0</v>
      </c>
      <c r="C1235" s="25">
        <f>+VLOOKUP(PROVEEDORES[[#This Row],[PROVEEDOR]],TERCEROS_INFO[#All],2,FALSE)</f>
        <v>20</v>
      </c>
      <c r="D1235" s="30">
        <f>+SUMIFS(PROVEEDORES[Total],PROVEEDORES[PROVEEDOR],PROVEEDORES[[#This Row],[PROVEEDOR]],PROVEEDORES[FECHA DE PAGO],"")</f>
        <v>0</v>
      </c>
      <c r="E1235" s="30"/>
      <c r="F1235" s="73" t="str">
        <f>+VLOOKUP(PROVEEDORES[[#This Row],[PROVEEDOR]],TERCEROS_INFO[[PROVEEDOR]:[CORREO]],5,FALSE)</f>
        <v>pse</v>
      </c>
      <c r="G1235" s="111">
        <v>44607</v>
      </c>
      <c r="H1235" s="31" t="s">
        <v>373</v>
      </c>
      <c r="I1235" s="111">
        <v>44593</v>
      </c>
      <c r="J1235" s="48"/>
      <c r="K1235" s="26">
        <v>326243</v>
      </c>
      <c r="L1235" s="26"/>
      <c r="M1235" s="27">
        <v>0</v>
      </c>
      <c r="N1235" s="28"/>
      <c r="O1235" s="27">
        <v>0</v>
      </c>
      <c r="P1235" s="28">
        <v>0</v>
      </c>
      <c r="Q1235" s="27">
        <v>0</v>
      </c>
      <c r="R1235" s="26">
        <v>326243</v>
      </c>
      <c r="S1235" s="115">
        <f ca="1">IF(PROVEEDORES[[#This Row],[FECHA DE PAGO]]=0,TODAY()-PROVEEDORES[[#This Row],[FECHA DE FACTURACIÓN]]-PROVEEDORES[[#This Row],[PLAZO Días]],0)</f>
        <v>0</v>
      </c>
      <c r="T12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6" spans="1:20" ht="21.9" customHeight="1" x14ac:dyDescent="0.3">
      <c r="A1236" s="113" t="str">
        <f>+IF(PROVEEDORES[[#This Row],[FECHA DE PAGO]]=PROVEEDORES[[#This Row],[FECHA DE FACTURACIÓN]],"DE CONTADO","CRÉDITO")</f>
        <v>CRÉDITO</v>
      </c>
      <c r="B1236" s="51" t="b">
        <f>+IF((PROVEEDORES[[#This Row],[FECHA DE PAGO]]-PROVEEDORES[[#This Row],[FECHA DE FACTURACIÓN]])&gt;PROVEEDORES[[#This Row],[PLAZO Días]],"PAGO VENCIDO")</f>
        <v>0</v>
      </c>
      <c r="C1236" s="25">
        <f>+VLOOKUP(PROVEEDORES[[#This Row],[PROVEEDOR]],TERCEROS_INFO[#All],2,FALSE)</f>
        <v>30</v>
      </c>
      <c r="D1236" s="30">
        <f>+SUMIFS(PROVEEDORES[Total],PROVEEDORES[PROVEEDOR],PROVEEDORES[[#This Row],[PROVEEDOR]],PROVEEDORES[FECHA DE PAGO],"")</f>
        <v>4862586.33</v>
      </c>
      <c r="E1236" s="30"/>
      <c r="F1236" s="73" t="str">
        <f>+VLOOKUP(PROVEEDORES[[#This Row],[PROVEEDOR]],TERCEROS_INFO[[PROVEEDOR]:[CORREO]],5,FALSE)</f>
        <v>cartera@conbienes.com;girlesa.ruiz@servipilas.com;joriescobar64@gmail.com</v>
      </c>
      <c r="G1236" s="111">
        <v>44617</v>
      </c>
      <c r="H1236" s="31" t="s">
        <v>348</v>
      </c>
      <c r="I1236" s="111">
        <v>44593</v>
      </c>
      <c r="J1236" s="48" t="s">
        <v>1108</v>
      </c>
      <c r="K1236" s="26">
        <v>716544</v>
      </c>
      <c r="L1236" s="26"/>
      <c r="M1236" s="27">
        <v>136143.36000000002</v>
      </c>
      <c r="N1236" s="28"/>
      <c r="O1236" s="27">
        <v>0</v>
      </c>
      <c r="P1236" s="28">
        <v>0</v>
      </c>
      <c r="Q1236" s="27">
        <v>0</v>
      </c>
      <c r="R1236" s="26">
        <v>852687.35999999999</v>
      </c>
      <c r="S1236" s="115">
        <f ca="1">IF(PROVEEDORES[[#This Row],[FECHA DE PAGO]]=0,TODAY()-PROVEEDORES[[#This Row],[FECHA DE FACTURACIÓN]]-PROVEEDORES[[#This Row],[PLAZO Días]],0)</f>
        <v>0</v>
      </c>
      <c r="T12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7" spans="1:20" ht="21.9" customHeight="1" x14ac:dyDescent="0.3">
      <c r="A1237" s="113" t="str">
        <f>+IF(PROVEEDORES[[#This Row],[FECHA DE PAGO]]=PROVEEDORES[[#This Row],[FECHA DE FACTURACIÓN]],"DE CONTADO","CRÉDITO")</f>
        <v>CRÉDITO</v>
      </c>
      <c r="B1237" s="51" t="b">
        <f>+IF((PROVEEDORES[[#This Row],[FECHA DE PAGO]]-PROVEEDORES[[#This Row],[FECHA DE FACTURACIÓN]])&gt;PROVEEDORES[[#This Row],[PLAZO Días]],"PAGO VENCIDO")</f>
        <v>0</v>
      </c>
      <c r="C1237" s="25">
        <f>+VLOOKUP(PROVEEDORES[[#This Row],[PROVEEDOR]],TERCEROS_INFO[#All],2,FALSE)</f>
        <v>30</v>
      </c>
      <c r="D1237" s="30">
        <f>+SUMIFS(PROVEEDORES[Total],PROVEEDORES[PROVEEDOR],PROVEEDORES[[#This Row],[PROVEEDOR]],PROVEEDORES[FECHA DE PAGO],"")</f>
        <v>0</v>
      </c>
      <c r="E1237" s="30"/>
      <c r="F1237" s="73" t="str">
        <f>+VLOOKUP(PROVEEDORES[[#This Row],[PROVEEDOR]],TERCEROS_INFO[[PROVEEDOR]:[CORREO]],5,FALSE)</f>
        <v>PSE</v>
      </c>
      <c r="G1237" s="111">
        <v>44616</v>
      </c>
      <c r="H1237" s="31" t="s">
        <v>353</v>
      </c>
      <c r="I1237" s="111">
        <v>44593</v>
      </c>
      <c r="J1237" s="48">
        <v>13188</v>
      </c>
      <c r="K1237" s="26">
        <v>800264</v>
      </c>
      <c r="L1237" s="26"/>
      <c r="M1237" s="27">
        <v>0</v>
      </c>
      <c r="N1237" s="28"/>
      <c r="O1237" s="27">
        <v>0</v>
      </c>
      <c r="P1237" s="28">
        <v>0</v>
      </c>
      <c r="Q1237" s="27">
        <v>0</v>
      </c>
      <c r="R1237" s="26">
        <v>800264</v>
      </c>
      <c r="S1237" s="115">
        <f ca="1">IF(PROVEEDORES[[#This Row],[FECHA DE PAGO]]=0,TODAY()-PROVEEDORES[[#This Row],[FECHA DE FACTURACIÓN]]-PROVEEDORES[[#This Row],[PLAZO Días]],0)</f>
        <v>0</v>
      </c>
      <c r="T12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8" spans="1:20" ht="21.9" customHeight="1" x14ac:dyDescent="0.3">
      <c r="A1238" s="113" t="str">
        <f>+IF(PROVEEDORES[[#This Row],[FECHA DE PAGO]]=PROVEEDORES[[#This Row],[FECHA DE FACTURACIÓN]],"DE CONTADO","CRÉDITO")</f>
        <v>CRÉDITO</v>
      </c>
      <c r="B1238" s="51" t="b">
        <f>+IF((PROVEEDORES[[#This Row],[FECHA DE PAGO]]-PROVEEDORES[[#This Row],[FECHA DE FACTURACIÓN]])&gt;PROVEEDORES[[#This Row],[PLAZO Días]],"PAGO VENCIDO")</f>
        <v>0</v>
      </c>
      <c r="C1238" s="25">
        <f>+VLOOKUP(PROVEEDORES[[#This Row],[PROVEEDOR]],TERCEROS_INFO[#All],2,FALSE)</f>
        <v>30</v>
      </c>
      <c r="D1238" s="30">
        <f>+SUMIFS(PROVEEDORES[Total],PROVEEDORES[PROVEEDOR],PROVEEDORES[[#This Row],[PROVEEDOR]],PROVEEDORES[FECHA DE PAGO],"")</f>
        <v>0</v>
      </c>
      <c r="E1238" s="30"/>
      <c r="F1238" s="73" t="str">
        <f>+VLOOKUP(PROVEEDORES[[#This Row],[PROVEEDOR]],TERCEROS_INFO[[PROVEEDOR]:[CORREO]],5,FALSE)</f>
        <v>PSE</v>
      </c>
      <c r="G1238" s="111">
        <v>44616</v>
      </c>
      <c r="H1238" s="31" t="s">
        <v>353</v>
      </c>
      <c r="I1238" s="111">
        <v>44593</v>
      </c>
      <c r="J1238" s="48">
        <v>13229</v>
      </c>
      <c r="K1238" s="26">
        <v>818874</v>
      </c>
      <c r="L1238" s="26"/>
      <c r="M1238" s="27">
        <v>0</v>
      </c>
      <c r="N1238" s="28"/>
      <c r="O1238" s="27">
        <v>0</v>
      </c>
      <c r="P1238" s="28">
        <v>0</v>
      </c>
      <c r="Q1238" s="27">
        <v>0</v>
      </c>
      <c r="R1238" s="26">
        <v>818874</v>
      </c>
      <c r="S1238" s="115">
        <f ca="1">IF(PROVEEDORES[[#This Row],[FECHA DE PAGO]]=0,TODAY()-PROVEEDORES[[#This Row],[FECHA DE FACTURACIÓN]]-PROVEEDORES[[#This Row],[PLAZO Días]],0)</f>
        <v>0</v>
      </c>
      <c r="T123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39" spans="1:20" ht="21.9" customHeight="1" x14ac:dyDescent="0.3">
      <c r="A1239" s="113" t="str">
        <f>+IF(PROVEEDORES[[#This Row],[FECHA DE PAGO]]=PROVEEDORES[[#This Row],[FECHA DE FACTURACIÓN]],"DE CONTADO","CRÉDITO")</f>
        <v>CRÉDITO</v>
      </c>
      <c r="B1239" s="51" t="b">
        <f>+IF((PROVEEDORES[[#This Row],[FECHA DE PAGO]]-PROVEEDORES[[#This Row],[FECHA DE FACTURACIÓN]])&gt;PROVEEDORES[[#This Row],[PLAZO Días]],"PAGO VENCIDO")</f>
        <v>0</v>
      </c>
      <c r="C1239" s="25">
        <f>+VLOOKUP(PROVEEDORES[[#This Row],[PROVEEDOR]],TERCEROS_INFO[#All],2,FALSE)</f>
        <v>20</v>
      </c>
      <c r="D1239" s="30">
        <f>+SUMIFS(PROVEEDORES[Total],PROVEEDORES[PROVEEDOR],PROVEEDORES[[#This Row],[PROVEEDOR]],PROVEEDORES[FECHA DE PAGO],"")</f>
        <v>0</v>
      </c>
      <c r="E1239" s="30"/>
      <c r="F1239" s="73" t="str">
        <f>+VLOOKUP(PROVEEDORES[[#This Row],[PROVEEDOR]],TERCEROS_INFO[[PROVEEDOR]:[CORREO]],5,FALSE)</f>
        <v>pse</v>
      </c>
      <c r="G1239" s="111">
        <v>44603</v>
      </c>
      <c r="H1239" s="31" t="s">
        <v>374</v>
      </c>
      <c r="I1239" s="111">
        <v>44593</v>
      </c>
      <c r="J1239" s="48"/>
      <c r="K1239" s="26">
        <v>945022</v>
      </c>
      <c r="L1239" s="26"/>
      <c r="M1239" s="27">
        <v>0</v>
      </c>
      <c r="N1239" s="28"/>
      <c r="O1239" s="27">
        <v>0</v>
      </c>
      <c r="P1239" s="28">
        <v>0</v>
      </c>
      <c r="Q1239" s="27">
        <v>0</v>
      </c>
      <c r="R1239" s="26">
        <v>945022</v>
      </c>
      <c r="S1239" s="115">
        <f ca="1">IF(PROVEEDORES[[#This Row],[FECHA DE PAGO]]=0,TODAY()-PROVEEDORES[[#This Row],[FECHA DE FACTURACIÓN]]-PROVEEDORES[[#This Row],[PLAZO Días]],0)</f>
        <v>0</v>
      </c>
      <c r="T123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0" spans="1:20" ht="21.9" customHeight="1" x14ac:dyDescent="0.3">
      <c r="A1240" s="113" t="str">
        <f>+IF(PROVEEDORES[[#This Row],[FECHA DE PAGO]]=PROVEEDORES[[#This Row],[FECHA DE FACTURACIÓN]],"DE CONTADO","CRÉDITO")</f>
        <v>DE CONTADO</v>
      </c>
      <c r="B1240" s="51" t="b">
        <f>+IF((PROVEEDORES[[#This Row],[FECHA DE PAGO]]-PROVEEDORES[[#This Row],[FECHA DE FACTURACIÓN]])&gt;PROVEEDORES[[#This Row],[PLAZO Días]],"PAGO VENCIDO")</f>
        <v>0</v>
      </c>
      <c r="C1240" s="25">
        <f>+VLOOKUP(PROVEEDORES[[#This Row],[PROVEEDOR]],TERCEROS_INFO[#All],2,FALSE)</f>
        <v>30</v>
      </c>
      <c r="D1240" s="30">
        <f>+SUMIFS(PROVEEDORES[Total],PROVEEDORES[PROVEEDOR],PROVEEDORES[[#This Row],[PROVEEDOR]],PROVEEDORES[FECHA DE PAGO],"")</f>
        <v>0</v>
      </c>
      <c r="E1240" s="30"/>
      <c r="F1240" s="73" t="str">
        <f>+VLOOKUP(PROVEEDORES[[#This Row],[PROVEEDOR]],TERCEROS_INFO[[PROVEEDOR]:[CORREO]],5,FALSE)</f>
        <v/>
      </c>
      <c r="G1240" s="111">
        <v>44593</v>
      </c>
      <c r="H1240" s="31" t="s">
        <v>1052</v>
      </c>
      <c r="I1240" s="111">
        <v>44593</v>
      </c>
      <c r="J1240" s="48"/>
      <c r="K1240" s="26">
        <v>1000000</v>
      </c>
      <c r="L1240" s="26"/>
      <c r="M1240" s="27">
        <v>0</v>
      </c>
      <c r="N1240" s="28"/>
      <c r="O1240" s="27">
        <v>0</v>
      </c>
      <c r="P1240" s="28">
        <v>0</v>
      </c>
      <c r="Q1240" s="27">
        <v>0</v>
      </c>
      <c r="R1240" s="26">
        <v>0</v>
      </c>
      <c r="S1240" s="115">
        <f ca="1">IF(PROVEEDORES[[#This Row],[FECHA DE PAGO]]=0,TODAY()-PROVEEDORES[[#This Row],[FECHA DE FACTURACIÓN]]-PROVEEDORES[[#This Row],[PLAZO Días]],0)</f>
        <v>0</v>
      </c>
      <c r="T12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1" spans="1:20" ht="21.9" customHeight="1" x14ac:dyDescent="0.3">
      <c r="A1241" s="113" t="str">
        <f>+IF(PROVEEDORES[[#This Row],[FECHA DE PAGO]]=PROVEEDORES[[#This Row],[FECHA DE FACTURACIÓN]],"DE CONTADO","CRÉDITO")</f>
        <v>CRÉDITO</v>
      </c>
      <c r="B1241" s="51" t="b">
        <f>+IF((PROVEEDORES[[#This Row],[FECHA DE PAGO]]-PROVEEDORES[[#This Row],[FECHA DE FACTURACIÓN]])&gt;PROVEEDORES[[#This Row],[PLAZO Días]],"PAGO VENCIDO")</f>
        <v>0</v>
      </c>
      <c r="C1241" s="25">
        <f>+VLOOKUP(PROVEEDORES[[#This Row],[PROVEEDOR]],TERCEROS_INFO[#All],2,FALSE)</f>
        <v>30</v>
      </c>
      <c r="D1241" s="30">
        <f>+SUMIFS(PROVEEDORES[Total],PROVEEDORES[PROVEEDOR],PROVEEDORES[[#This Row],[PROVEEDOR]],PROVEEDORES[FECHA DE PAGO],"")</f>
        <v>1296896</v>
      </c>
      <c r="E1241" s="30"/>
      <c r="F1241" s="73" t="str">
        <f>+VLOOKUP(PROVEEDORES[[#This Row],[PROVEEDOR]],TERCEROS_INFO[[PROVEEDOR]:[CORREO]],5,FALSE)</f>
        <v>tesoreria@lacentral.com.co;girlesa.ruiz@servipilas.com;joriescobar64@gmail.com</v>
      </c>
      <c r="G1241" s="111">
        <v>44617</v>
      </c>
      <c r="H1241" s="31" t="s">
        <v>335</v>
      </c>
      <c r="I1241" s="111">
        <v>44593</v>
      </c>
      <c r="J1241" s="48">
        <v>9918</v>
      </c>
      <c r="K1241" s="26">
        <v>1634691</v>
      </c>
      <c r="L1241" s="26"/>
      <c r="M1241" s="27">
        <v>0</v>
      </c>
      <c r="N1241" s="28"/>
      <c r="O1241" s="27">
        <v>79890</v>
      </c>
      <c r="P1241" s="28">
        <v>0</v>
      </c>
      <c r="Q1241" s="27">
        <v>0</v>
      </c>
      <c r="R1241" s="26">
        <v>1554801</v>
      </c>
      <c r="S1241" s="115">
        <f ca="1">IF(PROVEEDORES[[#This Row],[FECHA DE PAGO]]=0,TODAY()-PROVEEDORES[[#This Row],[FECHA DE FACTURACIÓN]]-PROVEEDORES[[#This Row],[PLAZO Días]],0)</f>
        <v>0</v>
      </c>
      <c r="T12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2" spans="1:20" ht="21.9" customHeight="1" x14ac:dyDescent="0.3">
      <c r="A1242" s="113" t="str">
        <f>+IF(PROVEEDORES[[#This Row],[FECHA DE PAGO]]=PROVEEDORES[[#This Row],[FECHA DE FACTURACIÓN]],"DE CONTADO","CRÉDITO")</f>
        <v>CRÉDITO</v>
      </c>
      <c r="B1242" s="51" t="b">
        <f>+IF((PROVEEDORES[[#This Row],[FECHA DE PAGO]]-PROVEEDORES[[#This Row],[FECHA DE FACTURACIÓN]])&gt;PROVEEDORES[[#This Row],[PLAZO Días]],"PAGO VENCIDO")</f>
        <v>0</v>
      </c>
      <c r="C1242" s="25">
        <f>+VLOOKUP(PROVEEDORES[[#This Row],[PROVEEDOR]],TERCEROS_INFO[#All],2,FALSE)</f>
        <v>30</v>
      </c>
      <c r="D1242" s="30">
        <f>+SUMIFS(PROVEEDORES[Total],PROVEEDORES[PROVEEDOR],PROVEEDORES[[#This Row],[PROVEEDOR]],PROVEEDORES[FECHA DE PAGO],"")</f>
        <v>0</v>
      </c>
      <c r="E1242" s="30"/>
      <c r="F1242" s="73" t="str">
        <f>+VLOOKUP(PROVEEDORES[[#This Row],[PROVEEDOR]],TERCEROS_INFO[[PROVEEDOR]:[CORREO]],5,FALSE)</f>
        <v>propertymarketingsas@hotmail.com;girlesa.ruiz@servipilas.com;joriescobar64@gmail.com</v>
      </c>
      <c r="G1242" s="111">
        <v>44617</v>
      </c>
      <c r="H1242" s="31" t="s">
        <v>486</v>
      </c>
      <c r="I1242" s="111">
        <v>44593</v>
      </c>
      <c r="J1242" s="48">
        <v>2200</v>
      </c>
      <c r="K1242" s="26">
        <v>2789636</v>
      </c>
      <c r="L1242" s="26"/>
      <c r="M1242" s="27">
        <v>0</v>
      </c>
      <c r="N1242" s="28"/>
      <c r="O1242" s="27">
        <v>0</v>
      </c>
      <c r="P1242" s="28">
        <v>3.5000000000000003E-2</v>
      </c>
      <c r="Q1242" s="27">
        <v>97637.260000000009</v>
      </c>
      <c r="R1242" s="26">
        <v>2691998.74</v>
      </c>
      <c r="S1242" s="115">
        <f ca="1">IF(PROVEEDORES[[#This Row],[FECHA DE PAGO]]=0,TODAY()-PROVEEDORES[[#This Row],[FECHA DE FACTURACIÓN]]-PROVEEDORES[[#This Row],[PLAZO Días]],0)</f>
        <v>0</v>
      </c>
      <c r="T12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3" spans="1:20" ht="21.9" customHeight="1" x14ac:dyDescent="0.3">
      <c r="A1243" s="113" t="str">
        <f>+IF(PROVEEDORES[[#This Row],[FECHA DE PAGO]]=PROVEEDORES[[#This Row],[FECHA DE FACTURACIÓN]],"DE CONTADO","CRÉDITO")</f>
        <v>CRÉDITO</v>
      </c>
      <c r="B1243" s="51" t="b">
        <f>+IF((PROVEEDORES[[#This Row],[FECHA DE PAGO]]-PROVEEDORES[[#This Row],[FECHA DE FACTURACIÓN]])&gt;PROVEEDORES[[#This Row],[PLAZO Días]],"PAGO VENCIDO")</f>
        <v>0</v>
      </c>
      <c r="C1243" s="25">
        <f>+VLOOKUP(PROVEEDORES[[#This Row],[PROVEEDOR]],TERCEROS_INFO[#All],2,FALSE)</f>
        <v>30</v>
      </c>
      <c r="D1243" s="30">
        <f>+SUMIFS(PROVEEDORES[Total],PROVEEDORES[PROVEEDOR],PROVEEDORES[[#This Row],[PROVEEDOR]],PROVEEDORES[FECHA DE PAGO],"")</f>
        <v>4862586.33</v>
      </c>
      <c r="E1243" s="30"/>
      <c r="F1243" s="73" t="str">
        <f>+VLOOKUP(PROVEEDORES[[#This Row],[PROVEEDOR]],TERCEROS_INFO[[PROVEEDOR]:[CORREO]],5,FALSE)</f>
        <v>cartera@conbienes.com;girlesa.ruiz@servipilas.com;joriescobar64@gmail.com</v>
      </c>
      <c r="G1243" s="111">
        <v>44617</v>
      </c>
      <c r="H1243" s="31" t="s">
        <v>348</v>
      </c>
      <c r="I1243" s="111">
        <v>44593</v>
      </c>
      <c r="J1243" s="48" t="s">
        <v>1109</v>
      </c>
      <c r="K1243" s="26">
        <v>3642787</v>
      </c>
      <c r="L1243" s="26"/>
      <c r="M1243" s="27">
        <v>692129.53</v>
      </c>
      <c r="N1243" s="28"/>
      <c r="O1243" s="27">
        <v>0</v>
      </c>
      <c r="P1243" s="28">
        <v>0</v>
      </c>
      <c r="Q1243" s="27">
        <v>0</v>
      </c>
      <c r="R1243" s="26">
        <v>4334916.53</v>
      </c>
      <c r="S1243" s="115">
        <f ca="1">IF(PROVEEDORES[[#This Row],[FECHA DE PAGO]]=0,TODAY()-PROVEEDORES[[#This Row],[FECHA DE FACTURACIÓN]]-PROVEEDORES[[#This Row],[PLAZO Días]],0)</f>
        <v>0</v>
      </c>
      <c r="T12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4" spans="1:20" ht="21.9" customHeight="1" x14ac:dyDescent="0.3">
      <c r="A1244" s="113" t="str">
        <f>+IF(PROVEEDORES[[#This Row],[FECHA DE PAGO]]=PROVEEDORES[[#This Row],[FECHA DE FACTURACIÓN]],"DE CONTADO","CRÉDITO")</f>
        <v>CRÉDITO</v>
      </c>
      <c r="B1244" s="51" t="b">
        <f>+IF((PROVEEDORES[[#This Row],[FECHA DE PAGO]]-PROVEEDORES[[#This Row],[FECHA DE FACTURACIÓN]])&gt;PROVEEDORES[[#This Row],[PLAZO Días]],"PAGO VENCIDO")</f>
        <v>0</v>
      </c>
      <c r="C1244" s="25">
        <f>+VLOOKUP(PROVEEDORES[[#This Row],[PROVEEDOR]],TERCEROS_INFO[#All],2,FALSE)</f>
        <v>30</v>
      </c>
      <c r="D1244" s="30">
        <f>+SUMIFS(PROVEEDORES[Total],PROVEEDORES[PROVEEDOR],PROVEEDORES[[#This Row],[PROVEEDOR]],PROVEEDORES[FECHA DE PAGO],"")</f>
        <v>0</v>
      </c>
      <c r="E1244" s="30"/>
      <c r="F1244" s="73" t="str">
        <f>+VLOOKUP(PROVEEDORES[[#This Row],[PROVEEDOR]],TERCEROS_INFO[[PROVEEDOR]:[CORREO]],5,FALSE)</f>
        <v>girlesa.ruiz@servipilas.com;joriescobar64@gmail.com</v>
      </c>
      <c r="G1244" s="111">
        <v>44617</v>
      </c>
      <c r="H1244" s="31" t="s">
        <v>339</v>
      </c>
      <c r="I1244" s="111">
        <v>44593</v>
      </c>
      <c r="J1244" s="48" t="s">
        <v>1120</v>
      </c>
      <c r="K1244" s="26">
        <v>3958317</v>
      </c>
      <c r="L1244" s="26"/>
      <c r="M1244" s="27">
        <v>0</v>
      </c>
      <c r="N1244" s="28"/>
      <c r="O1244" s="27">
        <v>0</v>
      </c>
      <c r="P1244" s="28">
        <v>3.5000000000000003E-2</v>
      </c>
      <c r="Q1244" s="27">
        <v>138541.095</v>
      </c>
      <c r="R1244" s="26">
        <v>3819775.9049999998</v>
      </c>
      <c r="S1244" s="115">
        <f ca="1">IF(PROVEEDORES[[#This Row],[FECHA DE PAGO]]=0,TODAY()-PROVEEDORES[[#This Row],[FECHA DE FACTURACIÓN]]-PROVEEDORES[[#This Row],[PLAZO Días]],0)</f>
        <v>0</v>
      </c>
      <c r="T124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5" spans="1:20" ht="21.9" customHeight="1" x14ac:dyDescent="0.3">
      <c r="A1245" s="113" t="str">
        <f>+IF(PROVEEDORES[[#This Row],[FECHA DE PAGO]]=PROVEEDORES[[#This Row],[FECHA DE FACTURACIÓN]],"DE CONTADO","CRÉDITO")</f>
        <v>CRÉDITO</v>
      </c>
      <c r="B1245" s="51" t="b">
        <f>+IF((PROVEEDORES[[#This Row],[FECHA DE PAGO]]-PROVEEDORES[[#This Row],[FECHA DE FACTURACIÓN]])&gt;PROVEEDORES[[#This Row],[PLAZO Días]],"PAGO VENCIDO")</f>
        <v>0</v>
      </c>
      <c r="C1245" s="25">
        <f>+VLOOKUP(PROVEEDORES[[#This Row],[PROVEEDOR]],TERCEROS_INFO[#All],2,FALSE)</f>
        <v>30</v>
      </c>
      <c r="D1245" s="30">
        <f>+SUMIFS(PROVEEDORES[Total],PROVEEDORES[PROVEEDOR],PROVEEDORES[[#This Row],[PROVEEDOR]],PROVEEDORES[FECHA DE PAGO],"")</f>
        <v>5060410.5999999996</v>
      </c>
      <c r="E1245" s="30"/>
      <c r="F1245" s="73" t="str">
        <f>+VLOOKUP(PROVEEDORES[[#This Row],[PROVEEDOR]],TERCEROS_INFO[[PROVEEDOR]:[CORREO]],5,FALSE)</f>
        <v>CBastidas@vyp.com.co;girlesa.ruiz@servipilas.com;joriescobar64@gmail.com</v>
      </c>
      <c r="G1245" s="111">
        <v>44617</v>
      </c>
      <c r="H1245" s="31" t="s">
        <v>347</v>
      </c>
      <c r="I1245" s="111">
        <v>44593</v>
      </c>
      <c r="J1245" s="48">
        <v>41982</v>
      </c>
      <c r="K1245" s="26">
        <v>4430000</v>
      </c>
      <c r="L1245" s="26"/>
      <c r="M1245" s="27">
        <v>841700</v>
      </c>
      <c r="N1245" s="28"/>
      <c r="O1245" s="27">
        <v>0</v>
      </c>
      <c r="P1245" s="28">
        <v>3.5000000000000003E-2</v>
      </c>
      <c r="Q1245" s="27">
        <v>155050.00000000003</v>
      </c>
      <c r="R1245" s="26">
        <v>5116650</v>
      </c>
      <c r="S1245" s="115">
        <f ca="1">IF(PROVEEDORES[[#This Row],[FECHA DE PAGO]]=0,TODAY()-PROVEEDORES[[#This Row],[FECHA DE FACTURACIÓN]]-PROVEEDORES[[#This Row],[PLAZO Días]],0)</f>
        <v>0</v>
      </c>
      <c r="T12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6" spans="1:20" ht="21.9" customHeight="1" x14ac:dyDescent="0.3">
      <c r="A1246" s="113" t="str">
        <f>+IF(PROVEEDORES[[#This Row],[FECHA DE PAGO]]=PROVEEDORES[[#This Row],[FECHA DE FACTURACIÓN]],"DE CONTADO","CRÉDITO")</f>
        <v>CRÉDITO</v>
      </c>
      <c r="B1246" s="51" t="b">
        <f>+IF((PROVEEDORES[[#This Row],[FECHA DE PAGO]]-PROVEEDORES[[#This Row],[FECHA DE FACTURACIÓN]])&gt;PROVEEDORES[[#This Row],[PLAZO Días]],"PAGO VENCIDO")</f>
        <v>0</v>
      </c>
      <c r="C1246" s="25">
        <f>+VLOOKUP(PROVEEDORES[[#This Row],[PROVEEDOR]],TERCEROS_INFO[#All],2,FALSE)</f>
        <v>30</v>
      </c>
      <c r="D1246" s="30">
        <f>+SUMIFS(PROVEEDORES[Total],PROVEEDORES[PROVEEDOR],PROVEEDORES[[#This Row],[PROVEEDOR]],PROVEEDORES[FECHA DE PAGO],"")</f>
        <v>24126684</v>
      </c>
      <c r="E1246" s="30"/>
      <c r="F1246" s="73">
        <f>+VLOOKUP(PROVEEDORES[[#This Row],[PROVEEDOR]],TERCEROS_INFO[[PROVEEDOR]:[CORREO]],5,FALSE)</f>
        <v>0</v>
      </c>
      <c r="H1246" s="31" t="s">
        <v>510</v>
      </c>
      <c r="I1246" s="111">
        <v>44593</v>
      </c>
      <c r="J1246" s="48" t="s">
        <v>1175</v>
      </c>
      <c r="K1246" s="26">
        <v>7278800</v>
      </c>
      <c r="L1246" s="26"/>
      <c r="M1246" s="27">
        <v>1382972</v>
      </c>
      <c r="N1246" s="28"/>
      <c r="O1246" s="27">
        <v>0</v>
      </c>
      <c r="P1246" s="28">
        <v>2.5000000000000001E-2</v>
      </c>
      <c r="Q1246" s="27">
        <v>181970</v>
      </c>
      <c r="R1246" s="26">
        <v>8479802</v>
      </c>
      <c r="S1246" s="115">
        <f ca="1">IF(PROVEEDORES[[#This Row],[FECHA DE PAGO]]=0,TODAY()-PROVEEDORES[[#This Row],[FECHA DE FACTURACIÓN]]-PROVEEDORES[[#This Row],[PLAZO Días]],0)</f>
        <v>45</v>
      </c>
      <c r="T1246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47" spans="1:20" ht="21.9" customHeight="1" x14ac:dyDescent="0.3">
      <c r="A1247" s="113" t="str">
        <f>+IF(PROVEEDORES[[#This Row],[FECHA DE PAGO]]=PROVEEDORES[[#This Row],[FECHA DE FACTURACIÓN]],"DE CONTADO","CRÉDITO")</f>
        <v>CRÉDITO</v>
      </c>
      <c r="B1247" s="51" t="str">
        <f>+IF((PROVEEDORES[[#This Row],[FECHA DE PAGO]]-PROVEEDORES[[#This Row],[FECHA DE FACTURACIÓN]])&gt;PROVEEDORES[[#This Row],[PLAZO Días]],"PAGO VENCIDO")</f>
        <v>PAGO VENCIDO</v>
      </c>
      <c r="C1247" s="25">
        <f>+VLOOKUP(PROVEEDORES[[#This Row],[PROVEEDOR]],TERCEROS_INFO[#All],2,FALSE)</f>
        <v>30</v>
      </c>
      <c r="D1247" s="30">
        <f>+SUMIFS(PROVEEDORES[Total],PROVEEDORES[PROVEEDOR],PROVEEDORES[[#This Row],[PROVEEDOR]],PROVEEDORES[FECHA DE PAGO],"")</f>
        <v>148000</v>
      </c>
      <c r="E1247" s="30"/>
      <c r="F1247" s="73" t="str">
        <f>+VLOOKUP(PROVEEDORES[[#This Row],[PROVEEDOR]],TERCEROS_INFO[[PROVEEDOR]:[CORREO]],5,FALSE)</f>
        <v>jarlysas@gmail.com;o.clockinternational@gmail.com;girlesa.ruiz@servipilas.com;joriescobar64@gmail.com</v>
      </c>
      <c r="G1247" s="111">
        <v>44657</v>
      </c>
      <c r="H1247" s="31" t="s">
        <v>1048</v>
      </c>
      <c r="I1247" s="111">
        <v>44594</v>
      </c>
      <c r="J1247" s="48" t="s">
        <v>1145</v>
      </c>
      <c r="K1247" s="26">
        <v>532400</v>
      </c>
      <c r="L1247" s="26"/>
      <c r="M1247" s="27">
        <v>0</v>
      </c>
      <c r="N1247" s="28"/>
      <c r="O1247" s="27">
        <v>0</v>
      </c>
      <c r="P1247" s="28">
        <v>0</v>
      </c>
      <c r="Q1247" s="27">
        <v>0</v>
      </c>
      <c r="R1247" s="26">
        <v>532400</v>
      </c>
      <c r="S1247" s="115">
        <f ca="1">IF(PROVEEDORES[[#This Row],[FECHA DE PAGO]]=0,TODAY()-PROVEEDORES[[#This Row],[FECHA DE FACTURACIÓN]]-PROVEEDORES[[#This Row],[PLAZO Días]],0)</f>
        <v>0</v>
      </c>
      <c r="T124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8" spans="1:20" ht="21.9" customHeight="1" x14ac:dyDescent="0.3">
      <c r="A1248" s="113" t="str">
        <f>+IF(PROVEEDORES[[#This Row],[FECHA DE PAGO]]=PROVEEDORES[[#This Row],[FECHA DE FACTURACIÓN]],"DE CONTADO","CRÉDITO")</f>
        <v>CRÉDITO</v>
      </c>
      <c r="B1248" s="51" t="str">
        <f>+IF((PROVEEDORES[[#This Row],[FECHA DE PAGO]]-PROVEEDORES[[#This Row],[FECHA DE FACTURACIÓN]])&gt;PROVEEDORES[[#This Row],[PLAZO Días]],"PAGO VENCIDO")</f>
        <v>PAGO VENCIDO</v>
      </c>
      <c r="C1248" s="25">
        <f>+VLOOKUP(PROVEEDORES[[#This Row],[PROVEEDOR]],TERCEROS_INFO[#All],2,FALSE)</f>
        <v>45</v>
      </c>
      <c r="D1248" s="30">
        <f>+SUMIFS(PROVEEDORES[Total],PROVEEDORES[PROVEEDOR],PROVEEDORES[[#This Row],[PROVEEDOR]],PROVEEDORES[FECHA DE PAGO],"")</f>
        <v>1070024.2</v>
      </c>
      <c r="E1248" s="30"/>
      <c r="F1248" s="73" t="str">
        <f>+VLOOKUP(PROVEEDORES[[#This Row],[PROVEEDOR]],TERCEROS_INFO[[PROVEEDOR]:[CORREO]],5,FALSE)</f>
        <v>libardopineda@tronex.com;girlesa.ruiz@servipilas.com;joriescobar64@gmail.com</v>
      </c>
      <c r="G1248" s="111">
        <v>44656</v>
      </c>
      <c r="H1248" s="31" t="s">
        <v>10</v>
      </c>
      <c r="I1248" s="111">
        <v>44594</v>
      </c>
      <c r="J1248" s="48" t="s">
        <v>1168</v>
      </c>
      <c r="K1248" s="26">
        <v>1140335.8999999999</v>
      </c>
      <c r="L1248" s="26"/>
      <c r="M1248" s="27">
        <v>216663.821</v>
      </c>
      <c r="N1248" s="28"/>
      <c r="O1248" s="27">
        <v>0</v>
      </c>
      <c r="P1248" s="28">
        <v>0</v>
      </c>
      <c r="Q1248" s="27">
        <v>0</v>
      </c>
      <c r="R1248" s="26">
        <v>1356999.7209999999</v>
      </c>
      <c r="S1248" s="115">
        <f ca="1">IF(PROVEEDORES[[#This Row],[FECHA DE PAGO]]=0,TODAY()-PROVEEDORES[[#This Row],[FECHA DE FACTURACIÓN]]-PROVEEDORES[[#This Row],[PLAZO Días]],0)</f>
        <v>0</v>
      </c>
      <c r="T124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49" spans="1:20" ht="21.9" customHeight="1" x14ac:dyDescent="0.3">
      <c r="A1249" s="113" t="str">
        <f>+IF(PROVEEDORES[[#This Row],[FECHA DE PAGO]]=PROVEEDORES[[#This Row],[FECHA DE FACTURACIÓN]],"DE CONTADO","CRÉDITO")</f>
        <v>CRÉDITO</v>
      </c>
      <c r="B1249" s="51" t="b">
        <f>+IF((PROVEEDORES[[#This Row],[FECHA DE PAGO]]-PROVEEDORES[[#This Row],[FECHA DE FACTURACIÓN]])&gt;PROVEEDORES[[#This Row],[PLAZO Días]],"PAGO VENCIDO")</f>
        <v>0</v>
      </c>
      <c r="C1249" s="25">
        <f>+VLOOKUP(PROVEEDORES[[#This Row],[PROVEEDOR]],TERCEROS_INFO[#All],2,FALSE)</f>
        <v>30</v>
      </c>
      <c r="D1249" s="30">
        <f>+SUMIFS(PROVEEDORES[Total],PROVEEDORES[PROVEEDOR],PROVEEDORES[[#This Row],[PROVEEDOR]],PROVEEDORES[FECHA DE PAGO],"")</f>
        <v>1356000</v>
      </c>
      <c r="E1249" s="30"/>
      <c r="F1249" s="73">
        <f>+VLOOKUP(PROVEEDORES[[#This Row],[PROVEEDOR]],TERCEROS_INFO[[PROVEEDOR]:[CORREO]],5,FALSE)</f>
        <v>0</v>
      </c>
      <c r="H1249" s="31" t="s">
        <v>1021</v>
      </c>
      <c r="I1249" s="111">
        <v>44594</v>
      </c>
      <c r="J1249" s="48" t="s">
        <v>1174</v>
      </c>
      <c r="K1249" s="26">
        <v>1356000</v>
      </c>
      <c r="L1249" s="26"/>
      <c r="M1249" s="27">
        <v>0</v>
      </c>
      <c r="N1249" s="28"/>
      <c r="O1249" s="27">
        <v>0</v>
      </c>
      <c r="P1249" s="28">
        <v>0</v>
      </c>
      <c r="Q1249" s="27">
        <v>0</v>
      </c>
      <c r="R1249" s="26">
        <v>1356000</v>
      </c>
      <c r="S1249" s="115">
        <f ca="1">IF(PROVEEDORES[[#This Row],[FECHA DE PAGO]]=0,TODAY()-PROVEEDORES[[#This Row],[FECHA DE FACTURACIÓN]]-PROVEEDORES[[#This Row],[PLAZO Días]],0)</f>
        <v>44</v>
      </c>
      <c r="T1249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50" spans="1:20" ht="21.9" customHeight="1" x14ac:dyDescent="0.3">
      <c r="A1250" s="113" t="str">
        <f>+IF(PROVEEDORES[[#This Row],[FECHA DE PAGO]]=PROVEEDORES[[#This Row],[FECHA DE FACTURACIÓN]],"DE CONTADO","CRÉDITO")</f>
        <v>CRÉDITO</v>
      </c>
      <c r="B1250" s="51" t="str">
        <f>+IF((PROVEEDORES[[#This Row],[FECHA DE PAGO]]-PROVEEDORES[[#This Row],[FECHA DE FACTURACIÓN]])&gt;PROVEEDORES[[#This Row],[PLAZO Días]],"PAGO VENCIDO")</f>
        <v>PAGO VENCIDO</v>
      </c>
      <c r="C1250" s="25">
        <f>+VLOOKUP(PROVEEDORES[[#This Row],[PROVEEDOR]],TERCEROS_INFO[#All],2,FALSE)</f>
        <v>45</v>
      </c>
      <c r="D1250" s="30">
        <f>+SUMIFS(PROVEEDORES[Total],PROVEEDORES[PROVEEDOR],PROVEEDORES[[#This Row],[PROVEEDOR]],PROVEEDORES[FECHA DE PAGO],"")</f>
        <v>1070024.2</v>
      </c>
      <c r="E1250" s="30"/>
      <c r="F1250" s="73" t="str">
        <f>+VLOOKUP(PROVEEDORES[[#This Row],[PROVEEDOR]],TERCEROS_INFO[[PROVEEDOR]:[CORREO]],5,FALSE)</f>
        <v>libardopineda@tronex.com;girlesa.ruiz@servipilas.com;joriescobar64@gmail.com</v>
      </c>
      <c r="G1250" s="111">
        <v>44656</v>
      </c>
      <c r="H1250" s="31" t="s">
        <v>10</v>
      </c>
      <c r="I1250" s="111">
        <v>44594</v>
      </c>
      <c r="J1250" s="48" t="s">
        <v>1167</v>
      </c>
      <c r="K1250" s="26">
        <v>1404200</v>
      </c>
      <c r="L1250" s="26"/>
      <c r="M1250" s="27">
        <v>266798</v>
      </c>
      <c r="N1250" s="28"/>
      <c r="O1250" s="27">
        <v>0</v>
      </c>
      <c r="P1250" s="28">
        <v>0</v>
      </c>
      <c r="Q1250" s="27">
        <v>0</v>
      </c>
      <c r="R1250" s="26">
        <v>1670998</v>
      </c>
      <c r="S1250" s="115">
        <f ca="1">IF(PROVEEDORES[[#This Row],[FECHA DE PAGO]]=0,TODAY()-PROVEEDORES[[#This Row],[FECHA DE FACTURACIÓN]]-PROVEEDORES[[#This Row],[PLAZO Días]],0)</f>
        <v>0</v>
      </c>
      <c r="T125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1" spans="1:20" ht="21.9" customHeight="1" x14ac:dyDescent="0.3">
      <c r="A1251" s="113" t="str">
        <f>+IF(PROVEEDORES[[#This Row],[FECHA DE PAGO]]=PROVEEDORES[[#This Row],[FECHA DE FACTURACIÓN]],"DE CONTADO","CRÉDITO")</f>
        <v>CRÉDITO</v>
      </c>
      <c r="B1251" s="51" t="str">
        <f>+IF((PROVEEDORES[[#This Row],[FECHA DE PAGO]]-PROVEEDORES[[#This Row],[FECHA DE FACTURACIÓN]])&gt;PROVEEDORES[[#This Row],[PLAZO Días]],"PAGO VENCIDO")</f>
        <v>PAGO VENCIDO</v>
      </c>
      <c r="C1251" s="25">
        <f>+VLOOKUP(PROVEEDORES[[#This Row],[PROVEEDOR]],TERCEROS_INFO[#All],2,FALSE)</f>
        <v>30</v>
      </c>
      <c r="D1251" s="30">
        <f>+SUMIFS(PROVEEDORES[Total],PROVEEDORES[PROVEEDOR],PROVEEDORES[[#This Row],[PROVEEDOR]],PROVEEDORES[FECHA DE PAGO],"")</f>
        <v>3750700</v>
      </c>
      <c r="E1251" s="30"/>
      <c r="F1251" s="73" t="str">
        <f>+VLOOKUP(PROVEEDORES[[#This Row],[PROVEEDOR]],TERCEROS_INFO[[PROVEEDOR]:[CORREO]],5,FALSE)</f>
        <v/>
      </c>
      <c r="G1251" s="111">
        <v>44643</v>
      </c>
      <c r="H1251" s="31" t="s">
        <v>996</v>
      </c>
      <c r="I1251" s="111">
        <v>44594</v>
      </c>
      <c r="J1251" s="48" t="s">
        <v>997</v>
      </c>
      <c r="K1251" s="26">
        <v>1778500</v>
      </c>
      <c r="L1251" s="26"/>
      <c r="M1251" s="27">
        <v>0</v>
      </c>
      <c r="N1251" s="28"/>
      <c r="O1251" s="27">
        <v>0</v>
      </c>
      <c r="P1251" s="28">
        <v>0</v>
      </c>
      <c r="Q1251" s="27">
        <v>0</v>
      </c>
      <c r="R1251" s="26">
        <v>1778500</v>
      </c>
      <c r="S1251" s="115">
        <f ca="1">IF(PROVEEDORES[[#This Row],[FECHA DE PAGO]]=0,TODAY()-PROVEEDORES[[#This Row],[FECHA DE FACTURACIÓN]]-PROVEEDORES[[#This Row],[PLAZO Días]],0)</f>
        <v>0</v>
      </c>
      <c r="T125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2" spans="1:20" ht="21.9" customHeight="1" x14ac:dyDescent="0.3">
      <c r="A1252" s="113" t="str">
        <f>+IF(PROVEEDORES[[#This Row],[FECHA DE PAGO]]=PROVEEDORES[[#This Row],[FECHA DE FACTURACIÓN]],"DE CONTADO","CRÉDITO")</f>
        <v>CRÉDITO</v>
      </c>
      <c r="B1252" s="51" t="str">
        <f>+IF((PROVEEDORES[[#This Row],[FECHA DE PAGO]]-PROVEEDORES[[#This Row],[FECHA DE FACTURACIÓN]])&gt;PROVEEDORES[[#This Row],[PLAZO Días]],"PAGO VENCIDO")</f>
        <v>PAGO VENCIDO</v>
      </c>
      <c r="C1252" s="25">
        <f>+VLOOKUP(PROVEEDORES[[#This Row],[PROVEEDOR]],TERCEROS_INFO[#All],2,FALSE)</f>
        <v>30</v>
      </c>
      <c r="D1252" s="30">
        <f>+SUMIFS(PROVEEDORES[Total],PROVEEDORES[PROVEEDOR],PROVEEDORES[[#This Row],[PROVEEDOR]],PROVEEDORES[FECHA DE PAGO],"")</f>
        <v>0</v>
      </c>
      <c r="E1252" s="30"/>
      <c r="F1252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1252" s="111">
        <v>44662</v>
      </c>
      <c r="H1252" s="31" t="s">
        <v>572</v>
      </c>
      <c r="I1252" s="111">
        <v>44595</v>
      </c>
      <c r="J1252" s="48" t="s">
        <v>1173</v>
      </c>
      <c r="K1252" s="26">
        <v>2130920</v>
      </c>
      <c r="L1252" s="26"/>
      <c r="M1252" s="27">
        <v>404874.8</v>
      </c>
      <c r="N1252" s="28"/>
      <c r="O1252" s="27">
        <v>0</v>
      </c>
      <c r="P1252" s="28">
        <v>0</v>
      </c>
      <c r="Q1252" s="27">
        <v>0</v>
      </c>
      <c r="R1252" s="26">
        <v>2535794.7999999998</v>
      </c>
      <c r="S1252" s="115">
        <f ca="1">IF(PROVEEDORES[[#This Row],[FECHA DE PAGO]]=0,TODAY()-PROVEEDORES[[#This Row],[FECHA DE FACTURACIÓN]]-PROVEEDORES[[#This Row],[PLAZO Días]],0)</f>
        <v>0</v>
      </c>
      <c r="T12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3" spans="1:20" ht="21.9" customHeight="1" x14ac:dyDescent="0.3">
      <c r="A1253" s="113" t="str">
        <f>+IF(PROVEEDORES[[#This Row],[FECHA DE PAGO]]=PROVEEDORES[[#This Row],[FECHA DE FACTURACIÓN]],"DE CONTADO","CRÉDITO")</f>
        <v>CRÉDITO</v>
      </c>
      <c r="B1253" s="51" t="str">
        <f>+IF((PROVEEDORES[[#This Row],[FECHA DE PAGO]]-PROVEEDORES[[#This Row],[FECHA DE FACTURACIÓN]])&gt;PROVEEDORES[[#This Row],[PLAZO Días]],"PAGO VENCIDO")</f>
        <v>PAGO VENCIDO</v>
      </c>
      <c r="C1253" s="25">
        <f>+VLOOKUP(PROVEEDORES[[#This Row],[PROVEEDOR]],TERCEROS_INFO[#All],2,FALSE)</f>
        <v>30</v>
      </c>
      <c r="D1253" s="30">
        <f>+SUMIFS(PROVEEDORES[Total],PROVEEDORES[PROVEEDOR],PROVEEDORES[[#This Row],[PROVEEDOR]],PROVEEDORES[FECHA DE PAGO],"")</f>
        <v>0</v>
      </c>
      <c r="E1253" s="30"/>
      <c r="F1253" s="73" t="str">
        <f>+VLOOKUP(PROVEEDORES[[#This Row],[PROVEEDOR]],TERCEROS_INFO[[PROVEEDOR]:[CORREO]],5,FALSE)</f>
        <v xml:space="preserve"> bateriasindustrialesbogota2@coexito.com.co;girlesa.ruiz@servipilas.com;joriescobar64@gmail.com</v>
      </c>
      <c r="G1253" s="111">
        <v>44662</v>
      </c>
      <c r="H1253" s="31" t="s">
        <v>572</v>
      </c>
      <c r="I1253" s="111">
        <v>44595</v>
      </c>
      <c r="J1253" s="48" t="s">
        <v>1169</v>
      </c>
      <c r="K1253" s="26">
        <v>3264000</v>
      </c>
      <c r="L1253" s="26"/>
      <c r="M1253" s="27">
        <v>620160</v>
      </c>
      <c r="N1253" s="28"/>
      <c r="O1253" s="27">
        <v>0</v>
      </c>
      <c r="P1253" s="28">
        <v>0</v>
      </c>
      <c r="Q1253" s="27">
        <v>0</v>
      </c>
      <c r="R1253" s="26">
        <v>3884160</v>
      </c>
      <c r="S1253" s="115">
        <f ca="1">IF(PROVEEDORES[[#This Row],[FECHA DE PAGO]]=0,TODAY()-PROVEEDORES[[#This Row],[FECHA DE FACTURACIÓN]]-PROVEEDORES[[#This Row],[PLAZO Días]],0)</f>
        <v>0</v>
      </c>
      <c r="T125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4" spans="1:20" ht="21.9" customHeight="1" x14ac:dyDescent="0.3">
      <c r="A1254" s="113" t="str">
        <f>+IF(PROVEEDORES[[#This Row],[FECHA DE PAGO]]=PROVEEDORES[[#This Row],[FECHA DE FACTURACIÓN]],"DE CONTADO","CRÉDITO")</f>
        <v>CRÉDITO</v>
      </c>
      <c r="B1254" s="51" t="b">
        <f>+IF((PROVEEDORES[[#This Row],[FECHA DE PAGO]]-PROVEEDORES[[#This Row],[FECHA DE FACTURACIÓN]])&gt;PROVEEDORES[[#This Row],[PLAZO Días]],"PAGO VENCIDO")</f>
        <v>0</v>
      </c>
      <c r="C1254" s="25">
        <f>+VLOOKUP(PROVEEDORES[[#This Row],[PROVEEDOR]],TERCEROS_INFO[#All],2,FALSE)</f>
        <v>30</v>
      </c>
      <c r="D1254" s="30">
        <f>+SUMIFS(PROVEEDORES[Total],PROVEEDORES[PROVEEDOR],PROVEEDORES[[#This Row],[PROVEEDOR]],PROVEEDORES[FECHA DE PAGO],"")</f>
        <v>0</v>
      </c>
      <c r="E1254" s="30"/>
      <c r="F1254" s="73" t="str">
        <f>+VLOOKUP(PROVEEDORES[[#This Row],[PROVEEDOR]],TERCEROS_INFO[[PROVEEDOR]:[CORREO]],5,FALSE)</f>
        <v>oswaldo.alvarez@logimexsas.com;girlesa.ruiz@servipilas.com;joriescobar64@gmail.com</v>
      </c>
      <c r="G1254" s="111">
        <v>44602</v>
      </c>
      <c r="H1254" s="31" t="s">
        <v>456</v>
      </c>
      <c r="I1254" s="111">
        <v>44596</v>
      </c>
      <c r="J1254" s="48" t="s">
        <v>1141</v>
      </c>
      <c r="K1254" s="26">
        <v>3400</v>
      </c>
      <c r="L1254" s="26"/>
      <c r="M1254" s="27">
        <v>0</v>
      </c>
      <c r="N1254" s="28"/>
      <c r="O1254" s="27">
        <v>0</v>
      </c>
      <c r="P1254" s="28">
        <v>0</v>
      </c>
      <c r="Q1254" s="27">
        <v>0</v>
      </c>
      <c r="R1254" s="26">
        <v>3400</v>
      </c>
      <c r="S1254" s="115">
        <f ca="1">IF(PROVEEDORES[[#This Row],[FECHA DE PAGO]]=0,TODAY()-PROVEEDORES[[#This Row],[FECHA DE FACTURACIÓN]]-PROVEEDORES[[#This Row],[PLAZO Días]],0)</f>
        <v>0</v>
      </c>
      <c r="T12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5" spans="1:20" ht="21.9" customHeight="1" x14ac:dyDescent="0.3">
      <c r="A1255" s="113" t="str">
        <f>+IF(PROVEEDORES[[#This Row],[FECHA DE PAGO]]=PROVEEDORES[[#This Row],[FECHA DE FACTURACIÓN]],"DE CONTADO","CRÉDITO")</f>
        <v>CRÉDITO</v>
      </c>
      <c r="B1255" s="51" t="b">
        <f>+IF((PROVEEDORES[[#This Row],[FECHA DE PAGO]]-PROVEEDORES[[#This Row],[FECHA DE FACTURACIÓN]])&gt;PROVEEDORES[[#This Row],[PLAZO Días]],"PAGO VENCIDO")</f>
        <v>0</v>
      </c>
      <c r="C1255" s="25">
        <f>+VLOOKUP(PROVEEDORES[[#This Row],[PROVEEDOR]],TERCEROS_INFO[#All],2,FALSE)</f>
        <v>30</v>
      </c>
      <c r="D1255" s="30">
        <f>+SUMIFS(PROVEEDORES[Total],PROVEEDORES[PROVEEDOR],PROVEEDORES[[#This Row],[PROVEEDOR]],PROVEEDORES[FECHA DE PAGO],"")</f>
        <v>0</v>
      </c>
      <c r="E1255" s="30"/>
      <c r="F1255" s="73" t="str">
        <f>+VLOOKUP(PROVEEDORES[[#This Row],[PROVEEDOR]],TERCEROS_INFO[[PROVEEDOR]:[CORREO]],5,FALSE)</f>
        <v>contabilidad@comercialweb.com.co;info@servipilas.com</v>
      </c>
      <c r="G1255" s="111">
        <v>44614</v>
      </c>
      <c r="H1255" s="31" t="s">
        <v>344</v>
      </c>
      <c r="I1255" s="111">
        <v>44596</v>
      </c>
      <c r="J1255" s="48">
        <v>915</v>
      </c>
      <c r="K1255" s="26">
        <v>600000</v>
      </c>
      <c r="L1255" s="26"/>
      <c r="M1255" s="27">
        <v>0</v>
      </c>
      <c r="N1255" s="28"/>
      <c r="O1255" s="27">
        <v>0</v>
      </c>
      <c r="P1255" s="28">
        <v>0</v>
      </c>
      <c r="Q1255" s="27">
        <v>0</v>
      </c>
      <c r="R1255" s="26">
        <v>600000</v>
      </c>
      <c r="S1255" s="115">
        <f ca="1">IF(PROVEEDORES[[#This Row],[FECHA DE PAGO]]=0,TODAY()-PROVEEDORES[[#This Row],[FECHA DE FACTURACIÓN]]-PROVEEDORES[[#This Row],[PLAZO Días]],0)</f>
        <v>0</v>
      </c>
      <c r="T125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6" spans="1:20" ht="21.9" customHeight="1" x14ac:dyDescent="0.3">
      <c r="A1256" s="113" t="str">
        <f>+IF(PROVEEDORES[[#This Row],[FECHA DE PAGO]]=PROVEEDORES[[#This Row],[FECHA DE FACTURACIÓN]],"DE CONTADO","CRÉDITO")</f>
        <v>CRÉDITO</v>
      </c>
      <c r="B1256" s="51" t="str">
        <f>+IF((PROVEEDORES[[#This Row],[FECHA DE PAGO]]-PROVEEDORES[[#This Row],[FECHA DE FACTURACIÓN]])&gt;PROVEEDORES[[#This Row],[PLAZO Días]],"PAGO VENCIDO")</f>
        <v>PAGO VENCIDO</v>
      </c>
      <c r="C1256" s="25">
        <f>+VLOOKUP(PROVEEDORES[[#This Row],[PROVEEDOR]],TERCEROS_INFO[#All],2,FALSE)</f>
        <v>45</v>
      </c>
      <c r="D1256" s="30">
        <f>+SUMIFS(PROVEEDORES[Total],PROVEEDORES[PROVEEDOR],PROVEEDORES[[#This Row],[PROVEEDOR]],PROVEEDORES[FECHA DE PAGO],"")</f>
        <v>17760678.600000001</v>
      </c>
      <c r="E1256" s="30"/>
      <c r="F1256" s="73" t="str">
        <f>+VLOOKUP(PROVEEDORES[[#This Row],[PROVEEDOR]],TERCEROS_INFO[[PROVEEDOR]:[CORREO]],5,FALSE)</f>
        <v>zully.florez@powest.com;girlesa.ruiz@servipilas.com;joriescobar64@gmail.com</v>
      </c>
      <c r="G1256" s="111">
        <v>44656</v>
      </c>
      <c r="H1256" s="31" t="s">
        <v>19</v>
      </c>
      <c r="I1256" s="111">
        <v>44596</v>
      </c>
      <c r="J1256" s="48" t="s">
        <v>1153</v>
      </c>
      <c r="K1256" s="26">
        <v>1164160</v>
      </c>
      <c r="L1256" s="26"/>
      <c r="M1256" s="27">
        <v>221190.39999999999</v>
      </c>
      <c r="N1256" s="28"/>
      <c r="O1256" s="27">
        <v>0</v>
      </c>
      <c r="P1256" s="28">
        <v>0</v>
      </c>
      <c r="Q1256" s="27">
        <v>0</v>
      </c>
      <c r="R1256" s="26">
        <v>1385350.4</v>
      </c>
      <c r="S1256" s="115">
        <f ca="1">IF(PROVEEDORES[[#This Row],[FECHA DE PAGO]]=0,TODAY()-PROVEEDORES[[#This Row],[FECHA DE FACTURACIÓN]]-PROVEEDORES[[#This Row],[PLAZO Días]],0)</f>
        <v>0</v>
      </c>
      <c r="T125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7" spans="1:20" ht="21.9" customHeight="1" x14ac:dyDescent="0.3">
      <c r="A1257" s="113" t="str">
        <f>+IF(PROVEEDORES[[#This Row],[FECHA DE PAGO]]=PROVEEDORES[[#This Row],[FECHA DE FACTURACIÓN]],"DE CONTADO","CRÉDITO")</f>
        <v>CRÉDITO</v>
      </c>
      <c r="B1257" s="51" t="b">
        <f>+IF((PROVEEDORES[[#This Row],[FECHA DE PAGO]]-PROVEEDORES[[#This Row],[FECHA DE FACTURACIÓN]])&gt;PROVEEDORES[[#This Row],[PLAZO Días]],"PAGO VENCIDO")</f>
        <v>0</v>
      </c>
      <c r="C1257" s="25">
        <f>+VLOOKUP(PROVEEDORES[[#This Row],[PROVEEDOR]],TERCEROS_INFO[#All],2,FALSE)</f>
        <v>30</v>
      </c>
      <c r="D1257" s="30">
        <f>+SUMIFS(PROVEEDORES[Total],PROVEEDORES[PROVEEDOR],PROVEEDORES[[#This Row],[PROVEEDOR]],PROVEEDORES[FECHA DE PAGO],"")</f>
        <v>1064947.47</v>
      </c>
      <c r="E1257" s="30"/>
      <c r="F1257" s="73" t="str">
        <f>+VLOOKUP(PROVEEDORES[[#This Row],[PROVEEDOR]],TERCEROS_INFO[[PROVEEDOR]:[CORREO]],5,FALSE)</f>
        <v>supervisorventasbridge@gmail.com;newtimewatches1@gmail.com;girlesa.ruiz@servipilas.com;joriescobar64@gmail.com</v>
      </c>
      <c r="H1257" s="31" t="s">
        <v>137</v>
      </c>
      <c r="I1257" s="111">
        <v>44597</v>
      </c>
      <c r="J1257" s="48">
        <v>51</v>
      </c>
      <c r="K1257" s="26">
        <v>914118</v>
      </c>
      <c r="L1257" s="26"/>
      <c r="M1257" s="27">
        <v>173682.42</v>
      </c>
      <c r="N1257" s="28"/>
      <c r="O1257" s="27">
        <v>0</v>
      </c>
      <c r="P1257" s="28">
        <v>2.5000000000000001E-2</v>
      </c>
      <c r="Q1257" s="27">
        <v>22852.95</v>
      </c>
      <c r="R1257" s="26">
        <v>1064947.47</v>
      </c>
      <c r="S1257" s="115">
        <f ca="1">IF(PROVEEDORES[[#This Row],[FECHA DE PAGO]]=0,TODAY()-PROVEEDORES[[#This Row],[FECHA DE FACTURACIÓN]]-PROVEEDORES[[#This Row],[PLAZO Días]],0)</f>
        <v>41</v>
      </c>
      <c r="T1257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58" spans="1:20" ht="21.9" customHeight="1" x14ac:dyDescent="0.3">
      <c r="A1258" s="113" t="str">
        <f>+IF(PROVEEDORES[[#This Row],[FECHA DE PAGO]]=PROVEEDORES[[#This Row],[FECHA DE FACTURACIÓN]],"DE CONTADO","CRÉDITO")</f>
        <v>CRÉDITO</v>
      </c>
      <c r="B1258" s="51" t="str">
        <f>+IF((PROVEEDORES[[#This Row],[FECHA DE PAGO]]-PROVEEDORES[[#This Row],[FECHA DE FACTURACIÓN]])&gt;PROVEEDORES[[#This Row],[PLAZO Días]],"PAGO VENCIDO")</f>
        <v>PAGO VENCIDO</v>
      </c>
      <c r="C1258" s="25">
        <f>+VLOOKUP(PROVEEDORES[[#This Row],[PROVEEDOR]],TERCEROS_INFO[#All],2,FALSE)</f>
        <v>30</v>
      </c>
      <c r="D1258" s="30">
        <f>+SUMIFS(PROVEEDORES[Total],PROVEEDORES[PROVEEDOR],PROVEEDORES[[#This Row],[PROVEEDOR]],PROVEEDORES[FECHA DE PAGO],"")</f>
        <v>936000</v>
      </c>
      <c r="E1258" s="30"/>
      <c r="F1258" s="73" t="str">
        <f>+VLOOKUP(PROVEEDORES[[#This Row],[PROVEEDOR]],TERCEROS_INFO[[PROVEEDOR]:[CORREO]],5,FALSE)</f>
        <v>stabarbaradistronik@gmail.com;girlesa.ruiz@servipilas.com;joriescobar64@gmail.com</v>
      </c>
      <c r="G1258" s="111">
        <v>44656</v>
      </c>
      <c r="H1258" s="31" t="s">
        <v>1072</v>
      </c>
      <c r="I1258" s="111">
        <v>44597</v>
      </c>
      <c r="J1258" s="48" t="s">
        <v>1073</v>
      </c>
      <c r="K1258" s="26">
        <v>1510000</v>
      </c>
      <c r="L1258" s="26"/>
      <c r="M1258" s="27">
        <v>0</v>
      </c>
      <c r="N1258" s="28"/>
      <c r="O1258" s="27">
        <v>0</v>
      </c>
      <c r="P1258" s="28">
        <v>0</v>
      </c>
      <c r="Q1258" s="27">
        <v>0</v>
      </c>
      <c r="R1258" s="26">
        <v>1510000</v>
      </c>
      <c r="S1258" s="115">
        <f ca="1">IF(PROVEEDORES[[#This Row],[FECHA DE PAGO]]=0,TODAY()-PROVEEDORES[[#This Row],[FECHA DE FACTURACIÓN]]-PROVEEDORES[[#This Row],[PLAZO Días]],0)</f>
        <v>0</v>
      </c>
      <c r="T125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59" spans="1:20" ht="21.9" customHeight="1" x14ac:dyDescent="0.3">
      <c r="A1259" s="113" t="str">
        <f>+IF(PROVEEDORES[[#This Row],[FECHA DE PAGO]]=PROVEEDORES[[#This Row],[FECHA DE FACTURACIÓN]],"DE CONTADO","CRÉDITO")</f>
        <v>CRÉDITO</v>
      </c>
      <c r="B1259" s="51" t="str">
        <f>+IF((PROVEEDORES[[#This Row],[FECHA DE PAGO]]-PROVEEDORES[[#This Row],[FECHA DE FACTURACIÓN]])&gt;PROVEEDORES[[#This Row],[PLAZO Días]],"PAGO VENCIDO")</f>
        <v>PAGO VENCIDO</v>
      </c>
      <c r="C1259" s="25">
        <f>+VLOOKUP(PROVEEDORES[[#This Row],[PROVEEDOR]],TERCEROS_INFO[#All],2,FALSE)</f>
        <v>30</v>
      </c>
      <c r="D1259" s="30">
        <f>+SUMIFS(PROVEEDORES[Total],PROVEEDORES[PROVEEDOR],PROVEEDORES[[#This Row],[PROVEEDOR]],PROVEEDORES[FECHA DE PAGO],"")</f>
        <v>3406</v>
      </c>
      <c r="E1259" s="30"/>
      <c r="F1259" s="73" t="str">
        <f>+VLOOKUP(PROVEEDORES[[#This Row],[PROVEEDOR]],TERCEROS_INFO[[PROVEEDOR]:[CORREO]],5,FALSE)</f>
        <v>ventas@ismartsas.com;girlesa.ruiz@servipilas.com;joriescobar64@gmail.com</v>
      </c>
      <c r="G1259" s="111">
        <v>44652</v>
      </c>
      <c r="H1259" s="31" t="s">
        <v>48</v>
      </c>
      <c r="I1259" s="111">
        <v>44599</v>
      </c>
      <c r="J1259" s="48" t="s">
        <v>1133</v>
      </c>
      <c r="K1259" s="26">
        <v>-97800</v>
      </c>
      <c r="L1259" s="26"/>
      <c r="M1259" s="27">
        <v>-18582</v>
      </c>
      <c r="N1259" s="28"/>
      <c r="O1259" s="27">
        <v>0</v>
      </c>
      <c r="P1259" s="28">
        <v>2.5000000000000001E-2</v>
      </c>
      <c r="Q1259" s="27">
        <v>-2445</v>
      </c>
      <c r="R1259" s="26">
        <v>-113937</v>
      </c>
      <c r="S1259" s="115">
        <f ca="1">IF(PROVEEDORES[[#This Row],[FECHA DE PAGO]]=0,TODAY()-PROVEEDORES[[#This Row],[FECHA DE FACTURACIÓN]]-PROVEEDORES[[#This Row],[PLAZO Días]],0)</f>
        <v>0</v>
      </c>
      <c r="T125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0" spans="1:20" ht="21.9" customHeight="1" x14ac:dyDescent="0.3">
      <c r="A1260" s="113" t="str">
        <f>+IF(PROVEEDORES[[#This Row],[FECHA DE PAGO]]=PROVEEDORES[[#This Row],[FECHA DE FACTURACIÓN]],"DE CONTADO","CRÉDITO")</f>
        <v>CRÉDITO</v>
      </c>
      <c r="B1260" s="51" t="str">
        <f>+IF((PROVEEDORES[[#This Row],[FECHA DE PAGO]]-PROVEEDORES[[#This Row],[FECHA DE FACTURACIÓN]])&gt;PROVEEDORES[[#This Row],[PLAZO Días]],"PAGO VENCIDO")</f>
        <v>PAGO VENCIDO</v>
      </c>
      <c r="C1260" s="25">
        <f>+VLOOKUP(PROVEEDORES[[#This Row],[PROVEEDOR]],TERCEROS_INFO[#All],2,FALSE)</f>
        <v>30</v>
      </c>
      <c r="D1260" s="30">
        <f>+SUMIFS(PROVEEDORES[Total],PROVEEDORES[PROVEEDOR],PROVEEDORES[[#This Row],[PROVEEDOR]],PROVEEDORES[FECHA DE PAGO],"")</f>
        <v>3406</v>
      </c>
      <c r="E1260" s="30"/>
      <c r="F1260" s="73" t="str">
        <f>+VLOOKUP(PROVEEDORES[[#This Row],[PROVEEDOR]],TERCEROS_INFO[[PROVEEDOR]:[CORREO]],5,FALSE)</f>
        <v>ventas@ismartsas.com;girlesa.ruiz@servipilas.com;joriescobar64@gmail.com</v>
      </c>
      <c r="G1260" s="111">
        <v>44652</v>
      </c>
      <c r="H1260" s="31" t="s">
        <v>48</v>
      </c>
      <c r="I1260" s="111">
        <v>44599</v>
      </c>
      <c r="J1260" s="48" t="s">
        <v>1134</v>
      </c>
      <c r="K1260" s="26">
        <v>-5851</v>
      </c>
      <c r="L1260" s="26"/>
      <c r="M1260" s="27">
        <v>0</v>
      </c>
      <c r="N1260" s="28"/>
      <c r="O1260" s="27">
        <v>0</v>
      </c>
      <c r="P1260" s="28">
        <v>0</v>
      </c>
      <c r="Q1260" s="27">
        <v>0</v>
      </c>
      <c r="R1260" s="26">
        <v>-5851</v>
      </c>
      <c r="S1260" s="115">
        <f ca="1">IF(PROVEEDORES[[#This Row],[FECHA DE PAGO]]=0,TODAY()-PROVEEDORES[[#This Row],[FECHA DE FACTURACIÓN]]-PROVEEDORES[[#This Row],[PLAZO Días]],0)</f>
        <v>0</v>
      </c>
      <c r="T126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1" spans="1:20" ht="21.9" customHeight="1" x14ac:dyDescent="0.3">
      <c r="A1261" s="113" t="str">
        <f>+IF(PROVEEDORES[[#This Row],[FECHA DE PAGO]]=PROVEEDORES[[#This Row],[FECHA DE FACTURACIÓN]],"DE CONTADO","CRÉDITO")</f>
        <v>CRÉDITO</v>
      </c>
      <c r="B1261" s="51" t="b">
        <f>+IF((PROVEEDORES[[#This Row],[FECHA DE PAGO]]-PROVEEDORES[[#This Row],[FECHA DE FACTURACIÓN]])&gt;PROVEEDORES[[#This Row],[PLAZO Días]],"PAGO VENCIDO")</f>
        <v>0</v>
      </c>
      <c r="C1261" s="25">
        <f>+VLOOKUP(PROVEEDORES[[#This Row],[PROVEEDOR]],TERCEROS_INFO[#All],2,FALSE)</f>
        <v>30</v>
      </c>
      <c r="D1261" s="30">
        <f>+SUMIFS(PROVEEDORES[Total],PROVEEDORES[PROVEEDOR],PROVEEDORES[[#This Row],[PROVEEDOR]],PROVEEDORES[FECHA DE PAGO],"")</f>
        <v>0</v>
      </c>
      <c r="E1261" s="30"/>
      <c r="F1261" s="73" t="str">
        <f>+VLOOKUP(PROVEEDORES[[#This Row],[PROVEEDOR]],TERCEROS_INFO[[PROVEEDOR]:[CORREO]],5,FALSE)</f>
        <v>CARLOSARCILAMENSAJERIA@gmail.com;girlesa.ruiz@servipilas.com;joriescobar64@gmail.com</v>
      </c>
      <c r="G1261" s="111">
        <v>44609</v>
      </c>
      <c r="H1261" s="31" t="s">
        <v>1046</v>
      </c>
      <c r="I1261" s="111">
        <v>44600</v>
      </c>
      <c r="J1261" s="48">
        <v>329</v>
      </c>
      <c r="K1261" s="26">
        <v>420000</v>
      </c>
      <c r="L1261" s="26"/>
      <c r="M1261" s="27">
        <v>0</v>
      </c>
      <c r="N1261" s="28"/>
      <c r="O1261" s="27">
        <v>0</v>
      </c>
      <c r="P1261" s="28">
        <v>0</v>
      </c>
      <c r="Q1261" s="27">
        <v>0</v>
      </c>
      <c r="R1261" s="26">
        <v>420000</v>
      </c>
      <c r="S1261" s="115">
        <f ca="1">IF(PROVEEDORES[[#This Row],[FECHA DE PAGO]]=0,TODAY()-PROVEEDORES[[#This Row],[FECHA DE FACTURACIÓN]]-PROVEEDORES[[#This Row],[PLAZO Días]],0)</f>
        <v>0</v>
      </c>
      <c r="T126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2" spans="1:20" ht="21.9" customHeight="1" x14ac:dyDescent="0.3">
      <c r="A1262" s="113" t="str">
        <f>+IF(PROVEEDORES[[#This Row],[FECHA DE PAGO]]=PROVEEDORES[[#This Row],[FECHA DE FACTURACIÓN]],"DE CONTADO","CRÉDITO")</f>
        <v>DE CONTADO</v>
      </c>
      <c r="B1262" s="51" t="b">
        <f>+IF((PROVEEDORES[[#This Row],[FECHA DE PAGO]]-PROVEEDORES[[#This Row],[FECHA DE FACTURACIÓN]])&gt;PROVEEDORES[[#This Row],[PLAZO Días]],"PAGO VENCIDO")</f>
        <v>0</v>
      </c>
      <c r="C1262" s="25">
        <f>+VLOOKUP(PROVEEDORES[[#This Row],[PROVEEDOR]],TERCEROS_INFO[#All],2,FALSE)</f>
        <v>30</v>
      </c>
      <c r="D1262" s="30">
        <f>+SUMIFS(PROVEEDORES[Total],PROVEEDORES[PROVEEDOR],PROVEEDORES[[#This Row],[PROVEEDOR]],PROVEEDORES[FECHA DE PAGO],"")</f>
        <v>0</v>
      </c>
      <c r="E1262" s="30"/>
      <c r="F1262" s="73" t="str">
        <f>+VLOOKUP(PROVEEDORES[[#This Row],[PROVEEDOR]],TERCEROS_INFO[[PROVEEDOR]:[CORREO]],5,FALSE)</f>
        <v/>
      </c>
      <c r="G1262" s="111">
        <v>44600</v>
      </c>
      <c r="H1262" s="31" t="s">
        <v>1037</v>
      </c>
      <c r="I1262" s="111">
        <v>44600</v>
      </c>
      <c r="J1262" s="48" t="s">
        <v>1038</v>
      </c>
      <c r="K1262" s="26">
        <v>1000000</v>
      </c>
      <c r="L1262" s="26"/>
      <c r="M1262" s="27">
        <v>0</v>
      </c>
      <c r="N1262" s="28"/>
      <c r="O1262" s="27">
        <v>0</v>
      </c>
      <c r="P1262" s="28">
        <v>0</v>
      </c>
      <c r="Q1262" s="27">
        <v>0</v>
      </c>
      <c r="R1262" s="26">
        <v>1000000</v>
      </c>
      <c r="S1262" s="115">
        <f ca="1">IF(PROVEEDORES[[#This Row],[FECHA DE PAGO]]=0,TODAY()-PROVEEDORES[[#This Row],[FECHA DE FACTURACIÓN]]-PROVEEDORES[[#This Row],[PLAZO Días]],0)</f>
        <v>0</v>
      </c>
      <c r="T12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3" spans="1:20" ht="21.9" customHeight="1" x14ac:dyDescent="0.3">
      <c r="A1263" s="113" t="str">
        <f>+IF(PROVEEDORES[[#This Row],[FECHA DE PAGO]]=PROVEEDORES[[#This Row],[FECHA DE FACTURACIÓN]],"DE CONTADO","CRÉDITO")</f>
        <v>DE CONTADO</v>
      </c>
      <c r="B1263" s="51" t="b">
        <f>+IF((PROVEEDORES[[#This Row],[FECHA DE PAGO]]-PROVEEDORES[[#This Row],[FECHA DE FACTURACIÓN]])&gt;PROVEEDORES[[#This Row],[PLAZO Días]],"PAGO VENCIDO")</f>
        <v>0</v>
      </c>
      <c r="C1263" s="25">
        <f>+VLOOKUP(PROVEEDORES[[#This Row],[PROVEEDOR]],TERCEROS_INFO[#All],2,FALSE)</f>
        <v>30</v>
      </c>
      <c r="D1263" s="30">
        <f>+SUMIFS(PROVEEDORES[Total],PROVEEDORES[PROVEEDOR],PROVEEDORES[[#This Row],[PROVEEDOR]],PROVEEDORES[FECHA DE PAGO],"")</f>
        <v>0</v>
      </c>
      <c r="E1263" s="30"/>
      <c r="F1263" s="73" t="str">
        <f>+VLOOKUP(PROVEEDORES[[#This Row],[PROVEEDOR]],TERCEROS_INFO[[PROVEEDOR]:[CORREO]],5,FALSE)</f>
        <v/>
      </c>
      <c r="G1263" s="111">
        <v>44600</v>
      </c>
      <c r="H1263" s="31" t="s">
        <v>1052</v>
      </c>
      <c r="I1263" s="111">
        <v>44600</v>
      </c>
      <c r="J1263" s="48"/>
      <c r="K1263" s="26">
        <v>2000000</v>
      </c>
      <c r="L1263" s="26"/>
      <c r="M1263" s="27">
        <v>0</v>
      </c>
      <c r="N1263" s="28"/>
      <c r="O1263" s="27">
        <v>0</v>
      </c>
      <c r="P1263" s="28">
        <v>0</v>
      </c>
      <c r="Q1263" s="27">
        <v>0</v>
      </c>
      <c r="R1263" s="26">
        <v>2000000</v>
      </c>
      <c r="S1263" s="115">
        <f ca="1">IF(PROVEEDORES[[#This Row],[FECHA DE PAGO]]=0,TODAY()-PROVEEDORES[[#This Row],[FECHA DE FACTURACIÓN]]-PROVEEDORES[[#This Row],[PLAZO Días]],0)</f>
        <v>0</v>
      </c>
      <c r="T12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4" spans="1:20" ht="21.9" customHeight="1" x14ac:dyDescent="0.3">
      <c r="A1264" s="113" t="str">
        <f>+IF(PROVEEDORES[[#This Row],[FECHA DE PAGO]]=PROVEEDORES[[#This Row],[FECHA DE FACTURACIÓN]],"DE CONTADO","CRÉDITO")</f>
        <v>CRÉDITO</v>
      </c>
      <c r="B1264" s="51" t="b">
        <f>+IF((PROVEEDORES[[#This Row],[FECHA DE PAGO]]-PROVEEDORES[[#This Row],[FECHA DE FACTURACIÓN]])&gt;PROVEEDORES[[#This Row],[PLAZO Días]],"PAGO VENCIDO")</f>
        <v>0</v>
      </c>
      <c r="C1264" s="25">
        <f>+VLOOKUP(PROVEEDORES[[#This Row],[PROVEEDOR]],TERCEROS_INFO[#All],2,FALSE)</f>
        <v>30</v>
      </c>
      <c r="D1264" s="30">
        <f>+SUMIFS(PROVEEDORES[Total],PROVEEDORES[PROVEEDOR],PROVEEDORES[[#This Row],[PROVEEDOR]],PROVEEDORES[FECHA DE PAGO],"")</f>
        <v>0</v>
      </c>
      <c r="E1264" s="30"/>
      <c r="F1264" s="73" t="str">
        <f>+VLOOKUP(PROVEEDORES[[#This Row],[PROVEEDOR]],TERCEROS_INFO[[PROVEEDOR]:[CORREO]],5,FALSE)</f>
        <v>CARLOSARCILAMENSAJERIA@gmail.com;girlesa.ruiz@servipilas.com;joriescobar64@gmail.com</v>
      </c>
      <c r="G1264" s="111">
        <v>44608</v>
      </c>
      <c r="H1264" s="31" t="s">
        <v>143</v>
      </c>
      <c r="I1264" s="111">
        <v>44601</v>
      </c>
      <c r="J1264" s="48">
        <v>201</v>
      </c>
      <c r="K1264" s="26">
        <v>420000</v>
      </c>
      <c r="L1264" s="26"/>
      <c r="M1264" s="27">
        <v>0</v>
      </c>
      <c r="N1264" s="28"/>
      <c r="O1264" s="27">
        <v>0</v>
      </c>
      <c r="P1264" s="28">
        <v>0.01</v>
      </c>
      <c r="Q1264" s="27">
        <v>4200</v>
      </c>
      <c r="R1264" s="26">
        <v>415800</v>
      </c>
      <c r="S1264" s="115">
        <f ca="1">IF(PROVEEDORES[[#This Row],[FECHA DE PAGO]]=0,TODAY()-PROVEEDORES[[#This Row],[FECHA DE FACTURACIÓN]]-PROVEEDORES[[#This Row],[PLAZO Días]],0)</f>
        <v>0</v>
      </c>
      <c r="T12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5" spans="1:20" ht="21.9" customHeight="1" x14ac:dyDescent="0.3">
      <c r="A1265" s="113" t="str">
        <f>+IF(PROVEEDORES[[#This Row],[FECHA DE PAGO]]=PROVEEDORES[[#This Row],[FECHA DE FACTURACIÓN]],"DE CONTADO","CRÉDITO")</f>
        <v>CRÉDITO</v>
      </c>
      <c r="B1265" s="51" t="str">
        <f>+IF((PROVEEDORES[[#This Row],[FECHA DE PAGO]]-PROVEEDORES[[#This Row],[FECHA DE FACTURACIÓN]])&gt;PROVEEDORES[[#This Row],[PLAZO Días]],"PAGO VENCIDO")</f>
        <v>PAGO VENCIDO</v>
      </c>
      <c r="C1265" s="25">
        <f>+VLOOKUP(PROVEEDORES[[#This Row],[PROVEEDOR]],TERCEROS_INFO[#All],2,FALSE)</f>
        <v>30</v>
      </c>
      <c r="D1265" s="30">
        <f>+SUMIFS(PROVEEDORES[Total],PROVEEDORES[PROVEEDOR],PROVEEDORES[[#This Row],[PROVEEDOR]],PROVEEDORES[FECHA DE PAGO],"")</f>
        <v>1451823</v>
      </c>
      <c r="E1265" s="30"/>
      <c r="F1265" s="73" t="str">
        <f>+VLOOKUP(PROVEEDORES[[#This Row],[PROVEEDOR]],TERCEROS_INFO[[PROVEEDOR]:[CORREO]],5,FALSE)</f>
        <v>cartera@ienewline.com;andres.arroyave@ienewline.com;girlesa.ruiz@servipilas.com;joriescobar64@gmail.com</v>
      </c>
      <c r="G1265" s="111">
        <v>44635</v>
      </c>
      <c r="H1265" s="31" t="s">
        <v>1131</v>
      </c>
      <c r="I1265" s="111">
        <v>44601</v>
      </c>
      <c r="J1265" s="48">
        <v>27066</v>
      </c>
      <c r="K1265" s="26">
        <v>3840000</v>
      </c>
      <c r="L1265" s="26"/>
      <c r="M1265" s="27">
        <v>729600</v>
      </c>
      <c r="N1265" s="28"/>
      <c r="O1265" s="27">
        <v>0</v>
      </c>
      <c r="P1265" s="28">
        <v>2.5000000000000001E-2</v>
      </c>
      <c r="Q1265" s="27">
        <v>96000</v>
      </c>
      <c r="R1265" s="26">
        <v>4473600</v>
      </c>
      <c r="S1265" s="115">
        <f ca="1">IF(PROVEEDORES[[#This Row],[FECHA DE PAGO]]=0,TODAY()-PROVEEDORES[[#This Row],[FECHA DE FACTURACIÓN]]-PROVEEDORES[[#This Row],[PLAZO Días]],0)</f>
        <v>0</v>
      </c>
      <c r="T12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6" spans="1:20" ht="21.9" customHeight="1" x14ac:dyDescent="0.3">
      <c r="A1266" s="113" t="str">
        <f>+IF(PROVEEDORES[[#This Row],[FECHA DE PAGO]]=PROVEEDORES[[#This Row],[FECHA DE FACTURACIÓN]],"DE CONTADO","CRÉDITO")</f>
        <v>CRÉDITO</v>
      </c>
      <c r="B1266" s="51" t="b">
        <f>+IF((PROVEEDORES[[#This Row],[FECHA DE PAGO]]-PROVEEDORES[[#This Row],[FECHA DE FACTURACIÓN]])&gt;PROVEEDORES[[#This Row],[PLAZO Días]],"PAGO VENCIDO")</f>
        <v>0</v>
      </c>
      <c r="C1266" s="25">
        <f>+VLOOKUP(PROVEEDORES[[#This Row],[PROVEEDOR]],TERCEROS_INFO[#All],2,FALSE)</f>
        <v>30</v>
      </c>
      <c r="D1266" s="30">
        <f>+SUMIFS(PROVEEDORES[Total],PROVEEDORES[PROVEEDOR],PROVEEDORES[[#This Row],[PROVEEDOR]],PROVEEDORES[FECHA DE PAGO],"")</f>
        <v>0</v>
      </c>
      <c r="E1266" s="30"/>
      <c r="F1266" s="73" t="str">
        <f>+VLOOKUP(PROVEEDORES[[#This Row],[PROVEEDOR]],TERCEROS_INFO[[PROVEEDOR]:[CORREO]],5,FALSE)</f>
        <v/>
      </c>
      <c r="G1266" s="111">
        <v>44628</v>
      </c>
      <c r="H1266" s="31" t="s">
        <v>1060</v>
      </c>
      <c r="I1266" s="111">
        <v>44602</v>
      </c>
      <c r="J1266" s="48" t="s">
        <v>1061</v>
      </c>
      <c r="K1266" s="26">
        <v>360000</v>
      </c>
      <c r="L1266" s="26"/>
      <c r="M1266" s="27">
        <v>0</v>
      </c>
      <c r="N1266" s="28"/>
      <c r="O1266" s="27">
        <v>0</v>
      </c>
      <c r="P1266" s="28">
        <v>0</v>
      </c>
      <c r="Q1266" s="27">
        <v>0</v>
      </c>
      <c r="R1266" s="26">
        <v>360000</v>
      </c>
      <c r="S1266" s="115">
        <f ca="1">IF(PROVEEDORES[[#This Row],[FECHA DE PAGO]]=0,TODAY()-PROVEEDORES[[#This Row],[FECHA DE FACTURACIÓN]]-PROVEEDORES[[#This Row],[PLAZO Días]],0)</f>
        <v>0</v>
      </c>
      <c r="T126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7" spans="1:20" ht="21.9" customHeight="1" x14ac:dyDescent="0.3">
      <c r="A1267" s="113" t="str">
        <f>+IF(PROVEEDORES[[#This Row],[FECHA DE PAGO]]=PROVEEDORES[[#This Row],[FECHA DE FACTURACIÓN]],"DE CONTADO","CRÉDITO")</f>
        <v>CRÉDITO</v>
      </c>
      <c r="B1267" s="51" t="str">
        <f>+IF((PROVEEDORES[[#This Row],[FECHA DE PAGO]]-PROVEEDORES[[#This Row],[FECHA DE FACTURACIÓN]])&gt;PROVEEDORES[[#This Row],[PLAZO Días]],"PAGO VENCIDO")</f>
        <v>PAGO VENCIDO</v>
      </c>
      <c r="C1267" s="25">
        <f>+VLOOKUP(PROVEEDORES[[#This Row],[PROVEEDOR]],TERCEROS_INFO[#All],2,FALSE)</f>
        <v>30</v>
      </c>
      <c r="D1267" s="30">
        <f>+SUMIFS(PROVEEDORES[Total],PROVEEDORES[PROVEEDOR],PROVEEDORES[[#This Row],[PROVEEDOR]],PROVEEDORES[FECHA DE PAGO],"")</f>
        <v>3320000</v>
      </c>
      <c r="E1267" s="30"/>
      <c r="F1267" s="73" t="str">
        <f>+VLOOKUP(PROVEEDORES[[#This Row],[PROVEEDOR]],TERCEROS_INFO[[PROVEEDOR]:[CORREO]],5,FALSE)</f>
        <v>Pygimportadora@gmail.com;girlesa.ruiz@servipilas.com;joriescobar64@gmail.com</v>
      </c>
      <c r="G1267" s="111">
        <v>44652</v>
      </c>
      <c r="H1267" s="31" t="s">
        <v>1068</v>
      </c>
      <c r="I1267" s="111">
        <v>44602</v>
      </c>
      <c r="J1267" s="48" t="s">
        <v>1069</v>
      </c>
      <c r="K1267" s="26">
        <v>1608000</v>
      </c>
      <c r="L1267" s="26"/>
      <c r="M1267" s="27">
        <v>0</v>
      </c>
      <c r="N1267" s="28"/>
      <c r="O1267" s="27">
        <v>0</v>
      </c>
      <c r="P1267" s="28">
        <v>0</v>
      </c>
      <c r="Q1267" s="27">
        <v>0</v>
      </c>
      <c r="R1267" s="26">
        <v>1608000</v>
      </c>
      <c r="S1267" s="115">
        <f ca="1">IF(PROVEEDORES[[#This Row],[FECHA DE PAGO]]=0,TODAY()-PROVEEDORES[[#This Row],[FECHA DE FACTURACIÓN]]-PROVEEDORES[[#This Row],[PLAZO Días]],0)</f>
        <v>0</v>
      </c>
      <c r="T12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8" spans="1:20" ht="21.9" customHeight="1" x14ac:dyDescent="0.3">
      <c r="A1268" s="113" t="str">
        <f>+IF(PROVEEDORES[[#This Row],[FECHA DE PAGO]]=PROVEEDORES[[#This Row],[FECHA DE FACTURACIÓN]],"DE CONTADO","CRÉDITO")</f>
        <v>CRÉDITO</v>
      </c>
      <c r="B1268" s="51" t="str">
        <f>+IF((PROVEEDORES[[#This Row],[FECHA DE PAGO]]-PROVEEDORES[[#This Row],[FECHA DE FACTURACIÓN]])&gt;PROVEEDORES[[#This Row],[PLAZO Días]],"PAGO VENCIDO")</f>
        <v>PAGO VENCIDO</v>
      </c>
      <c r="C1268" s="25">
        <f>+VLOOKUP(PROVEEDORES[[#This Row],[PROVEEDOR]],TERCEROS_INFO[#All],2,FALSE)</f>
        <v>30</v>
      </c>
      <c r="D1268" s="30">
        <f>+SUMIFS(PROVEEDORES[Total],PROVEEDORES[PROVEEDOR],PROVEEDORES[[#This Row],[PROVEEDOR]],PROVEEDORES[FECHA DE PAGO],"")</f>
        <v>10764600</v>
      </c>
      <c r="E1268" s="30"/>
      <c r="F1268" s="73" t="str">
        <f>+VLOOKUP(PROVEEDORES[[#This Row],[PROVEEDOR]],TERCEROS_INFO[[PROVEEDOR]:[CORREO]],5,FALSE)</f>
        <v>apresupuesto@widexcolombia.com;girlesa.ruiz@servipilas.com;joriescobar64@gmail.com</v>
      </c>
      <c r="G1268" s="111">
        <v>44652</v>
      </c>
      <c r="H1268" s="31" t="s">
        <v>11</v>
      </c>
      <c r="I1268" s="111">
        <v>44602</v>
      </c>
      <c r="J1268" s="48" t="s">
        <v>1172</v>
      </c>
      <c r="K1268" s="26">
        <v>3674790</v>
      </c>
      <c r="L1268" s="26"/>
      <c r="M1268" s="27">
        <v>698210.1</v>
      </c>
      <c r="N1268" s="28"/>
      <c r="O1268" s="27">
        <v>0</v>
      </c>
      <c r="P1268" s="28">
        <v>2.5000000000000001E-2</v>
      </c>
      <c r="Q1268" s="27">
        <v>91869.75</v>
      </c>
      <c r="R1268" s="26">
        <v>4281130.3499999996</v>
      </c>
      <c r="S1268" s="115">
        <f ca="1">IF(PROVEEDORES[[#This Row],[FECHA DE PAGO]]=0,TODAY()-PROVEEDORES[[#This Row],[FECHA DE FACTURACIÓN]]-PROVEEDORES[[#This Row],[PLAZO Días]],0)</f>
        <v>0</v>
      </c>
      <c r="T12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69" spans="1:20" ht="21.9" customHeight="1" x14ac:dyDescent="0.3">
      <c r="A1269" s="113" t="str">
        <f>+IF(PROVEEDORES[[#This Row],[FECHA DE PAGO]]=PROVEEDORES[[#This Row],[FECHA DE FACTURACIÓN]],"DE CONTADO","CRÉDITO")</f>
        <v>CRÉDITO</v>
      </c>
      <c r="B1269" s="51" t="b">
        <f>+IF((PROVEEDORES[[#This Row],[FECHA DE PAGO]]-PROVEEDORES[[#This Row],[FECHA DE FACTURACIÓN]])&gt;PROVEEDORES[[#This Row],[PLAZO Días]],"PAGO VENCIDO")</f>
        <v>0</v>
      </c>
      <c r="C1269" s="25">
        <f>+VLOOKUP(PROVEEDORES[[#This Row],[PROVEEDOR]],TERCEROS_INFO[#All],2,FALSE)</f>
        <v>30</v>
      </c>
      <c r="D1269" s="30">
        <f>+SUMIFS(PROVEEDORES[Total],PROVEEDORES[PROVEEDOR],PROVEEDORES[[#This Row],[PROVEEDOR]],PROVEEDORES[FECHA DE PAGO],"")</f>
        <v>0</v>
      </c>
      <c r="E1269" s="30"/>
      <c r="F1269" s="73" t="str">
        <f>+VLOOKUP(PROVEEDORES[[#This Row],[PROVEEDOR]],TERCEROS_INFO[[PROVEEDOR]:[CORREO]],5,FALSE)</f>
        <v>oswaldo.alvarez@logimexsas.com;girlesa.ruiz@servipilas.com;joriescobar64@gmail.com</v>
      </c>
      <c r="G1269" s="111">
        <v>44624</v>
      </c>
      <c r="H1269" s="31" t="s">
        <v>966</v>
      </c>
      <c r="I1269" s="111">
        <v>44603</v>
      </c>
      <c r="J1269" s="48" t="s">
        <v>1143</v>
      </c>
      <c r="K1269" s="26">
        <v>182658.72</v>
      </c>
      <c r="L1269" s="26"/>
      <c r="M1269" s="27">
        <v>0</v>
      </c>
      <c r="N1269" s="28"/>
      <c r="O1269" s="27">
        <v>0</v>
      </c>
      <c r="P1269" s="28">
        <v>0</v>
      </c>
      <c r="Q1269" s="27">
        <v>0</v>
      </c>
      <c r="R1269" s="26">
        <v>182658.72</v>
      </c>
      <c r="S1269" s="115">
        <f ca="1">IF(PROVEEDORES[[#This Row],[FECHA DE PAGO]]=0,TODAY()-PROVEEDORES[[#This Row],[FECHA DE FACTURACIÓN]]-PROVEEDORES[[#This Row],[PLAZO Días]],0)</f>
        <v>0</v>
      </c>
      <c r="T126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0" spans="1:20" ht="21.9" customHeight="1" x14ac:dyDescent="0.3">
      <c r="A1270" s="113" t="str">
        <f>+IF(PROVEEDORES[[#This Row],[FECHA DE PAGO]]=PROVEEDORES[[#This Row],[FECHA DE FACTURACIÓN]],"DE CONTADO","CRÉDITO")</f>
        <v>CRÉDITO</v>
      </c>
      <c r="B1270" s="51" t="b">
        <f>+IF((PROVEEDORES[[#This Row],[FECHA DE PAGO]]-PROVEEDORES[[#This Row],[FECHA DE FACTURACIÓN]])&gt;PROVEEDORES[[#This Row],[PLAZO Días]],"PAGO VENCIDO")</f>
        <v>0</v>
      </c>
      <c r="C1270" s="25">
        <f>+VLOOKUP(PROVEEDORES[[#This Row],[PROVEEDOR]],TERCEROS_INFO[#All],2,FALSE)</f>
        <v>30</v>
      </c>
      <c r="D1270" s="30">
        <f>+SUMIFS(PROVEEDORES[Total],PROVEEDORES[PROVEEDOR],PROVEEDORES[[#This Row],[PROVEEDOR]],PROVEEDORES[FECHA DE PAGO],"")</f>
        <v>195500</v>
      </c>
      <c r="E1270" s="30"/>
      <c r="F1270" s="73" t="str">
        <f>+VLOOKUP(PROVEEDORES[[#This Row],[PROVEEDOR]],TERCEROS_INFO[[PROVEEDOR]:[CORREO]],5,FALSE)</f>
        <v/>
      </c>
      <c r="G1270" s="111">
        <v>44609</v>
      </c>
      <c r="H1270" s="31" t="s">
        <v>1053</v>
      </c>
      <c r="I1270" s="111">
        <v>44603</v>
      </c>
      <c r="J1270" s="48" t="s">
        <v>1054</v>
      </c>
      <c r="K1270" s="26">
        <v>331400</v>
      </c>
      <c r="L1270" s="26"/>
      <c r="M1270" s="27">
        <v>0</v>
      </c>
      <c r="N1270" s="28"/>
      <c r="O1270" s="27">
        <v>0</v>
      </c>
      <c r="P1270" s="28">
        <v>0</v>
      </c>
      <c r="Q1270" s="27">
        <v>0</v>
      </c>
      <c r="R1270" s="26">
        <v>331400</v>
      </c>
      <c r="S1270" s="115">
        <f ca="1">IF(PROVEEDORES[[#This Row],[FECHA DE PAGO]]=0,TODAY()-PROVEEDORES[[#This Row],[FECHA DE FACTURACIÓN]]-PROVEEDORES[[#This Row],[PLAZO Días]],0)</f>
        <v>0</v>
      </c>
      <c r="T127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1" spans="1:20" ht="21.9" customHeight="1" x14ac:dyDescent="0.3">
      <c r="A1271" s="113" t="str">
        <f>+IF(PROVEEDORES[[#This Row],[FECHA DE PAGO]]=PROVEEDORES[[#This Row],[FECHA DE FACTURACIÓN]],"DE CONTADO","CRÉDITO")</f>
        <v>CRÉDITO</v>
      </c>
      <c r="B1271" s="51" t="b">
        <f>+IF((PROVEEDORES[[#This Row],[FECHA DE PAGO]]-PROVEEDORES[[#This Row],[FECHA DE FACTURACIÓN]])&gt;PROVEEDORES[[#This Row],[PLAZO Días]],"PAGO VENCIDO")</f>
        <v>0</v>
      </c>
      <c r="C1271" s="25">
        <f>+VLOOKUP(PROVEEDORES[[#This Row],[PROVEEDOR]],TERCEROS_INFO[#All],2,FALSE)</f>
        <v>90</v>
      </c>
      <c r="D1271" s="30">
        <f>+SUMIFS(PROVEEDORES[Total],PROVEEDORES[PROVEEDOR],PROVEEDORES[[#This Row],[PROVEEDOR]],PROVEEDORES[FECHA DE PAGO],"")</f>
        <v>1823850</v>
      </c>
      <c r="E1271" s="30"/>
      <c r="F1271" s="73" t="str">
        <f>+VLOOKUP(PROVEEDORES[[#This Row],[PROVEEDOR]],TERCEROS_INFO[[PROVEEDOR]:[CORREO]],5,FALSE)</f>
        <v>dua@cedesistemas.edu.co;girlesa.ruiz@servipilas.com;joriescobar64@gmail.com</v>
      </c>
      <c r="G1271" s="111">
        <v>44617</v>
      </c>
      <c r="H1271" s="31" t="s">
        <v>1106</v>
      </c>
      <c r="I1271" s="111">
        <v>44606</v>
      </c>
      <c r="J1271" s="48" t="s">
        <v>1107</v>
      </c>
      <c r="K1271" s="26">
        <v>-600000</v>
      </c>
      <c r="L1271" s="26"/>
      <c r="M1271" s="27">
        <v>0</v>
      </c>
      <c r="N1271" s="28"/>
      <c r="O1271" s="27">
        <v>0</v>
      </c>
      <c r="P1271" s="28">
        <v>0</v>
      </c>
      <c r="Q1271" s="27">
        <v>0</v>
      </c>
      <c r="R1271" s="26">
        <v>-600000</v>
      </c>
      <c r="S1271" s="115">
        <f ca="1">IF(PROVEEDORES[[#This Row],[FECHA DE PAGO]]=0,TODAY()-PROVEEDORES[[#This Row],[FECHA DE FACTURACIÓN]]-PROVEEDORES[[#This Row],[PLAZO Días]],0)</f>
        <v>0</v>
      </c>
      <c r="T127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2" spans="1:20" ht="21.9" customHeight="1" x14ac:dyDescent="0.3">
      <c r="A1272" s="113" t="str">
        <f>+IF(PROVEEDORES[[#This Row],[FECHA DE PAGO]]=PROVEEDORES[[#This Row],[FECHA DE FACTURACIÓN]],"DE CONTADO","CRÉDITO")</f>
        <v>CRÉDITO</v>
      </c>
      <c r="B1272" s="51" t="b">
        <f>+IF((PROVEEDORES[[#This Row],[FECHA DE PAGO]]-PROVEEDORES[[#This Row],[FECHA DE FACTURACIÓN]])&gt;PROVEEDORES[[#This Row],[PLAZO Días]],"PAGO VENCIDO")</f>
        <v>0</v>
      </c>
      <c r="C1272" s="25">
        <f>+VLOOKUP(PROVEEDORES[[#This Row],[PROVEEDOR]],TERCEROS_INFO[#All],2,FALSE)</f>
        <v>90</v>
      </c>
      <c r="D1272" s="30">
        <f>+SUMIFS(PROVEEDORES[Total],PROVEEDORES[PROVEEDOR],PROVEEDORES[[#This Row],[PROVEEDOR]],PROVEEDORES[FECHA DE PAGO],"")</f>
        <v>1823850</v>
      </c>
      <c r="E1272" s="30"/>
      <c r="F1272" s="73" t="str">
        <f>+VLOOKUP(PROVEEDORES[[#This Row],[PROVEEDOR]],TERCEROS_INFO[[PROVEEDOR]:[CORREO]],5,FALSE)</f>
        <v>dua@cedesistemas.edu.co;girlesa.ruiz@servipilas.com;joriescobar64@gmail.com</v>
      </c>
      <c r="H1272" s="31" t="s">
        <v>1106</v>
      </c>
      <c r="I1272" s="111">
        <v>44606</v>
      </c>
      <c r="J1272" s="48">
        <v>556</v>
      </c>
      <c r="K1272" s="26">
        <v>1890000</v>
      </c>
      <c r="L1272" s="26"/>
      <c r="M1272" s="27">
        <v>0</v>
      </c>
      <c r="N1272" s="28"/>
      <c r="O1272" s="27">
        <v>0</v>
      </c>
      <c r="P1272" s="28">
        <v>3.5000000000000003E-2</v>
      </c>
      <c r="Q1272" s="27">
        <v>66150</v>
      </c>
      <c r="R1272" s="26">
        <v>1823850</v>
      </c>
      <c r="S1272" s="115">
        <f ca="1">IF(PROVEEDORES[[#This Row],[FECHA DE PAGO]]=0,TODAY()-PROVEEDORES[[#This Row],[FECHA DE FACTURACIÓN]]-PROVEEDORES[[#This Row],[PLAZO Días]],0)</f>
        <v>-28</v>
      </c>
      <c r="T1272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273" spans="1:20" ht="21.9" customHeight="1" x14ac:dyDescent="0.3">
      <c r="A1273" s="113" t="str">
        <f>+IF(PROVEEDORES[[#This Row],[FECHA DE PAGO]]=PROVEEDORES[[#This Row],[FECHA DE FACTURACIÓN]],"DE CONTADO","CRÉDITO")</f>
        <v>CRÉDITO</v>
      </c>
      <c r="B1273" s="51" t="b">
        <f>+IF((PROVEEDORES[[#This Row],[FECHA DE PAGO]]-PROVEEDORES[[#This Row],[FECHA DE FACTURACIÓN]])&gt;PROVEEDORES[[#This Row],[PLAZO Días]],"PAGO VENCIDO")</f>
        <v>0</v>
      </c>
      <c r="C1273" s="25">
        <f>+VLOOKUP(PROVEEDORES[[#This Row],[PROVEEDOR]],TERCEROS_INFO[#All],2,FALSE)</f>
        <v>30</v>
      </c>
      <c r="D1273" s="30">
        <f>+SUMIFS(PROVEEDORES[Total],PROVEEDORES[PROVEEDOR],PROVEEDORES[[#This Row],[PROVEEDOR]],PROVEEDORES[FECHA DE PAGO],"")</f>
        <v>0</v>
      </c>
      <c r="E1273" s="30"/>
      <c r="F1273" s="73" t="str">
        <f>+VLOOKUP(PROVEEDORES[[#This Row],[PROVEEDOR]],TERCEROS_INFO[[PROVEEDOR]:[CORREO]],5,FALSE)</f>
        <v>facturacion@losmolinos.com.co</v>
      </c>
      <c r="G1273" s="111">
        <v>44630</v>
      </c>
      <c r="H1273" s="31" t="s">
        <v>345</v>
      </c>
      <c r="I1273" s="111">
        <v>44607</v>
      </c>
      <c r="J1273" s="48" t="s">
        <v>1119</v>
      </c>
      <c r="K1273" s="26">
        <v>-8522.67</v>
      </c>
      <c r="L1273" s="26"/>
      <c r="M1273" s="27">
        <v>0</v>
      </c>
      <c r="N1273" s="28"/>
      <c r="O1273" s="27">
        <v>0</v>
      </c>
      <c r="P1273" s="28">
        <v>0</v>
      </c>
      <c r="Q1273" s="27">
        <v>0</v>
      </c>
      <c r="R1273" s="26">
        <v>-8522.67</v>
      </c>
      <c r="S1273" s="115">
        <f ca="1">IF(PROVEEDORES[[#This Row],[FECHA DE PAGO]]=0,TODAY()-PROVEEDORES[[#This Row],[FECHA DE FACTURACIÓN]]-PROVEEDORES[[#This Row],[PLAZO Días]],0)</f>
        <v>0</v>
      </c>
      <c r="T127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4" spans="1:20" ht="21.9" customHeight="1" x14ac:dyDescent="0.3">
      <c r="A1274" s="113" t="str">
        <f>+IF(PROVEEDORES[[#This Row],[FECHA DE PAGO]]=PROVEEDORES[[#This Row],[FECHA DE FACTURACIÓN]],"DE CONTADO","CRÉDITO")</f>
        <v>CRÉDITO</v>
      </c>
      <c r="B1274" s="51" t="b">
        <f>+IF((PROVEEDORES[[#This Row],[FECHA DE PAGO]]-PROVEEDORES[[#This Row],[FECHA DE FACTURACIÓN]])&gt;PROVEEDORES[[#This Row],[PLAZO Días]],"PAGO VENCIDO")</f>
        <v>0</v>
      </c>
      <c r="C1274" s="25">
        <f>+VLOOKUP(PROVEEDORES[[#This Row],[PROVEEDOR]],TERCEROS_INFO[#All],2,FALSE)</f>
        <v>60</v>
      </c>
      <c r="D1274" s="30">
        <f>+SUMIFS(PROVEEDORES[Total],PROVEEDORES[PROVEEDOR],PROVEEDORES[[#This Row],[PROVEEDOR]],PROVEEDORES[FECHA DE PAGO],"")</f>
        <v>602800</v>
      </c>
      <c r="E1274" s="30"/>
      <c r="F1274" s="73" t="str">
        <f>+VLOOKUP(PROVEEDORES[[#This Row],[PROVEEDOR]],TERCEROS_INFO[[PROVEEDOR]:[CORREO]],5,FALSE)</f>
        <v>jessica.barios.com@carpainternacional;girlesa.ruiz@servipilas.com;joriescobar64@gmail.com</v>
      </c>
      <c r="H1274" s="31" t="s">
        <v>607</v>
      </c>
      <c r="I1274" s="111">
        <v>44607</v>
      </c>
      <c r="J1274" s="48" t="s">
        <v>1162</v>
      </c>
      <c r="K1274" s="26">
        <v>192000</v>
      </c>
      <c r="L1274" s="26"/>
      <c r="M1274" s="27">
        <v>0</v>
      </c>
      <c r="N1274" s="28"/>
      <c r="O1274" s="27">
        <v>0</v>
      </c>
      <c r="P1274" s="28">
        <v>0</v>
      </c>
      <c r="Q1274" s="27">
        <v>0</v>
      </c>
      <c r="R1274" s="26">
        <v>192000</v>
      </c>
      <c r="S1274" s="115">
        <f ca="1">IF(PROVEEDORES[[#This Row],[FECHA DE PAGO]]=0,TODAY()-PROVEEDORES[[#This Row],[FECHA DE FACTURACIÓN]]-PROVEEDORES[[#This Row],[PLAZO Días]],0)</f>
        <v>1</v>
      </c>
      <c r="T1274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75" spans="1:20" ht="21.9" customHeight="1" x14ac:dyDescent="0.3">
      <c r="A1275" s="113" t="str">
        <f>+IF(PROVEEDORES[[#This Row],[FECHA DE PAGO]]=PROVEEDORES[[#This Row],[FECHA DE FACTURACIÓN]],"DE CONTADO","CRÉDITO")</f>
        <v>CRÉDITO</v>
      </c>
      <c r="B1275" s="51" t="b">
        <f>+IF((PROVEEDORES[[#This Row],[FECHA DE PAGO]]-PROVEEDORES[[#This Row],[FECHA DE FACTURACIÓN]])&gt;PROVEEDORES[[#This Row],[PLAZO Días]],"PAGO VENCIDO")</f>
        <v>0</v>
      </c>
      <c r="C1275" s="25">
        <f>+VLOOKUP(PROVEEDORES[[#This Row],[PROVEEDOR]],TERCEROS_INFO[#All],2,FALSE)</f>
        <v>30</v>
      </c>
      <c r="D1275" s="30">
        <f>+SUMIFS(PROVEEDORES[Total],PROVEEDORES[PROVEEDOR],PROVEEDORES[[#This Row],[PROVEEDOR]],PROVEEDORES[FECHA DE PAGO],"")</f>
        <v>7458000</v>
      </c>
      <c r="E1275" s="30"/>
      <c r="F1275" s="73" t="str">
        <f>+VLOOKUP(PROVEEDORES[[#This Row],[PROVEEDOR]],TERCEROS_INFO[[PROVEEDOR]:[CORREO]],5,FALSE)</f>
        <v/>
      </c>
      <c r="H1275" s="31" t="s">
        <v>1049</v>
      </c>
      <c r="I1275" s="111">
        <v>44607</v>
      </c>
      <c r="J1275" s="48" t="s">
        <v>1161</v>
      </c>
      <c r="K1275" s="26">
        <v>710000</v>
      </c>
      <c r="L1275" s="26"/>
      <c r="M1275" s="27">
        <v>0</v>
      </c>
      <c r="N1275" s="28"/>
      <c r="O1275" s="27">
        <v>0</v>
      </c>
      <c r="P1275" s="28">
        <v>0</v>
      </c>
      <c r="Q1275" s="27">
        <v>0</v>
      </c>
      <c r="R1275" s="26">
        <v>710000</v>
      </c>
      <c r="S1275" s="115">
        <f ca="1">IF(PROVEEDORES[[#This Row],[FECHA DE PAGO]]=0,TODAY()-PROVEEDORES[[#This Row],[FECHA DE FACTURACIÓN]]-PROVEEDORES[[#This Row],[PLAZO Días]],0)</f>
        <v>31</v>
      </c>
      <c r="T1275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76" spans="1:20" ht="21.9" customHeight="1" x14ac:dyDescent="0.3">
      <c r="A1276" s="113" t="str">
        <f>+IF(PROVEEDORES[[#This Row],[FECHA DE PAGO]]=PROVEEDORES[[#This Row],[FECHA DE FACTURACIÓN]],"DE CONTADO","CRÉDITO")</f>
        <v>CRÉDITO</v>
      </c>
      <c r="B1276" s="51" t="b">
        <f>+IF((PROVEEDORES[[#This Row],[FECHA DE PAGO]]-PROVEEDORES[[#This Row],[FECHA DE FACTURACIÓN]])&gt;PROVEEDORES[[#This Row],[PLAZO Días]],"PAGO VENCIDO")</f>
        <v>0</v>
      </c>
      <c r="C1276" s="25">
        <f>+VLOOKUP(PROVEEDORES[[#This Row],[PROVEEDOR]],TERCEROS_INFO[#All],2,FALSE)</f>
        <v>30</v>
      </c>
      <c r="D1276" s="30">
        <f>+SUMIFS(PROVEEDORES[Total],PROVEEDORES[PROVEEDOR],PROVEEDORES[[#This Row],[PROVEEDOR]],PROVEEDORES[FECHA DE PAGO],"")</f>
        <v>0</v>
      </c>
      <c r="E1276" s="30"/>
      <c r="F1276" s="73" t="str">
        <f>+VLOOKUP(PROVEEDORES[[#This Row],[PROVEEDOR]],TERCEROS_INFO[[PROVEEDOR]:[CORREO]],5,FALSE)</f>
        <v/>
      </c>
      <c r="G1276" s="111">
        <v>44608</v>
      </c>
      <c r="H1276" s="31" t="s">
        <v>1007</v>
      </c>
      <c r="I1276" s="111">
        <v>44607</v>
      </c>
      <c r="J1276" s="48" t="s">
        <v>1010</v>
      </c>
      <c r="K1276" s="26">
        <v>5363000</v>
      </c>
      <c r="L1276" s="26"/>
      <c r="M1276" s="27">
        <v>0</v>
      </c>
      <c r="N1276" s="28"/>
      <c r="O1276" s="27">
        <v>0</v>
      </c>
      <c r="P1276" s="28">
        <v>0</v>
      </c>
      <c r="Q1276" s="27">
        <v>0</v>
      </c>
      <c r="R1276" s="26">
        <v>5363000</v>
      </c>
      <c r="S1276" s="115">
        <f ca="1">IF(PROVEEDORES[[#This Row],[FECHA DE PAGO]]=0,TODAY()-PROVEEDORES[[#This Row],[FECHA DE FACTURACIÓN]]-PROVEEDORES[[#This Row],[PLAZO Días]],0)</f>
        <v>0</v>
      </c>
      <c r="T127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7" spans="1:20" ht="21.9" customHeight="1" x14ac:dyDescent="0.3">
      <c r="A1277" s="113" t="str">
        <f>+IF(PROVEEDORES[[#This Row],[FECHA DE PAGO]]=PROVEEDORES[[#This Row],[FECHA DE FACTURACIÓN]],"DE CONTADO","CRÉDITO")</f>
        <v>CRÉDITO</v>
      </c>
      <c r="B1277" s="51" t="str">
        <f>+IF((PROVEEDORES[[#This Row],[FECHA DE PAGO]]-PROVEEDORES[[#This Row],[FECHA DE FACTURACIÓN]])&gt;PROVEEDORES[[#This Row],[PLAZO Días]],"PAGO VENCIDO")</f>
        <v>PAGO VENCIDO</v>
      </c>
      <c r="C1277" s="25">
        <f>+VLOOKUP(PROVEEDORES[[#This Row],[PROVEEDOR]],TERCEROS_INFO[#All],2,FALSE)</f>
        <v>30</v>
      </c>
      <c r="D1277" s="30">
        <f>+SUMIFS(PROVEEDORES[Total],PROVEEDORES[PROVEEDOR],PROVEEDORES[[#This Row],[PROVEEDOR]],PROVEEDORES[FECHA DE PAGO],"")</f>
        <v>21832129.73</v>
      </c>
      <c r="E1277" s="30"/>
      <c r="F1277" s="73" t="str">
        <f>+VLOOKUP(PROVEEDORES[[#This Row],[PROVEEDOR]],TERCEROS_INFO[[PROVEEDOR]:[CORREO]],5,FALSE)</f>
        <v>cartera1@grupostatur.com;girlesa.ruiz@servipilas.com;joriescobar64@gmail.com</v>
      </c>
      <c r="G1277" s="111">
        <v>44643</v>
      </c>
      <c r="H1277" s="31" t="s">
        <v>9</v>
      </c>
      <c r="I1277" s="111">
        <v>44609</v>
      </c>
      <c r="J1277" s="48" t="s">
        <v>1163</v>
      </c>
      <c r="K1277" s="26">
        <v>0</v>
      </c>
      <c r="L1277" s="26"/>
      <c r="M1277" s="27">
        <v>0</v>
      </c>
      <c r="N1277" s="28"/>
      <c r="O1277" s="27">
        <v>0</v>
      </c>
      <c r="P1277" s="28">
        <v>0</v>
      </c>
      <c r="Q1277" s="27">
        <v>0</v>
      </c>
      <c r="R1277" s="26">
        <v>-5000000</v>
      </c>
      <c r="S1277" s="115">
        <f ca="1">IF(PROVEEDORES[[#This Row],[FECHA DE PAGO]]=0,TODAY()-PROVEEDORES[[#This Row],[FECHA DE FACTURACIÓN]]-PROVEEDORES[[#This Row],[PLAZO Días]],0)</f>
        <v>0</v>
      </c>
      <c r="T12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8" spans="1:20" ht="21.9" customHeight="1" x14ac:dyDescent="0.3">
      <c r="A1278" s="113" t="str">
        <f>+IF(PROVEEDORES[[#This Row],[FECHA DE PAGO]]=PROVEEDORES[[#This Row],[FECHA DE FACTURACIÓN]],"DE CONTADO","CRÉDITO")</f>
        <v>DE CONTADO</v>
      </c>
      <c r="B1278" s="51" t="b">
        <f>+IF((PROVEEDORES[[#This Row],[FECHA DE PAGO]]-PROVEEDORES[[#This Row],[FECHA DE FACTURACIÓN]])&gt;PROVEEDORES[[#This Row],[PLAZO Días]],"PAGO VENCIDO")</f>
        <v>0</v>
      </c>
      <c r="C1278" s="25">
        <f>+VLOOKUP(PROVEEDORES[[#This Row],[PROVEEDOR]],TERCEROS_INFO[#All],2,FALSE)</f>
        <v>30</v>
      </c>
      <c r="D1278" s="30">
        <f>+SUMIFS(PROVEEDORES[Total],PROVEEDORES[PROVEEDOR],PROVEEDORES[[#This Row],[PROVEEDOR]],PROVEEDORES[FECHA DE PAGO],"")</f>
        <v>0</v>
      </c>
      <c r="E1278" s="30"/>
      <c r="F1278" s="73" t="str">
        <f>+VLOOKUP(PROVEEDORES[[#This Row],[PROVEEDOR]],TERCEROS_INFO[[PROVEEDOR]:[CORREO]],5,FALSE)</f>
        <v/>
      </c>
      <c r="G1278" s="111">
        <v>44609</v>
      </c>
      <c r="H1278" s="31" t="s">
        <v>1052</v>
      </c>
      <c r="I1278" s="111">
        <v>44609</v>
      </c>
      <c r="J1278" s="48"/>
      <c r="K1278" s="26">
        <v>1000000</v>
      </c>
      <c r="L1278" s="26"/>
      <c r="M1278" s="27">
        <v>0</v>
      </c>
      <c r="N1278" s="28"/>
      <c r="O1278" s="27">
        <v>0</v>
      </c>
      <c r="P1278" s="28">
        <v>0</v>
      </c>
      <c r="Q1278" s="27">
        <v>0</v>
      </c>
      <c r="R1278" s="26">
        <v>1000000</v>
      </c>
      <c r="S1278" s="115">
        <f ca="1">IF(PROVEEDORES[[#This Row],[FECHA DE PAGO]]=0,TODAY()-PROVEEDORES[[#This Row],[FECHA DE FACTURACIÓN]]-PROVEEDORES[[#This Row],[PLAZO Días]],0)</f>
        <v>0</v>
      </c>
      <c r="T127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79" spans="1:20" ht="21.9" customHeight="1" x14ac:dyDescent="0.3">
      <c r="A1279" s="113" t="str">
        <f>+IF(PROVEEDORES[[#This Row],[FECHA DE PAGO]]=PROVEEDORES[[#This Row],[FECHA DE FACTURACIÓN]],"DE CONTADO","CRÉDITO")</f>
        <v>CRÉDITO</v>
      </c>
      <c r="B1279" s="51" t="b">
        <f>+IF((PROVEEDORES[[#This Row],[FECHA DE PAGO]]-PROVEEDORES[[#This Row],[FECHA DE FACTURACIÓN]])&gt;PROVEEDORES[[#This Row],[PLAZO Días]],"PAGO VENCIDO")</f>
        <v>0</v>
      </c>
      <c r="C1279" s="25">
        <f>+VLOOKUP(PROVEEDORES[[#This Row],[PROVEEDOR]],TERCEROS_INFO[#All],2,FALSE)</f>
        <v>30</v>
      </c>
      <c r="D1279" s="30">
        <f>+SUMIFS(PROVEEDORES[Total],PROVEEDORES[PROVEEDOR],PROVEEDORES[[#This Row],[PROVEEDOR]],PROVEEDORES[FECHA DE PAGO],"")</f>
        <v>0</v>
      </c>
      <c r="E1279" s="30"/>
      <c r="F1279" s="73" t="str">
        <f>+VLOOKUP(PROVEEDORES[[#This Row],[PROVEEDOR]],TERCEROS_INFO[[PROVEEDOR]:[CORREO]],5,FALSE)</f>
        <v>PSE</v>
      </c>
      <c r="G1279" s="111">
        <v>44615</v>
      </c>
      <c r="H1279" s="31" t="s">
        <v>372</v>
      </c>
      <c r="I1279" s="111">
        <v>44610</v>
      </c>
      <c r="J1279" s="48">
        <v>94613621</v>
      </c>
      <c r="K1279" s="26">
        <v>130900</v>
      </c>
      <c r="L1279" s="26"/>
      <c r="M1279" s="27">
        <v>24871</v>
      </c>
      <c r="N1279" s="28"/>
      <c r="O1279" s="27">
        <v>0</v>
      </c>
      <c r="P1279" s="28">
        <v>0</v>
      </c>
      <c r="Q1279" s="27">
        <v>0</v>
      </c>
      <c r="R1279" s="26">
        <v>155771</v>
      </c>
      <c r="S1279" s="115">
        <f ca="1">IF(PROVEEDORES[[#This Row],[FECHA DE PAGO]]=0,TODAY()-PROVEEDORES[[#This Row],[FECHA DE FACTURACIÓN]]-PROVEEDORES[[#This Row],[PLAZO Días]],0)</f>
        <v>0</v>
      </c>
      <c r="T127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80" spans="1:20" ht="21.9" customHeight="1" x14ac:dyDescent="0.3">
      <c r="A1280" s="113" t="str">
        <f>+IF(PROVEEDORES[[#This Row],[FECHA DE PAGO]]=PROVEEDORES[[#This Row],[FECHA DE FACTURACIÓN]],"DE CONTADO","CRÉDITO")</f>
        <v>CRÉDITO</v>
      </c>
      <c r="B1280" s="51" t="str">
        <f>+IF((PROVEEDORES[[#This Row],[FECHA DE PAGO]]-PROVEEDORES[[#This Row],[FECHA DE FACTURACIÓN]])&gt;PROVEEDORES[[#This Row],[PLAZO Días]],"PAGO VENCIDO")</f>
        <v>PAGO VENCIDO</v>
      </c>
      <c r="C1280" s="25">
        <f>+VLOOKUP(PROVEEDORES[[#This Row],[PROVEEDOR]],TERCEROS_INFO[#All],2,FALSE)</f>
        <v>30</v>
      </c>
      <c r="D1280" s="30">
        <f>+SUMIFS(PROVEEDORES[Total],PROVEEDORES[PROVEEDOR],PROVEEDORES[[#This Row],[PROVEEDOR]],PROVEEDORES[FECHA DE PAGO],"")</f>
        <v>6482443.1751999995</v>
      </c>
      <c r="E1280" s="30"/>
      <c r="F1280" s="73" t="str">
        <f>+VLOOKUP(PROVEEDORES[[#This Row],[PROVEEDOR]],TERCEROS_INFO[[PROVEEDOR]:[CORREO]],5,FALSE)</f>
        <v>angela.navas@hyrdistribuciones.com;girlesa.ruiz@servipilas.com;joriescobar64@gmail.com</v>
      </c>
      <c r="G1280" s="111">
        <v>44652</v>
      </c>
      <c r="H1280" s="31" t="s">
        <v>18</v>
      </c>
      <c r="I1280" s="111">
        <v>44610</v>
      </c>
      <c r="J1280" s="48">
        <v>1050001</v>
      </c>
      <c r="K1280" s="26">
        <v>545207</v>
      </c>
      <c r="L1280" s="26"/>
      <c r="M1280" s="27">
        <v>103589.33</v>
      </c>
      <c r="N1280" s="28"/>
      <c r="O1280" s="27">
        <v>0</v>
      </c>
      <c r="P1280" s="28">
        <v>0</v>
      </c>
      <c r="Q1280" s="27">
        <v>0</v>
      </c>
      <c r="R1280" s="26">
        <v>648796.32999999996</v>
      </c>
      <c r="S1280" s="115">
        <f ca="1">IF(PROVEEDORES[[#This Row],[FECHA DE PAGO]]=0,TODAY()-PROVEEDORES[[#This Row],[FECHA DE FACTURACIÓN]]-PROVEEDORES[[#This Row],[PLAZO Días]],0)</f>
        <v>0</v>
      </c>
      <c r="T128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81" spans="1:20" ht="21.9" customHeight="1" x14ac:dyDescent="0.3">
      <c r="A1281" s="113" t="str">
        <f>+IF(PROVEEDORES[[#This Row],[FECHA DE PAGO]]=PROVEEDORES[[#This Row],[FECHA DE FACTURACIÓN]],"DE CONTADO","CRÉDITO")</f>
        <v>CRÉDITO</v>
      </c>
      <c r="B1281" s="51" t="str">
        <f>+IF((PROVEEDORES[[#This Row],[FECHA DE PAGO]]-PROVEEDORES[[#This Row],[FECHA DE FACTURACIÓN]])&gt;PROVEEDORES[[#This Row],[PLAZO Días]],"PAGO VENCIDO")</f>
        <v>PAGO VENCIDO</v>
      </c>
      <c r="C1281" s="25">
        <f>+VLOOKUP(PROVEEDORES[[#This Row],[PROVEEDOR]],TERCEROS_INFO[#All],2,FALSE)</f>
        <v>30</v>
      </c>
      <c r="D1281" s="30">
        <f>+SUMIFS(PROVEEDORES[Total],PROVEEDORES[PROVEEDOR],PROVEEDORES[[#This Row],[PROVEEDOR]],PROVEEDORES[FECHA DE PAGO],"")</f>
        <v>0</v>
      </c>
      <c r="E1281" s="30"/>
      <c r="F1281" s="73" t="str">
        <f>+VLOOKUP(PROVEEDORES[[#This Row],[PROVEEDOR]],TERCEROS_INFO[[PROVEEDOR]:[CORREO]],5,FALSE)</f>
        <v>juan.suarez@cosostenible.com;girlesa.ruiz@servipilas.com;joriescobar64@gmail.com</v>
      </c>
      <c r="G1281" s="111">
        <v>44642</v>
      </c>
      <c r="H1281" s="31" t="s">
        <v>50</v>
      </c>
      <c r="I1281" s="111">
        <v>44610</v>
      </c>
      <c r="J1281" s="48">
        <v>6049</v>
      </c>
      <c r="K1281" s="26">
        <v>840336</v>
      </c>
      <c r="L1281" s="26"/>
      <c r="M1281" s="27">
        <v>159663.84</v>
      </c>
      <c r="N1281" s="28"/>
      <c r="O1281" s="27">
        <v>0</v>
      </c>
      <c r="P1281" s="28">
        <v>0</v>
      </c>
      <c r="Q1281" s="27">
        <v>0</v>
      </c>
      <c r="R1281" s="26">
        <v>999999.84</v>
      </c>
      <c r="S1281" s="115">
        <f ca="1">IF(PROVEEDORES[[#This Row],[FECHA DE PAGO]]=0,TODAY()-PROVEEDORES[[#This Row],[FECHA DE FACTURACIÓN]]-PROVEEDORES[[#This Row],[PLAZO Días]],0)</f>
        <v>0</v>
      </c>
      <c r="T128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82" spans="1:20" ht="21.9" customHeight="1" x14ac:dyDescent="0.3">
      <c r="A1282" s="113" t="str">
        <f>+IF(PROVEEDORES[[#This Row],[FECHA DE PAGO]]=PROVEEDORES[[#This Row],[FECHA DE FACTURACIÓN]],"DE CONTADO","CRÉDITO")</f>
        <v>CRÉDITO</v>
      </c>
      <c r="B1282" s="51" t="str">
        <f>+IF((PROVEEDORES[[#This Row],[FECHA DE PAGO]]-PROVEEDORES[[#This Row],[FECHA DE FACTURACIÓN]])&gt;PROVEEDORES[[#This Row],[PLAZO Días]],"PAGO VENCIDO")</f>
        <v>PAGO VENCIDO</v>
      </c>
      <c r="C1282" s="25">
        <f>+VLOOKUP(PROVEEDORES[[#This Row],[PROVEEDOR]],TERCEROS_INFO[#All],2,FALSE)</f>
        <v>30</v>
      </c>
      <c r="D1282" s="30">
        <f>+SUMIFS(PROVEEDORES[Total],PROVEEDORES[PROVEEDOR],PROVEEDORES[[#This Row],[PROVEEDOR]],PROVEEDORES[FECHA DE PAGO],"")</f>
        <v>1119790</v>
      </c>
      <c r="E1282" s="30"/>
      <c r="F1282" s="73" t="str">
        <f>+VLOOKUP(PROVEEDORES[[#This Row],[PROVEEDOR]],TERCEROS_INFO[[PROVEEDOR]:[CORREO]],5,FALSE)</f>
        <v>MVALENCIA@mps.com.co;girlesa.ruiz@servipilas.com;joriescobar64@gmail.com</v>
      </c>
      <c r="G1282" s="111">
        <v>44642</v>
      </c>
      <c r="H1282" s="31" t="s">
        <v>17</v>
      </c>
      <c r="I1282" s="111">
        <v>44610</v>
      </c>
      <c r="J1282" s="48">
        <v>1878591</v>
      </c>
      <c r="K1282" s="26">
        <v>1415605.8</v>
      </c>
      <c r="L1282" s="26"/>
      <c r="M1282" s="27">
        <v>0</v>
      </c>
      <c r="N1282" s="28"/>
      <c r="O1282" s="27">
        <v>0</v>
      </c>
      <c r="P1282" s="28">
        <v>0</v>
      </c>
      <c r="Q1282" s="27">
        <v>0</v>
      </c>
      <c r="R1282" s="26">
        <v>1415605.8</v>
      </c>
      <c r="S1282" s="115">
        <f ca="1">IF(PROVEEDORES[[#This Row],[FECHA DE PAGO]]=0,TODAY()-PROVEEDORES[[#This Row],[FECHA DE FACTURACIÓN]]-PROVEEDORES[[#This Row],[PLAZO Días]],0)</f>
        <v>0</v>
      </c>
      <c r="T128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83" spans="1:20" ht="21.9" customHeight="1" x14ac:dyDescent="0.3">
      <c r="A1283" s="113" t="str">
        <f>+IF(PROVEEDORES[[#This Row],[FECHA DE PAGO]]=PROVEEDORES[[#This Row],[FECHA DE FACTURACIÓN]],"DE CONTADO","CRÉDITO")</f>
        <v>CRÉDITO</v>
      </c>
      <c r="B1283" s="51" t="b">
        <f>+IF((PROVEEDORES[[#This Row],[FECHA DE PAGO]]-PROVEEDORES[[#This Row],[FECHA DE FACTURACIÓN]])&gt;PROVEEDORES[[#This Row],[PLAZO Días]],"PAGO VENCIDO")</f>
        <v>0</v>
      </c>
      <c r="C1283" s="25">
        <f>+VLOOKUP(PROVEEDORES[[#This Row],[PROVEEDOR]],TERCEROS_INFO[#All],2,FALSE)</f>
        <v>30</v>
      </c>
      <c r="D1283" s="30">
        <f>+SUMIFS(PROVEEDORES[Total],PROVEEDORES[PROVEEDOR],PROVEEDORES[[#This Row],[PROVEEDOR]],PROVEEDORES[FECHA DE PAGO],"")</f>
        <v>4078650.6</v>
      </c>
      <c r="E1283" s="30"/>
      <c r="F1283" s="73" t="str">
        <f>+VLOOKUP(PROVEEDORES[[#This Row],[PROVEEDOR]],TERCEROS_INFO[[PROVEEDOR]:[CORREO]],5,FALSE)</f>
        <v>financiera@nalpicentral.com;girlesa.ruiz@servipilas.com;joriescobar64@gmail.com</v>
      </c>
      <c r="H1283" s="31" t="s">
        <v>1095</v>
      </c>
      <c r="I1283" s="111">
        <v>44610</v>
      </c>
      <c r="J1283" s="48">
        <v>24751</v>
      </c>
      <c r="K1283" s="26">
        <v>1656000</v>
      </c>
      <c r="L1283" s="26"/>
      <c r="M1283" s="27">
        <v>314640</v>
      </c>
      <c r="N1283" s="28"/>
      <c r="O1283" s="27">
        <v>0</v>
      </c>
      <c r="P1283" s="28">
        <v>2.5000000000000001E-2</v>
      </c>
      <c r="Q1283" s="27">
        <v>41400</v>
      </c>
      <c r="R1283" s="26">
        <v>1929240</v>
      </c>
      <c r="S1283" s="115">
        <f ca="1">IF(PROVEEDORES[[#This Row],[FECHA DE PAGO]]=0,TODAY()-PROVEEDORES[[#This Row],[FECHA DE FACTURACIÓN]]-PROVEEDORES[[#This Row],[PLAZO Días]],0)</f>
        <v>28</v>
      </c>
      <c r="T1283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84" spans="1:20" ht="21.9" customHeight="1" x14ac:dyDescent="0.3">
      <c r="A1284" s="113" t="str">
        <f>+IF(PROVEEDORES[[#This Row],[FECHA DE PAGO]]=PROVEEDORES[[#This Row],[FECHA DE FACTURACIÓN]],"DE CONTADO","CRÉDITO")</f>
        <v>CRÉDITO</v>
      </c>
      <c r="B1284" s="51" t="b">
        <f>+IF((PROVEEDORES[[#This Row],[FECHA DE PAGO]]-PROVEEDORES[[#This Row],[FECHA DE FACTURACIÓN]])&gt;PROVEEDORES[[#This Row],[PLAZO Días]],"PAGO VENCIDO")</f>
        <v>0</v>
      </c>
      <c r="C1284" s="25">
        <f>+VLOOKUP(PROVEEDORES[[#This Row],[PROVEEDOR]],TERCEROS_INFO[#All],2,FALSE)</f>
        <v>30</v>
      </c>
      <c r="D1284" s="30">
        <f>+SUMIFS(PROVEEDORES[Total],PROVEEDORES[PROVEEDOR],PROVEEDORES[[#This Row],[PROVEEDOR]],PROVEEDORES[FECHA DE PAGO],"")</f>
        <v>0</v>
      </c>
      <c r="E1284" s="30"/>
      <c r="F1284" s="73" t="str">
        <f>+VLOOKUP(PROVEEDORES[[#This Row],[PROVEEDOR]],TERCEROS_INFO[[PROVEEDOR]:[CORREO]],5,FALSE)</f>
        <v/>
      </c>
      <c r="G1284" s="111">
        <v>44580</v>
      </c>
      <c r="H1284" s="31" t="s">
        <v>1075</v>
      </c>
      <c r="I1284" s="111">
        <v>44610</v>
      </c>
      <c r="J1284" s="48" t="s">
        <v>1076</v>
      </c>
      <c r="K1284" s="26">
        <v>2516240</v>
      </c>
      <c r="L1284" s="26"/>
      <c r="M1284" s="27">
        <v>0</v>
      </c>
      <c r="N1284" s="28"/>
      <c r="O1284" s="27">
        <v>0</v>
      </c>
      <c r="P1284" s="28">
        <v>0</v>
      </c>
      <c r="Q1284" s="27">
        <v>0</v>
      </c>
      <c r="R1284" s="26">
        <v>2516240</v>
      </c>
      <c r="S1284" s="115">
        <f ca="1">IF(PROVEEDORES[[#This Row],[FECHA DE PAGO]]=0,TODAY()-PROVEEDORES[[#This Row],[FECHA DE FACTURACIÓN]]-PROVEEDORES[[#This Row],[PLAZO Días]],0)</f>
        <v>0</v>
      </c>
      <c r="T12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85" spans="1:20" ht="21.9" customHeight="1" x14ac:dyDescent="0.3">
      <c r="A1285" s="113" t="str">
        <f>+IF(PROVEEDORES[[#This Row],[FECHA DE PAGO]]=PROVEEDORES[[#This Row],[FECHA DE FACTURACIÓN]],"DE CONTADO","CRÉDITO")</f>
        <v>CRÉDITO</v>
      </c>
      <c r="B1285" s="51" t="str">
        <f>+IF((PROVEEDORES[[#This Row],[FECHA DE PAGO]]-PROVEEDORES[[#This Row],[FECHA DE FACTURACIÓN]])&gt;PROVEEDORES[[#This Row],[PLAZO Días]],"PAGO VENCIDO")</f>
        <v>PAGO VENCIDO</v>
      </c>
      <c r="C1285" s="25">
        <f>+VLOOKUP(PROVEEDORES[[#This Row],[PROVEEDOR]],TERCEROS_INFO[#All],2,FALSE)</f>
        <v>30</v>
      </c>
      <c r="D1285" s="30">
        <f>+SUMIFS(PROVEEDORES[Total],PROVEEDORES[PROVEEDOR],PROVEEDORES[[#This Row],[PROVEEDOR]],PROVEEDORES[FECHA DE PAGO],"")</f>
        <v>1451823</v>
      </c>
      <c r="E1285" s="30"/>
      <c r="F1285" s="73" t="str">
        <f>+VLOOKUP(PROVEEDORES[[#This Row],[PROVEEDOR]],TERCEROS_INFO[[PROVEEDOR]:[CORREO]],5,FALSE)</f>
        <v>cartera@ienewline.com;andres.arroyave@ienewline.com;girlesa.ruiz@servipilas.com;joriescobar64@gmail.com</v>
      </c>
      <c r="G1285" s="111">
        <v>44652</v>
      </c>
      <c r="H1285" s="31" t="s">
        <v>1131</v>
      </c>
      <c r="I1285" s="111">
        <v>44610</v>
      </c>
      <c r="J1285" s="48">
        <v>27516</v>
      </c>
      <c r="K1285" s="26">
        <v>8664000</v>
      </c>
      <c r="L1285" s="26"/>
      <c r="M1285" s="27">
        <v>1646160</v>
      </c>
      <c r="N1285" s="28"/>
      <c r="O1285" s="27">
        <v>0</v>
      </c>
      <c r="P1285" s="28">
        <v>2.5000000000000001E-2</v>
      </c>
      <c r="Q1285" s="27">
        <v>216600</v>
      </c>
      <c r="R1285" s="26">
        <v>10093560</v>
      </c>
      <c r="S1285" s="115">
        <f ca="1">IF(PROVEEDORES[[#This Row],[FECHA DE PAGO]]=0,TODAY()-PROVEEDORES[[#This Row],[FECHA DE FACTURACIÓN]]-PROVEEDORES[[#This Row],[PLAZO Días]],0)</f>
        <v>0</v>
      </c>
      <c r="T128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86" spans="1:20" ht="21.9" customHeight="1" x14ac:dyDescent="0.3">
      <c r="A1286" s="113" t="str">
        <f>+IF(PROVEEDORES[[#This Row],[FECHA DE PAGO]]=PROVEEDORES[[#This Row],[FECHA DE FACTURACIÓN]],"DE CONTADO","CRÉDITO")</f>
        <v>CRÉDITO</v>
      </c>
      <c r="B1286" s="51" t="b">
        <f>+IF((PROVEEDORES[[#This Row],[FECHA DE PAGO]]-PROVEEDORES[[#This Row],[FECHA DE FACTURACIÓN]])&gt;PROVEEDORES[[#This Row],[PLAZO Días]],"PAGO VENCIDO")</f>
        <v>0</v>
      </c>
      <c r="C1286" s="25">
        <f>+VLOOKUP(PROVEEDORES[[#This Row],[PROVEEDOR]],TERCEROS_INFO[#All],2,FALSE)</f>
        <v>30</v>
      </c>
      <c r="D1286" s="30">
        <f>+SUMIFS(PROVEEDORES[Total],PROVEEDORES[PROVEEDOR],PROVEEDORES[[#This Row],[PROVEEDOR]],PROVEEDORES[FECHA DE PAGO],"")</f>
        <v>0</v>
      </c>
      <c r="E1286" s="30"/>
      <c r="F1286" s="73">
        <f>+VLOOKUP(PROVEEDORES[[#This Row],[PROVEEDOR]],TERCEROS_INFO[[PROVEEDOR]:[CORREO]],5,FALSE)</f>
        <v>0</v>
      </c>
      <c r="G1286" s="111">
        <v>44623</v>
      </c>
      <c r="H1286" s="31" t="s">
        <v>1086</v>
      </c>
      <c r="I1286" s="111">
        <v>44611</v>
      </c>
      <c r="J1286" s="48" t="s">
        <v>1088</v>
      </c>
      <c r="K1286" s="26">
        <v>637000</v>
      </c>
      <c r="L1286" s="26"/>
      <c r="M1286" s="27">
        <v>0</v>
      </c>
      <c r="N1286" s="28"/>
      <c r="O1286" s="27">
        <v>0</v>
      </c>
      <c r="P1286" s="28">
        <v>0</v>
      </c>
      <c r="Q1286" s="27">
        <v>0</v>
      </c>
      <c r="R1286" s="26">
        <v>637000</v>
      </c>
      <c r="S1286" s="115">
        <f ca="1">IF(PROVEEDORES[[#This Row],[FECHA DE PAGO]]=0,TODAY()-PROVEEDORES[[#This Row],[FECHA DE FACTURACIÓN]]-PROVEEDORES[[#This Row],[PLAZO Días]],0)</f>
        <v>0</v>
      </c>
      <c r="T128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87" spans="1:20" ht="21.9" customHeight="1" x14ac:dyDescent="0.3">
      <c r="A1287" s="113" t="str">
        <f>+IF(PROVEEDORES[[#This Row],[FECHA DE PAGO]]=PROVEEDORES[[#This Row],[FECHA DE FACTURACIÓN]],"DE CONTADO","CRÉDITO")</f>
        <v>CRÉDITO</v>
      </c>
      <c r="B1287" s="51" t="str">
        <f>+IF((PROVEEDORES[[#This Row],[FECHA DE PAGO]]-PROVEEDORES[[#This Row],[FECHA DE FACTURACIÓN]])&gt;PROVEEDORES[[#This Row],[PLAZO Días]],"PAGO VENCIDO")</f>
        <v>PAGO VENCIDO</v>
      </c>
      <c r="C1287" s="25">
        <f>+VLOOKUP(PROVEEDORES[[#This Row],[PROVEEDOR]],TERCEROS_INFO[#All],2,FALSE)</f>
        <v>30</v>
      </c>
      <c r="D1287" s="30">
        <f>+SUMIFS(PROVEEDORES[Total],PROVEEDORES[PROVEEDOR],PROVEEDORES[[#This Row],[PROVEEDOR]],PROVEEDORES[FECHA DE PAGO],"")</f>
        <v>0</v>
      </c>
      <c r="E1287" s="30"/>
      <c r="F1287" s="73" t="str">
        <f>+VLOOKUP(PROVEEDORES[[#This Row],[PROVEEDOR]],TERCEROS_INFO[[PROVEEDOR]:[CORREO]],5,FALSE)</f>
        <v>Tuspilas.co@gmail.com;girlesa.ruiz@servipilas.com;joriescobar64@gmail.com</v>
      </c>
      <c r="G1287" s="111">
        <v>44648</v>
      </c>
      <c r="H1287" s="31" t="s">
        <v>43</v>
      </c>
      <c r="I1287" s="111">
        <v>44613</v>
      </c>
      <c r="J1287" s="48" t="s">
        <v>1170</v>
      </c>
      <c r="K1287" s="26">
        <v>1575633.5</v>
      </c>
      <c r="L1287" s="26"/>
      <c r="M1287" s="27">
        <v>299370.36499999999</v>
      </c>
      <c r="N1287" s="28"/>
      <c r="O1287" s="27">
        <v>0</v>
      </c>
      <c r="P1287" s="28">
        <v>2.5000000000000001E-2</v>
      </c>
      <c r="Q1287" s="27">
        <v>39390.837500000001</v>
      </c>
      <c r="R1287" s="26">
        <v>1835613.0275000001</v>
      </c>
      <c r="S1287" s="115">
        <f ca="1">IF(PROVEEDORES[[#This Row],[FECHA DE PAGO]]=0,TODAY()-PROVEEDORES[[#This Row],[FECHA DE FACTURACIÓN]]-PROVEEDORES[[#This Row],[PLAZO Días]],0)</f>
        <v>0</v>
      </c>
      <c r="T128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88" spans="1:20" ht="21.9" customHeight="1" x14ac:dyDescent="0.3">
      <c r="A1288" s="113" t="str">
        <f>+IF(PROVEEDORES[[#This Row],[FECHA DE PAGO]]=PROVEEDORES[[#This Row],[FECHA DE FACTURACIÓN]],"DE CONTADO","CRÉDITO")</f>
        <v>CRÉDITO</v>
      </c>
      <c r="B1288" s="51" t="b">
        <f>+IF((PROVEEDORES[[#This Row],[FECHA DE PAGO]]-PROVEEDORES[[#This Row],[FECHA DE FACTURACIÓN]])&gt;PROVEEDORES[[#This Row],[PLAZO Días]],"PAGO VENCIDO")</f>
        <v>0</v>
      </c>
      <c r="C1288" s="25">
        <f>+VLOOKUP(PROVEEDORES[[#This Row],[PROVEEDOR]],TERCEROS_INFO[#All],2,FALSE)</f>
        <v>30</v>
      </c>
      <c r="D1288" s="30">
        <f>+SUMIFS(PROVEEDORES[Total],PROVEEDORES[PROVEEDOR],PROVEEDORES[[#This Row],[PROVEEDOR]],PROVEEDORES[FECHA DE PAGO],"")</f>
        <v>4078650.6</v>
      </c>
      <c r="E1288" s="30"/>
      <c r="F1288" s="73" t="str">
        <f>+VLOOKUP(PROVEEDORES[[#This Row],[PROVEEDOR]],TERCEROS_INFO[[PROVEEDOR]:[CORREO]],5,FALSE)</f>
        <v>financiera@nalpicentral.com;girlesa.ruiz@servipilas.com;joriescobar64@gmail.com</v>
      </c>
      <c r="G1288" s="111">
        <v>44635</v>
      </c>
      <c r="H1288" s="31" t="s">
        <v>1095</v>
      </c>
      <c r="I1288" s="111">
        <v>44614</v>
      </c>
      <c r="J1288" s="48" t="s">
        <v>1154</v>
      </c>
      <c r="K1288" s="26">
        <v>-258607</v>
      </c>
      <c r="L1288" s="26"/>
      <c r="M1288" s="27">
        <v>0</v>
      </c>
      <c r="N1288" s="28"/>
      <c r="O1288" s="27">
        <v>0</v>
      </c>
      <c r="P1288" s="28">
        <v>0</v>
      </c>
      <c r="Q1288" s="27">
        <v>0</v>
      </c>
      <c r="R1288" s="26">
        <v>-258607</v>
      </c>
      <c r="S1288" s="115">
        <f ca="1">IF(PROVEEDORES[[#This Row],[FECHA DE PAGO]]=0,TODAY()-PROVEEDORES[[#This Row],[FECHA DE FACTURACIÓN]]-PROVEEDORES[[#This Row],[PLAZO Días]],0)</f>
        <v>0</v>
      </c>
      <c r="T12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89" spans="1:20" ht="21.9" customHeight="1" x14ac:dyDescent="0.3">
      <c r="A1289" s="113" t="str">
        <f>+IF(PROVEEDORES[[#This Row],[FECHA DE PAGO]]=PROVEEDORES[[#This Row],[FECHA DE FACTURACIÓN]],"DE CONTADO","CRÉDITO")</f>
        <v>CRÉDITO</v>
      </c>
      <c r="B1289" s="51" t="str">
        <f>+IF((PROVEEDORES[[#This Row],[FECHA DE PAGO]]-PROVEEDORES[[#This Row],[FECHA DE FACTURACIÓN]])&gt;PROVEEDORES[[#This Row],[PLAZO Días]],"PAGO VENCIDO")</f>
        <v>PAGO VENCIDO</v>
      </c>
      <c r="C1289" s="25">
        <f>+VLOOKUP(PROVEEDORES[[#This Row],[PROVEEDOR]],TERCEROS_INFO[#All],2,FALSE)</f>
        <v>30</v>
      </c>
      <c r="D1289" s="30">
        <f>+SUMIFS(PROVEEDORES[Total],PROVEEDORES[PROVEEDOR],PROVEEDORES[[#This Row],[PROVEEDOR]],PROVEEDORES[FECHA DE PAGO],"")</f>
        <v>3400186.8245000001</v>
      </c>
      <c r="E1289" s="30"/>
      <c r="F1289" s="73" t="str">
        <f>+VLOOKUP(PROVEEDORES[[#This Row],[PROVEEDOR]],TERCEROS_INFO[[PROVEEDOR]:[CORREO]],5,FALSE)</f>
        <v>contabilidad@amgimportadora.com;mcastellanos@amgimportadora.com;girlesa.ruiz@servipilas.com;joriescobar64@gmail.com</v>
      </c>
      <c r="G1289" s="111">
        <v>44657</v>
      </c>
      <c r="H1289" s="31" t="s">
        <v>20</v>
      </c>
      <c r="I1289" s="111">
        <v>44615</v>
      </c>
      <c r="J1289" s="48">
        <v>6379</v>
      </c>
      <c r="K1289" s="26">
        <v>614042</v>
      </c>
      <c r="L1289" s="26"/>
      <c r="M1289" s="27">
        <v>116667.98</v>
      </c>
      <c r="N1289" s="28"/>
      <c r="O1289" s="27">
        <v>0</v>
      </c>
      <c r="P1289" s="28">
        <v>0</v>
      </c>
      <c r="Q1289" s="27">
        <v>0</v>
      </c>
      <c r="R1289" s="26">
        <v>730709.98</v>
      </c>
      <c r="S1289" s="115">
        <f ca="1">IF(PROVEEDORES[[#This Row],[FECHA DE PAGO]]=0,TODAY()-PROVEEDORES[[#This Row],[FECHA DE FACTURACIÓN]]-PROVEEDORES[[#This Row],[PLAZO Días]],0)</f>
        <v>0</v>
      </c>
      <c r="T12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90" spans="1:20" ht="21.9" customHeight="1" x14ac:dyDescent="0.3">
      <c r="A1290" s="113" t="str">
        <f>+IF(PROVEEDORES[[#This Row],[FECHA DE PAGO]]=PROVEEDORES[[#This Row],[FECHA DE FACTURACIÓN]],"DE CONTADO","CRÉDITO")</f>
        <v>CRÉDITO</v>
      </c>
      <c r="B1290" s="51" t="str">
        <f>+IF((PROVEEDORES[[#This Row],[FECHA DE PAGO]]-PROVEEDORES[[#This Row],[FECHA DE FACTURACIÓN]])&gt;PROVEEDORES[[#This Row],[PLAZO Días]],"PAGO VENCIDO")</f>
        <v>PAGO VENCIDO</v>
      </c>
      <c r="C1290" s="25">
        <f>+VLOOKUP(PROVEEDORES[[#This Row],[PROVEEDOR]],TERCEROS_INFO[#All],2,FALSE)</f>
        <v>30</v>
      </c>
      <c r="D1290" s="30">
        <f>+SUMIFS(PROVEEDORES[Total],PROVEEDORES[PROVEEDOR],PROVEEDORES[[#This Row],[PROVEEDOR]],PROVEEDORES[FECHA DE PAGO],"")</f>
        <v>4054782.5</v>
      </c>
      <c r="E1290" s="30"/>
      <c r="F1290" s="73" t="str">
        <f>+VLOOKUP(PROVEEDORES[[#This Row],[PROVEEDOR]],TERCEROS_INFO[[PROVEEDOR]:[CORREO]],5,FALSE)</f>
        <v>globalpowerc2018@gmail.com;girlesa.ruiz@servipilas.com;joriescobar64@gmail.com</v>
      </c>
      <c r="G1290" s="111">
        <v>44649</v>
      </c>
      <c r="H1290" s="31" t="s">
        <v>482</v>
      </c>
      <c r="I1290" s="111">
        <v>44616</v>
      </c>
      <c r="J1290" s="48">
        <v>26</v>
      </c>
      <c r="K1290" s="26">
        <v>913000</v>
      </c>
      <c r="L1290" s="26"/>
      <c r="M1290" s="27">
        <v>173470</v>
      </c>
      <c r="N1290" s="28"/>
      <c r="O1290" s="27">
        <v>0</v>
      </c>
      <c r="P1290" s="28">
        <v>0</v>
      </c>
      <c r="Q1290" s="27">
        <v>0</v>
      </c>
      <c r="R1290" s="26">
        <v>1086470</v>
      </c>
      <c r="S1290" s="115">
        <f ca="1">IF(PROVEEDORES[[#This Row],[FECHA DE PAGO]]=0,TODAY()-PROVEEDORES[[#This Row],[FECHA DE FACTURACIÓN]]-PROVEEDORES[[#This Row],[PLAZO Días]],0)</f>
        <v>0</v>
      </c>
      <c r="T12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91" spans="1:20" ht="21.9" customHeight="1" x14ac:dyDescent="0.3">
      <c r="A1291" s="113" t="str">
        <f>+IF(PROVEEDORES[[#This Row],[FECHA DE PAGO]]=PROVEEDORES[[#This Row],[FECHA DE FACTURACIÓN]],"DE CONTADO","CRÉDITO")</f>
        <v>DE CONTADO</v>
      </c>
      <c r="B1291" s="51" t="b">
        <f>+IF((PROVEEDORES[[#This Row],[FECHA DE PAGO]]-PROVEEDORES[[#This Row],[FECHA DE FACTURACIÓN]])&gt;PROVEEDORES[[#This Row],[PLAZO Días]],"PAGO VENCIDO")</f>
        <v>0</v>
      </c>
      <c r="C1291" s="25">
        <f>+VLOOKUP(PROVEEDORES[[#This Row],[PROVEEDOR]],TERCEROS_INFO[#All],2,FALSE)</f>
        <v>30</v>
      </c>
      <c r="D1291" s="30">
        <f>+SUMIFS(PROVEEDORES[Total],PROVEEDORES[PROVEEDOR],PROVEEDORES[[#This Row],[PROVEEDOR]],PROVEEDORES[FECHA DE PAGO],"")</f>
        <v>0</v>
      </c>
      <c r="E1291" s="30"/>
      <c r="F1291" s="73" t="str">
        <f>+VLOOKUP(PROVEEDORES[[#This Row],[PROVEEDOR]],TERCEROS_INFO[[PROVEEDOR]:[CORREO]],5,FALSE)</f>
        <v/>
      </c>
      <c r="G1291" s="111">
        <v>44616</v>
      </c>
      <c r="H1291" s="31" t="s">
        <v>1052</v>
      </c>
      <c r="I1291" s="111">
        <v>44616</v>
      </c>
      <c r="J1291" s="48"/>
      <c r="K1291" s="26">
        <v>1000000</v>
      </c>
      <c r="L1291" s="26"/>
      <c r="M1291" s="27">
        <v>0</v>
      </c>
      <c r="N1291" s="28"/>
      <c r="O1291" s="27">
        <v>0</v>
      </c>
      <c r="P1291" s="28">
        <v>0</v>
      </c>
      <c r="Q1291" s="27">
        <v>0</v>
      </c>
      <c r="R1291" s="26">
        <v>1000000</v>
      </c>
      <c r="S1291" s="115">
        <f ca="1">IF(PROVEEDORES[[#This Row],[FECHA DE PAGO]]=0,TODAY()-PROVEEDORES[[#This Row],[FECHA DE FACTURACIÓN]]-PROVEEDORES[[#This Row],[PLAZO Días]],0)</f>
        <v>0</v>
      </c>
      <c r="T12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92" spans="1:20" ht="21.9" customHeight="1" x14ac:dyDescent="0.3">
      <c r="A1292" s="113" t="str">
        <f>+IF(PROVEEDORES[[#This Row],[FECHA DE PAGO]]=PROVEEDORES[[#This Row],[FECHA DE FACTURACIÓN]],"DE CONTADO","CRÉDITO")</f>
        <v>CRÉDITO</v>
      </c>
      <c r="B1292" s="51" t="str">
        <f>+IF((PROVEEDORES[[#This Row],[FECHA DE PAGO]]-PROVEEDORES[[#This Row],[FECHA DE FACTURACIÓN]])&gt;PROVEEDORES[[#This Row],[PLAZO Días]],"PAGO VENCIDO")</f>
        <v>PAGO VENCIDO</v>
      </c>
      <c r="C1292" s="25">
        <f>+VLOOKUP(PROVEEDORES[[#This Row],[PROVEEDOR]],TERCEROS_INFO[#All],2,FALSE)</f>
        <v>30</v>
      </c>
      <c r="D1292" s="30">
        <f>+SUMIFS(PROVEEDORES[Total],PROVEEDORES[PROVEEDOR],PROVEEDORES[[#This Row],[PROVEEDOR]],PROVEEDORES[FECHA DE PAGO],"")</f>
        <v>6482443.1751999995</v>
      </c>
      <c r="E1292" s="30"/>
      <c r="F1292" s="73" t="str">
        <f>+VLOOKUP(PROVEEDORES[[#This Row],[PROVEEDOR]],TERCEROS_INFO[[PROVEEDOR]:[CORREO]],5,FALSE)</f>
        <v>angela.navas@hyrdistribuciones.com;girlesa.ruiz@servipilas.com;joriescobar64@gmail.com</v>
      </c>
      <c r="G1292" s="111">
        <v>44652</v>
      </c>
      <c r="H1292" s="31" t="s">
        <v>18</v>
      </c>
      <c r="I1292" s="111">
        <v>44616</v>
      </c>
      <c r="J1292" s="48">
        <v>1050228</v>
      </c>
      <c r="K1292" s="26">
        <v>2199781.6800000002</v>
      </c>
      <c r="L1292" s="26"/>
      <c r="M1292" s="27">
        <v>417958.51920000004</v>
      </c>
      <c r="N1292" s="28"/>
      <c r="O1292" s="27">
        <v>0</v>
      </c>
      <c r="P1292" s="28">
        <v>2.5000000000000001E-2</v>
      </c>
      <c r="Q1292" s="27">
        <v>54994.542000000009</v>
      </c>
      <c r="R1292" s="26">
        <v>2562745.6572000002</v>
      </c>
      <c r="S1292" s="115">
        <f ca="1">IF(PROVEEDORES[[#This Row],[FECHA DE PAGO]]=0,TODAY()-PROVEEDORES[[#This Row],[FECHA DE FACTURACIÓN]]-PROVEEDORES[[#This Row],[PLAZO Días]],0)</f>
        <v>0</v>
      </c>
      <c r="T12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93" spans="1:20" ht="21.9" customHeight="1" x14ac:dyDescent="0.3">
      <c r="A1293" s="113" t="str">
        <f>+IF(PROVEEDORES[[#This Row],[FECHA DE PAGO]]=PROVEEDORES[[#This Row],[FECHA DE FACTURACIÓN]],"DE CONTADO","CRÉDITO")</f>
        <v>CRÉDITO</v>
      </c>
      <c r="B1293" s="51" t="b">
        <f>+IF((PROVEEDORES[[#This Row],[FECHA DE PAGO]]-PROVEEDORES[[#This Row],[FECHA DE FACTURACIÓN]])&gt;PROVEEDORES[[#This Row],[PLAZO Días]],"PAGO VENCIDO")</f>
        <v>0</v>
      </c>
      <c r="C1293" s="25">
        <f>+VLOOKUP(PROVEEDORES[[#This Row],[PROVEEDOR]],TERCEROS_INFO[#All],2,FALSE)</f>
        <v>30</v>
      </c>
      <c r="D1293" s="30">
        <f>+SUMIFS(PROVEEDORES[Total],PROVEEDORES[PROVEEDOR],PROVEEDORES[[#This Row],[PROVEEDOR]],PROVEEDORES[FECHA DE PAGO],"")</f>
        <v>0</v>
      </c>
      <c r="E1293" s="30"/>
      <c r="F1293" s="73" t="str">
        <f>+VLOOKUP(PROVEEDORES[[#This Row],[PROVEEDOR]],TERCEROS_INFO[[PROVEEDOR]:[CORREO]],5,FALSE)</f>
        <v>mobiliariomasproyectos@gmail.com;girlesa.ruiz@servipilas.com;joriescobar64@gmail.com</v>
      </c>
      <c r="G1293" s="111">
        <v>44620</v>
      </c>
      <c r="H1293" s="31" t="s">
        <v>1117</v>
      </c>
      <c r="I1293" s="111">
        <v>44616</v>
      </c>
      <c r="J1293" s="48" t="s">
        <v>1118</v>
      </c>
      <c r="K1293" s="26">
        <v>2400000</v>
      </c>
      <c r="L1293" s="26"/>
      <c r="M1293" s="27">
        <v>0</v>
      </c>
      <c r="N1293" s="28"/>
      <c r="O1293" s="27">
        <v>0</v>
      </c>
      <c r="P1293" s="28">
        <v>0</v>
      </c>
      <c r="Q1293" s="27">
        <v>0</v>
      </c>
      <c r="R1293" s="26">
        <v>2400000</v>
      </c>
      <c r="S1293" s="115">
        <f ca="1">IF(PROVEEDORES[[#This Row],[FECHA DE PAGO]]=0,TODAY()-PROVEEDORES[[#This Row],[FECHA DE FACTURACIÓN]]-PROVEEDORES[[#This Row],[PLAZO Días]],0)</f>
        <v>0</v>
      </c>
      <c r="T12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94" spans="1:20" ht="21.9" customHeight="1" x14ac:dyDescent="0.3">
      <c r="A1294" s="113" t="str">
        <f>+IF(PROVEEDORES[[#This Row],[FECHA DE PAGO]]=PROVEEDORES[[#This Row],[FECHA DE FACTURACIÓN]],"DE CONTADO","CRÉDITO")</f>
        <v>CRÉDITO</v>
      </c>
      <c r="B1294" s="51" t="str">
        <f>+IF((PROVEEDORES[[#This Row],[FECHA DE PAGO]]-PROVEEDORES[[#This Row],[FECHA DE FACTURACIÓN]])&gt;PROVEEDORES[[#This Row],[PLAZO Días]],"PAGO VENCIDO")</f>
        <v>PAGO VENCIDO</v>
      </c>
      <c r="C1294" s="25">
        <f>+VLOOKUP(PROVEEDORES[[#This Row],[PROVEEDOR]],TERCEROS_INFO[#All],2,FALSE)</f>
        <v>30</v>
      </c>
      <c r="D1294" s="30">
        <f>+SUMIFS(PROVEEDORES[Total],PROVEEDORES[PROVEEDOR],PROVEEDORES[[#This Row],[PROVEEDOR]],PROVEEDORES[FECHA DE PAGO],"")</f>
        <v>4862586.33</v>
      </c>
      <c r="E1294" s="30"/>
      <c r="F1294" s="73" t="str">
        <f>+VLOOKUP(PROVEEDORES[[#This Row],[PROVEEDOR]],TERCEROS_INFO[[PROVEEDOR]:[CORREO]],5,FALSE)</f>
        <v>cartera@conbienes.com;girlesa.ruiz@servipilas.com;joriescobar64@gmail.com</v>
      </c>
      <c r="G1294" s="111">
        <v>44650</v>
      </c>
      <c r="H1294" s="31" t="s">
        <v>348</v>
      </c>
      <c r="I1294" s="111">
        <v>44617</v>
      </c>
      <c r="J1294" s="48" t="s">
        <v>1110</v>
      </c>
      <c r="K1294" s="26">
        <v>-692129.53</v>
      </c>
      <c r="L1294" s="26"/>
      <c r="M1294" s="27">
        <v>0</v>
      </c>
      <c r="N1294" s="28"/>
      <c r="O1294" s="27">
        <v>0</v>
      </c>
      <c r="P1294" s="28">
        <v>0</v>
      </c>
      <c r="Q1294" s="27">
        <v>0</v>
      </c>
      <c r="R1294" s="26">
        <v>-692129.53</v>
      </c>
      <c r="S1294" s="115">
        <f ca="1">IF(PROVEEDORES[[#This Row],[FECHA DE PAGO]]=0,TODAY()-PROVEEDORES[[#This Row],[FECHA DE FACTURACIÓN]]-PROVEEDORES[[#This Row],[PLAZO Días]],0)</f>
        <v>0</v>
      </c>
      <c r="T129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95" spans="1:20" ht="21.9" customHeight="1" x14ac:dyDescent="0.3">
      <c r="A1295" s="113" t="str">
        <f>+IF(PROVEEDORES[[#This Row],[FECHA DE PAGO]]=PROVEEDORES[[#This Row],[FECHA DE FACTURACIÓN]],"DE CONTADO","CRÉDITO")</f>
        <v>CRÉDITO</v>
      </c>
      <c r="B1295" s="51" t="str">
        <f>+IF((PROVEEDORES[[#This Row],[FECHA DE PAGO]]-PROVEEDORES[[#This Row],[FECHA DE FACTURACIÓN]])&gt;PROVEEDORES[[#This Row],[PLAZO Días]],"PAGO VENCIDO")</f>
        <v>PAGO VENCIDO</v>
      </c>
      <c r="C1295" s="25">
        <f>+VLOOKUP(PROVEEDORES[[#This Row],[PROVEEDOR]],TERCEROS_INFO[#All],2,FALSE)</f>
        <v>30</v>
      </c>
      <c r="D1295" s="30">
        <f>+SUMIFS(PROVEEDORES[Total],PROVEEDORES[PROVEEDOR],PROVEEDORES[[#This Row],[PROVEEDOR]],PROVEEDORES[FECHA DE PAGO],"")</f>
        <v>5060410.5999999996</v>
      </c>
      <c r="E1295" s="30"/>
      <c r="F1295" s="73" t="str">
        <f>+VLOOKUP(PROVEEDORES[[#This Row],[PROVEEDOR]],TERCEROS_INFO[[PROVEEDOR]:[CORREO]],5,FALSE)</f>
        <v>CBastidas@vyp.com.co;girlesa.ruiz@servipilas.com;joriescobar64@gmail.com</v>
      </c>
      <c r="G1295" s="111">
        <v>44650</v>
      </c>
      <c r="H1295" s="31" t="s">
        <v>347</v>
      </c>
      <c r="I1295" s="111">
        <v>44617</v>
      </c>
      <c r="J1295" s="48" t="s">
        <v>1123</v>
      </c>
      <c r="K1295" s="26">
        <v>-248736</v>
      </c>
      <c r="L1295" s="26"/>
      <c r="M1295" s="27">
        <v>-47259.840000000004</v>
      </c>
      <c r="N1295" s="28"/>
      <c r="O1295" s="27">
        <v>0</v>
      </c>
      <c r="P1295" s="28">
        <v>0</v>
      </c>
      <c r="Q1295" s="27">
        <v>0</v>
      </c>
      <c r="R1295" s="26">
        <v>-295995.84000000003</v>
      </c>
      <c r="S1295" s="115">
        <f ca="1">IF(PROVEEDORES[[#This Row],[FECHA DE PAGO]]=0,TODAY()-PROVEEDORES[[#This Row],[FECHA DE FACTURACIÓN]]-PROVEEDORES[[#This Row],[PLAZO Días]],0)</f>
        <v>0</v>
      </c>
      <c r="T12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296" spans="1:20" ht="21.9" customHeight="1" x14ac:dyDescent="0.3">
      <c r="A1296" s="113" t="str">
        <f>+IF(PROVEEDORES[[#This Row],[FECHA DE PAGO]]=PROVEEDORES[[#This Row],[FECHA DE FACTURACIÓN]],"DE CONTADO","CRÉDITO")</f>
        <v>CRÉDITO</v>
      </c>
      <c r="B1296" s="51" t="b">
        <f>+IF((PROVEEDORES[[#This Row],[FECHA DE PAGO]]-PROVEEDORES[[#This Row],[FECHA DE FACTURACIÓN]])&gt;PROVEEDORES[[#This Row],[PLAZO Días]],"PAGO VENCIDO")</f>
        <v>0</v>
      </c>
      <c r="C1296" s="25">
        <f>+VLOOKUP(PROVEEDORES[[#This Row],[PROVEEDOR]],TERCEROS_INFO[#All],2,FALSE)</f>
        <v>60</v>
      </c>
      <c r="D1296" s="30">
        <f>+SUMIFS(PROVEEDORES[Total],PROVEEDORES[PROVEEDOR],PROVEEDORES[[#This Row],[PROVEEDOR]],PROVEEDORES[FECHA DE PAGO],"")</f>
        <v>602800</v>
      </c>
      <c r="E1296" s="30"/>
      <c r="F1296" s="73" t="str">
        <f>+VLOOKUP(PROVEEDORES[[#This Row],[PROVEEDOR]],TERCEROS_INFO[[PROVEEDOR]:[CORREO]],5,FALSE)</f>
        <v>jessica.barios.com@carpainternacional;girlesa.ruiz@servipilas.com;joriescobar64@gmail.com</v>
      </c>
      <c r="H1296" s="31" t="s">
        <v>607</v>
      </c>
      <c r="I1296" s="111">
        <v>44617</v>
      </c>
      <c r="J1296" s="48" t="s">
        <v>1155</v>
      </c>
      <c r="K1296" s="26">
        <v>202800</v>
      </c>
      <c r="L1296" s="26"/>
      <c r="M1296" s="27">
        <v>0</v>
      </c>
      <c r="N1296" s="28"/>
      <c r="O1296" s="27">
        <v>0</v>
      </c>
      <c r="P1296" s="28">
        <v>0</v>
      </c>
      <c r="Q1296" s="27">
        <v>0</v>
      </c>
      <c r="R1296" s="26">
        <v>202800</v>
      </c>
      <c r="S1296" s="115">
        <f ca="1">IF(PROVEEDORES[[#This Row],[FECHA DE PAGO]]=0,TODAY()-PROVEEDORES[[#This Row],[FECHA DE FACTURACIÓN]]-PROVEEDORES[[#This Row],[PLAZO Días]],0)</f>
        <v>-9</v>
      </c>
      <c r="T1296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297" spans="1:20" ht="21.9" customHeight="1" x14ac:dyDescent="0.3">
      <c r="A1297" s="113" t="str">
        <f>+IF(PROVEEDORES[[#This Row],[FECHA DE PAGO]]=PROVEEDORES[[#This Row],[FECHA DE FACTURACIÓN]],"DE CONTADO","CRÉDITO")</f>
        <v>CRÉDITO</v>
      </c>
      <c r="B1297" s="51" t="b">
        <f>+IF((PROVEEDORES[[#This Row],[FECHA DE PAGO]]-PROVEEDORES[[#This Row],[FECHA DE FACTURACIÓN]])&gt;PROVEEDORES[[#This Row],[PLAZO Días]],"PAGO VENCIDO")</f>
        <v>0</v>
      </c>
      <c r="C1297" s="25">
        <f>+VLOOKUP(PROVEEDORES[[#This Row],[PROVEEDOR]],TERCEROS_INFO[#All],2,FALSE)</f>
        <v>60</v>
      </c>
      <c r="D1297" s="30">
        <f>+SUMIFS(PROVEEDORES[Total],PROVEEDORES[PROVEEDOR],PROVEEDORES[[#This Row],[PROVEEDOR]],PROVEEDORES[FECHA DE PAGO],"")</f>
        <v>602800</v>
      </c>
      <c r="E1297" s="30"/>
      <c r="F1297" s="73" t="str">
        <f>+VLOOKUP(PROVEEDORES[[#This Row],[PROVEEDOR]],TERCEROS_INFO[[PROVEEDOR]:[CORREO]],5,FALSE)</f>
        <v>jessica.barios.com@carpainternacional;girlesa.ruiz@servipilas.com;joriescobar64@gmail.com</v>
      </c>
      <c r="H1297" s="31" t="s">
        <v>607</v>
      </c>
      <c r="I1297" s="111">
        <v>44617</v>
      </c>
      <c r="J1297" s="48">
        <v>1342</v>
      </c>
      <c r="K1297" s="26">
        <v>208000</v>
      </c>
      <c r="L1297" s="26"/>
      <c r="M1297" s="27">
        <v>0</v>
      </c>
      <c r="N1297" s="28"/>
      <c r="O1297" s="27">
        <v>0</v>
      </c>
      <c r="P1297" s="28">
        <v>0</v>
      </c>
      <c r="Q1297" s="27">
        <v>0</v>
      </c>
      <c r="R1297" s="26">
        <v>208000</v>
      </c>
      <c r="S1297" s="115">
        <f ca="1">IF(PROVEEDORES[[#This Row],[FECHA DE PAGO]]=0,TODAY()-PROVEEDORES[[#This Row],[FECHA DE FACTURACIÓN]]-PROVEEDORES[[#This Row],[PLAZO Días]],0)</f>
        <v>-9</v>
      </c>
      <c r="T1297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298" spans="1:20" ht="21.9" customHeight="1" x14ac:dyDescent="0.3">
      <c r="A1298" s="113" t="str">
        <f>+IF(PROVEEDORES[[#This Row],[FECHA DE PAGO]]=PROVEEDORES[[#This Row],[FECHA DE FACTURACIÓN]],"DE CONTADO","CRÉDITO")</f>
        <v>CRÉDITO</v>
      </c>
      <c r="B1298" s="51" t="b">
        <f>+IF((PROVEEDORES[[#This Row],[FECHA DE PAGO]]-PROVEEDORES[[#This Row],[FECHA DE FACTURACIÓN]])&gt;PROVEEDORES[[#This Row],[PLAZO Días]],"PAGO VENCIDO")</f>
        <v>0</v>
      </c>
      <c r="C1298" s="25">
        <f>+VLOOKUP(PROVEEDORES[[#This Row],[PROVEEDOR]],TERCEROS_INFO[#All],2,FALSE)</f>
        <v>30</v>
      </c>
      <c r="D1298" s="30">
        <f>+SUMIFS(PROVEEDORES[Total],PROVEEDORES[PROVEEDOR],PROVEEDORES[[#This Row],[PROVEEDOR]],PROVEEDORES[FECHA DE PAGO],"")</f>
        <v>3215400</v>
      </c>
      <c r="E1298" s="30"/>
      <c r="F1298" s="73">
        <f>+VLOOKUP(PROVEEDORES[[#This Row],[PROVEEDOR]],TERCEROS_INFO[[PROVEEDOR]:[CORREO]],5,FALSE)</f>
        <v>0</v>
      </c>
      <c r="H1298" s="31" t="s">
        <v>626</v>
      </c>
      <c r="I1298" s="111">
        <v>44617</v>
      </c>
      <c r="J1298" s="48" t="s">
        <v>1156</v>
      </c>
      <c r="K1298" s="26">
        <v>2760000</v>
      </c>
      <c r="L1298" s="26"/>
      <c r="M1298" s="27">
        <v>524400</v>
      </c>
      <c r="N1298" s="28"/>
      <c r="O1298" s="27">
        <v>0</v>
      </c>
      <c r="P1298" s="28">
        <v>2.5000000000000001E-2</v>
      </c>
      <c r="Q1298" s="27">
        <v>69000</v>
      </c>
      <c r="R1298" s="26">
        <v>3215400</v>
      </c>
      <c r="S1298" s="115">
        <f ca="1">IF(PROVEEDORES[[#This Row],[FECHA DE PAGO]]=0,TODAY()-PROVEEDORES[[#This Row],[FECHA DE FACTURACIÓN]]-PROVEEDORES[[#This Row],[PLAZO Días]],0)</f>
        <v>21</v>
      </c>
      <c r="T1298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299" spans="1:20" ht="21.9" customHeight="1" x14ac:dyDescent="0.3">
      <c r="A1299" s="113" t="str">
        <f>+IF(PROVEEDORES[[#This Row],[FECHA DE PAGO]]=PROVEEDORES[[#This Row],[FECHA DE FACTURACIÓN]],"DE CONTADO","CRÉDITO")</f>
        <v>CRÉDITO</v>
      </c>
      <c r="B1299" s="51" t="b">
        <f>+IF((PROVEEDORES[[#This Row],[FECHA DE PAGO]]-PROVEEDORES[[#This Row],[FECHA DE FACTURACIÓN]])&gt;PROVEEDORES[[#This Row],[PLAZO Días]],"PAGO VENCIDO")</f>
        <v>0</v>
      </c>
      <c r="C1299" s="25">
        <f>+VLOOKUP(PROVEEDORES[[#This Row],[PROVEEDOR]],TERCEROS_INFO[#All],2,FALSE)</f>
        <v>30</v>
      </c>
      <c r="D1299" s="30">
        <f>+SUMIFS(PROVEEDORES[Total],PROVEEDORES[PROVEEDOR],PROVEEDORES[[#This Row],[PROVEEDOR]],PROVEEDORES[FECHA DE PAGO],"")</f>
        <v>0</v>
      </c>
      <c r="E1299" s="30"/>
      <c r="F1299" s="73" t="str">
        <f>+VLOOKUP(PROVEEDORES[[#This Row],[PROVEEDOR]],TERCEROS_INFO[[PROVEEDOR]:[CORREO]],5,FALSE)</f>
        <v/>
      </c>
      <c r="G1299" s="111">
        <v>44620</v>
      </c>
      <c r="H1299" s="31" t="s">
        <v>1027</v>
      </c>
      <c r="I1299" s="111">
        <v>44619</v>
      </c>
      <c r="J1299" s="48" t="s">
        <v>1029</v>
      </c>
      <c r="K1299" s="26">
        <v>360000</v>
      </c>
      <c r="L1299" s="26"/>
      <c r="M1299" s="27">
        <v>0</v>
      </c>
      <c r="N1299" s="28"/>
      <c r="O1299" s="27">
        <v>0</v>
      </c>
      <c r="P1299" s="28">
        <v>0</v>
      </c>
      <c r="Q1299" s="27">
        <v>0</v>
      </c>
      <c r="R1299" s="26">
        <v>360000</v>
      </c>
      <c r="S1299" s="115">
        <f ca="1">IF(PROVEEDORES[[#This Row],[FECHA DE PAGO]]=0,TODAY()-PROVEEDORES[[#This Row],[FECHA DE FACTURACIÓN]]-PROVEEDORES[[#This Row],[PLAZO Días]],0)</f>
        <v>0</v>
      </c>
      <c r="T12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00" spans="1:20" ht="21.9" customHeight="1" x14ac:dyDescent="0.3">
      <c r="A1300" s="113" t="str">
        <f>+IF(PROVEEDORES[[#This Row],[FECHA DE PAGO]]=PROVEEDORES[[#This Row],[FECHA DE FACTURACIÓN]],"DE CONTADO","CRÉDITO")</f>
        <v>DE CONTADO</v>
      </c>
      <c r="B1300" s="51" t="b">
        <f>+IF((PROVEEDORES[[#This Row],[FECHA DE PAGO]]-PROVEEDORES[[#This Row],[FECHA DE FACTURACIÓN]])&gt;PROVEEDORES[[#This Row],[PLAZO Días]],"PAGO VENCIDO")</f>
        <v>0</v>
      </c>
      <c r="C1300" s="25">
        <f>+VLOOKUP(PROVEEDORES[[#This Row],[PROVEEDOR]],TERCEROS_INFO[#All],2,FALSE)</f>
        <v>30</v>
      </c>
      <c r="D1300" s="30">
        <f>+SUMIFS(PROVEEDORES[Total],PROVEEDORES[PROVEEDOR],PROVEEDORES[[#This Row],[PROVEEDOR]],PROVEEDORES[FECHA DE PAGO],"")</f>
        <v>0</v>
      </c>
      <c r="E1300" s="30"/>
      <c r="F1300" s="73" t="str">
        <f>+VLOOKUP(PROVEEDORES[[#This Row],[PROVEEDOR]],TERCEROS_INFO[[PROVEEDOR]:[CORREO]],5,FALSE)</f>
        <v/>
      </c>
      <c r="G1300" s="111">
        <v>44620</v>
      </c>
      <c r="H1300" s="31" t="s">
        <v>1016</v>
      </c>
      <c r="I1300" s="111">
        <v>44620</v>
      </c>
      <c r="J1300" s="48" t="s">
        <v>945</v>
      </c>
      <c r="K1300" s="26">
        <v>442</v>
      </c>
      <c r="L1300" s="26"/>
      <c r="M1300" s="27">
        <v>0</v>
      </c>
      <c r="N1300" s="28"/>
      <c r="O1300" s="27">
        <v>0</v>
      </c>
      <c r="P1300" s="28">
        <v>0</v>
      </c>
      <c r="Q1300" s="27">
        <v>0</v>
      </c>
      <c r="R1300" s="26">
        <v>442</v>
      </c>
      <c r="S1300" s="115">
        <f ca="1">IF(PROVEEDORES[[#This Row],[FECHA DE PAGO]]=0,TODAY()-PROVEEDORES[[#This Row],[FECHA DE FACTURACIÓN]]-PROVEEDORES[[#This Row],[PLAZO Días]],0)</f>
        <v>0</v>
      </c>
      <c r="T130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01" spans="1:20" ht="21.9" customHeight="1" x14ac:dyDescent="0.3">
      <c r="A1301" s="113" t="str">
        <f>+IF(PROVEEDORES[[#This Row],[FECHA DE PAGO]]=PROVEEDORES[[#This Row],[FECHA DE FACTURACIÓN]],"DE CONTADO","CRÉDITO")</f>
        <v>DE CONTADO</v>
      </c>
      <c r="B1301" s="51" t="b">
        <f>+IF((PROVEEDORES[[#This Row],[FECHA DE PAGO]]-PROVEEDORES[[#This Row],[FECHA DE FACTURACIÓN]])&gt;PROVEEDORES[[#This Row],[PLAZO Días]],"PAGO VENCIDO")</f>
        <v>0</v>
      </c>
      <c r="C1301" s="25">
        <f>+VLOOKUP(PROVEEDORES[[#This Row],[PROVEEDOR]],TERCEROS_INFO[#All],2,FALSE)</f>
        <v>30</v>
      </c>
      <c r="D1301" s="30">
        <f>+SUMIFS(PROVEEDORES[Total],PROVEEDORES[PROVEEDOR],PROVEEDORES[[#This Row],[PROVEEDOR]],PROVEEDORES[FECHA DE PAGO],"")</f>
        <v>0</v>
      </c>
      <c r="E1301" s="30"/>
      <c r="F1301" s="73" t="str">
        <f>+VLOOKUP(PROVEEDORES[[#This Row],[PROVEEDOR]],TERCEROS_INFO[[PROVEEDOR]:[CORREO]],5,FALSE)</f>
        <v/>
      </c>
      <c r="G1301" s="111">
        <v>44620</v>
      </c>
      <c r="H1301" s="31" t="s">
        <v>1016</v>
      </c>
      <c r="I1301" s="111">
        <v>44620</v>
      </c>
      <c r="J1301" s="48" t="s">
        <v>944</v>
      </c>
      <c r="K1301" s="26">
        <v>45000</v>
      </c>
      <c r="L1301" s="26"/>
      <c r="M1301" s="27">
        <v>0</v>
      </c>
      <c r="N1301" s="28"/>
      <c r="O1301" s="27">
        <v>0</v>
      </c>
      <c r="P1301" s="28">
        <v>0</v>
      </c>
      <c r="Q1301" s="27">
        <v>0</v>
      </c>
      <c r="R1301" s="26">
        <v>45000</v>
      </c>
      <c r="S1301" s="115">
        <f ca="1">IF(PROVEEDORES[[#This Row],[FECHA DE PAGO]]=0,TODAY()-PROVEEDORES[[#This Row],[FECHA DE FACTURACIÓN]]-PROVEEDORES[[#This Row],[PLAZO Días]],0)</f>
        <v>0</v>
      </c>
      <c r="T13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02" spans="1:20" ht="21.9" customHeight="1" x14ac:dyDescent="0.3">
      <c r="A1302" s="113" t="str">
        <f>+IF(PROVEEDORES[[#This Row],[FECHA DE PAGO]]=PROVEEDORES[[#This Row],[FECHA DE FACTURACIÓN]],"DE CONTADO","CRÉDITO")</f>
        <v>DE CONTADO</v>
      </c>
      <c r="B1302" s="51" t="b">
        <f>+IF((PROVEEDORES[[#This Row],[FECHA DE PAGO]]-PROVEEDORES[[#This Row],[FECHA DE FACTURACIÓN]])&gt;PROVEEDORES[[#This Row],[PLAZO Días]],"PAGO VENCIDO")</f>
        <v>0</v>
      </c>
      <c r="C1302" s="25">
        <f>+VLOOKUP(PROVEEDORES[[#This Row],[PROVEEDOR]],TERCEROS_INFO[#All],2,FALSE)</f>
        <v>30</v>
      </c>
      <c r="D1302" s="30">
        <f>+SUMIFS(PROVEEDORES[Total],PROVEEDORES[PROVEEDOR],PROVEEDORES[[#This Row],[PROVEEDOR]],PROVEEDORES[FECHA DE PAGO],"")</f>
        <v>0</v>
      </c>
      <c r="E1302" s="30"/>
      <c r="F1302" s="73" t="str">
        <f>+VLOOKUP(PROVEEDORES[[#This Row],[PROVEEDOR]],TERCEROS_INFO[[PROVEEDOR]:[CORREO]],5,FALSE)</f>
        <v/>
      </c>
      <c r="G1302" s="111">
        <v>44620</v>
      </c>
      <c r="H1302" s="31" t="s">
        <v>1016</v>
      </c>
      <c r="I1302" s="111">
        <v>44620</v>
      </c>
      <c r="J1302" s="48" t="s">
        <v>946</v>
      </c>
      <c r="K1302" s="26">
        <v>218000</v>
      </c>
      <c r="L1302" s="26"/>
      <c r="M1302" s="27">
        <v>0</v>
      </c>
      <c r="N1302" s="28"/>
      <c r="O1302" s="27">
        <v>0</v>
      </c>
      <c r="P1302" s="28">
        <v>0</v>
      </c>
      <c r="Q1302" s="27">
        <v>0</v>
      </c>
      <c r="R1302" s="26">
        <v>218000</v>
      </c>
      <c r="S1302" s="115">
        <f ca="1">IF(PROVEEDORES[[#This Row],[FECHA DE PAGO]]=0,TODAY()-PROVEEDORES[[#This Row],[FECHA DE FACTURACIÓN]]-PROVEEDORES[[#This Row],[PLAZO Días]],0)</f>
        <v>0</v>
      </c>
      <c r="T13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03" spans="1:20" ht="21.9" customHeight="1" x14ac:dyDescent="0.3">
      <c r="A1303" s="113" t="str">
        <f>+IF(PROVEEDORES[[#This Row],[FECHA DE PAGO]]=PROVEEDORES[[#This Row],[FECHA DE FACTURACIÓN]],"DE CONTADO","CRÉDITO")</f>
        <v>DE CONTADO</v>
      </c>
      <c r="B1303" s="51" t="b">
        <f>+IF((PROVEEDORES[[#This Row],[FECHA DE PAGO]]-PROVEEDORES[[#This Row],[FECHA DE FACTURACIÓN]])&gt;PROVEEDORES[[#This Row],[PLAZO Días]],"PAGO VENCIDO")</f>
        <v>0</v>
      </c>
      <c r="C1303" s="25">
        <f>+VLOOKUP(PROVEEDORES[[#This Row],[PROVEEDOR]],TERCEROS_INFO[#All],2,FALSE)</f>
        <v>30</v>
      </c>
      <c r="D1303" s="30">
        <f>+SUMIFS(PROVEEDORES[Total],PROVEEDORES[PROVEEDOR],PROVEEDORES[[#This Row],[PROVEEDOR]],PROVEEDORES[FECHA DE PAGO],"")</f>
        <v>0</v>
      </c>
      <c r="E1303" s="30"/>
      <c r="F1303" s="73" t="str">
        <f>+VLOOKUP(PROVEEDORES[[#This Row],[PROVEEDOR]],TERCEROS_INFO[[PROVEEDOR]:[CORREO]],5,FALSE)</f>
        <v/>
      </c>
      <c r="G1303" s="111">
        <v>44620</v>
      </c>
      <c r="H1303" s="31" t="s">
        <v>1016</v>
      </c>
      <c r="I1303" s="111">
        <v>44620</v>
      </c>
      <c r="J1303" s="48" t="s">
        <v>1017</v>
      </c>
      <c r="K1303" s="26">
        <v>220000</v>
      </c>
      <c r="L1303" s="26"/>
      <c r="M1303" s="27">
        <v>0</v>
      </c>
      <c r="N1303" s="28"/>
      <c r="O1303" s="27">
        <v>0</v>
      </c>
      <c r="P1303" s="28">
        <v>0</v>
      </c>
      <c r="Q1303" s="27">
        <v>0</v>
      </c>
      <c r="R1303" s="26">
        <v>220000</v>
      </c>
      <c r="S1303" s="115">
        <f ca="1">IF(PROVEEDORES[[#This Row],[FECHA DE PAGO]]=0,TODAY()-PROVEEDORES[[#This Row],[FECHA DE FACTURACIÓN]]-PROVEEDORES[[#This Row],[PLAZO Días]],0)</f>
        <v>0</v>
      </c>
      <c r="T13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04" spans="1:20" ht="21.9" customHeight="1" x14ac:dyDescent="0.3">
      <c r="A1304" s="113" t="str">
        <f>+IF(PROVEEDORES[[#This Row],[FECHA DE PAGO]]=PROVEEDORES[[#This Row],[FECHA DE FACTURACIÓN]],"DE CONTADO","CRÉDITO")</f>
        <v>DE CONTADO</v>
      </c>
      <c r="B1304" s="51" t="b">
        <f>+IF((PROVEEDORES[[#This Row],[FECHA DE PAGO]]-PROVEEDORES[[#This Row],[FECHA DE FACTURACIÓN]])&gt;PROVEEDORES[[#This Row],[PLAZO Días]],"PAGO VENCIDO")</f>
        <v>0</v>
      </c>
      <c r="C1304" s="25">
        <f>+VLOOKUP(PROVEEDORES[[#This Row],[PROVEEDOR]],TERCEROS_INFO[#All],2,FALSE)</f>
        <v>30</v>
      </c>
      <c r="D1304" s="30">
        <f>+SUMIFS(PROVEEDORES[Total],PROVEEDORES[PROVEEDOR],PROVEEDORES[[#This Row],[PROVEEDOR]],PROVEEDORES[FECHA DE PAGO],"")</f>
        <v>0</v>
      </c>
      <c r="E1304" s="30"/>
      <c r="F1304" s="73" t="str">
        <f>+VLOOKUP(PROVEEDORES[[#This Row],[PROVEEDOR]],TERCEROS_INFO[[PROVEEDOR]:[CORREO]],5,FALSE)</f>
        <v/>
      </c>
      <c r="G1304" s="111">
        <v>44620</v>
      </c>
      <c r="H1304" s="31" t="s">
        <v>1016</v>
      </c>
      <c r="I1304" s="111">
        <v>44620</v>
      </c>
      <c r="J1304" s="48" t="s">
        <v>182</v>
      </c>
      <c r="K1304" s="26">
        <v>320000</v>
      </c>
      <c r="L1304" s="26"/>
      <c r="M1304" s="27">
        <v>0</v>
      </c>
      <c r="N1304" s="28"/>
      <c r="O1304" s="27">
        <v>0</v>
      </c>
      <c r="P1304" s="28">
        <v>0</v>
      </c>
      <c r="Q1304" s="27">
        <v>0</v>
      </c>
      <c r="R1304" s="26">
        <v>320000</v>
      </c>
      <c r="S1304" s="115">
        <f ca="1">IF(PROVEEDORES[[#This Row],[FECHA DE PAGO]]=0,TODAY()-PROVEEDORES[[#This Row],[FECHA DE FACTURACIÓN]]-PROVEEDORES[[#This Row],[PLAZO Días]],0)</f>
        <v>0</v>
      </c>
      <c r="T13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05" spans="1:20" ht="21.9" customHeight="1" x14ac:dyDescent="0.3">
      <c r="A1305" s="113" t="str">
        <f>+IF(PROVEEDORES[[#This Row],[FECHA DE PAGO]]=PROVEEDORES[[#This Row],[FECHA DE FACTURACIÓN]],"DE CONTADO","CRÉDITO")</f>
        <v>CRÉDITO</v>
      </c>
      <c r="B1305" s="51" t="str">
        <f>+IF((PROVEEDORES[[#This Row],[FECHA DE PAGO]]-PROVEEDORES[[#This Row],[FECHA DE FACTURACIÓN]])&gt;PROVEEDORES[[#This Row],[PLAZO Días]],"PAGO VENCIDO")</f>
        <v>PAGO VENCIDO</v>
      </c>
      <c r="C1305" s="25">
        <f>+VLOOKUP(PROVEEDORES[[#This Row],[PROVEEDOR]],TERCEROS_INFO[#All],2,FALSE)</f>
        <v>30</v>
      </c>
      <c r="D1305" s="30">
        <f>+SUMIFS(PROVEEDORES[Total],PROVEEDORES[PROVEEDOR],PROVEEDORES[[#This Row],[PROVEEDOR]],PROVEEDORES[FECHA DE PAGO],"")</f>
        <v>1741040.075</v>
      </c>
      <c r="E1305" s="30"/>
      <c r="F1305" s="73" t="str">
        <f>+VLOOKUP(PROVEEDORES[[#This Row],[PROVEEDOR]],TERCEROS_INFO[[PROVEEDOR]:[CORREO]],5,FALSE)</f>
        <v>sfonnegra@nanicastation.com.co;facturas@nanicastation.com.co;girlesa.ruiz@servipilas.com;joriescobar64@gmail.com</v>
      </c>
      <c r="G1305" s="111">
        <v>44656</v>
      </c>
      <c r="H1305" s="31" t="s">
        <v>570</v>
      </c>
      <c r="I1305" s="111">
        <v>44620</v>
      </c>
      <c r="J1305" s="48" t="s">
        <v>1136</v>
      </c>
      <c r="K1305" s="26">
        <v>585212</v>
      </c>
      <c r="L1305" s="26"/>
      <c r="M1305" s="27">
        <v>111190.28</v>
      </c>
      <c r="N1305" s="28"/>
      <c r="O1305" s="27">
        <v>0</v>
      </c>
      <c r="P1305" s="28">
        <v>0</v>
      </c>
      <c r="Q1305" s="27">
        <v>0</v>
      </c>
      <c r="R1305" s="26">
        <v>696402.28</v>
      </c>
      <c r="S1305" s="115">
        <f ca="1">IF(PROVEEDORES[[#This Row],[FECHA DE PAGO]]=0,TODAY()-PROVEEDORES[[#This Row],[FECHA DE FACTURACIÓN]]-PROVEEDORES[[#This Row],[PLAZO Días]],0)</f>
        <v>0</v>
      </c>
      <c r="T130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06" spans="1:20" ht="21.9" customHeight="1" x14ac:dyDescent="0.3">
      <c r="A1306" s="113" t="str">
        <f>+IF(PROVEEDORES[[#This Row],[FECHA DE PAGO]]=PROVEEDORES[[#This Row],[FECHA DE FACTURACIÓN]],"DE CONTADO","CRÉDITO")</f>
        <v>CRÉDITO</v>
      </c>
      <c r="B1306" s="51" t="str">
        <f>+IF((PROVEEDORES[[#This Row],[FECHA DE PAGO]]-PROVEEDORES[[#This Row],[FECHA DE FACTURACIÓN]])&gt;PROVEEDORES[[#This Row],[PLAZO Días]],"PAGO VENCIDO")</f>
        <v>PAGO VENCIDO</v>
      </c>
      <c r="C1306" s="25">
        <f>+VLOOKUP(PROVEEDORES[[#This Row],[PROVEEDOR]],TERCEROS_INFO[#All],2,FALSE)</f>
        <v>30</v>
      </c>
      <c r="D1306" s="30">
        <f>+SUMIFS(PROVEEDORES[Total],PROVEEDORES[PROVEEDOR],PROVEEDORES[[#This Row],[PROVEEDOR]],PROVEEDORES[FECHA DE PAGO],"")</f>
        <v>1119790</v>
      </c>
      <c r="E1306" s="30"/>
      <c r="F1306" s="73" t="str">
        <f>+VLOOKUP(PROVEEDORES[[#This Row],[PROVEEDOR]],TERCEROS_INFO[[PROVEEDOR]:[CORREO]],5,FALSE)</f>
        <v>MVALENCIA@mps.com.co;girlesa.ruiz@servipilas.com;joriescobar64@gmail.com</v>
      </c>
      <c r="G1306" s="111">
        <v>44652</v>
      </c>
      <c r="H1306" s="31" t="s">
        <v>17</v>
      </c>
      <c r="I1306" s="111">
        <v>44620</v>
      </c>
      <c r="J1306" s="48">
        <v>1882198</v>
      </c>
      <c r="K1306" s="26">
        <v>1817647</v>
      </c>
      <c r="L1306" s="26"/>
      <c r="M1306" s="27">
        <v>345352.93</v>
      </c>
      <c r="N1306" s="28"/>
      <c r="O1306" s="27">
        <v>0</v>
      </c>
      <c r="P1306" s="28">
        <v>0</v>
      </c>
      <c r="Q1306" s="27">
        <v>0</v>
      </c>
      <c r="R1306" s="26">
        <v>2162999.9300000002</v>
      </c>
      <c r="S1306" s="115">
        <f ca="1">IF(PROVEEDORES[[#This Row],[FECHA DE PAGO]]=0,TODAY()-PROVEEDORES[[#This Row],[FECHA DE FACTURACIÓN]]-PROVEEDORES[[#This Row],[PLAZO Días]],0)</f>
        <v>0</v>
      </c>
      <c r="T130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07" spans="1:20" ht="21.9" customHeight="1" x14ac:dyDescent="0.3">
      <c r="A1307" s="113" t="str">
        <f>+IF(PROVEEDORES[[#This Row],[FECHA DE PAGO]]=PROVEEDORES[[#This Row],[FECHA DE FACTURACIÓN]],"DE CONTADO","CRÉDITO")</f>
        <v>DE CONTADO</v>
      </c>
      <c r="B1307" s="51" t="b">
        <f>+IF((PROVEEDORES[[#This Row],[FECHA DE PAGO]]-PROVEEDORES[[#This Row],[FECHA DE FACTURACIÓN]])&gt;PROVEEDORES[[#This Row],[PLAZO Días]],"PAGO VENCIDO")</f>
        <v>0</v>
      </c>
      <c r="C1307" s="25">
        <f>+VLOOKUP(PROVEEDORES[[#This Row],[PROVEEDOR]],TERCEROS_INFO[#All],2,FALSE)</f>
        <v>30</v>
      </c>
      <c r="D1307" s="30">
        <f>+SUMIFS(PROVEEDORES[Total],PROVEEDORES[PROVEEDOR],PROVEEDORES[[#This Row],[PROVEEDOR]],PROVEEDORES[FECHA DE PAGO],"")</f>
        <v>0</v>
      </c>
      <c r="E1307" s="30"/>
      <c r="F1307" s="73" t="str">
        <f>+VLOOKUP(PROVEEDORES[[#This Row],[PROVEEDOR]],TERCEROS_INFO[[PROVEEDOR]:[CORREO]],5,FALSE)</f>
        <v/>
      </c>
      <c r="G1307" s="111">
        <v>44620</v>
      </c>
      <c r="H1307" s="31" t="s">
        <v>1016</v>
      </c>
      <c r="I1307" s="111">
        <v>44620</v>
      </c>
      <c r="J1307" s="48" t="s">
        <v>943</v>
      </c>
      <c r="K1307" s="26">
        <v>4028650</v>
      </c>
      <c r="L1307" s="26"/>
      <c r="M1307" s="27">
        <v>0</v>
      </c>
      <c r="N1307" s="28"/>
      <c r="O1307" s="27">
        <v>0</v>
      </c>
      <c r="P1307" s="28">
        <v>0</v>
      </c>
      <c r="Q1307" s="27">
        <v>0</v>
      </c>
      <c r="R1307" s="26">
        <v>4028650</v>
      </c>
      <c r="S1307" s="115">
        <f ca="1">IF(PROVEEDORES[[#This Row],[FECHA DE PAGO]]=0,TODAY()-PROVEEDORES[[#This Row],[FECHA DE FACTURACIÓN]]-PROVEEDORES[[#This Row],[PLAZO Días]],0)</f>
        <v>0</v>
      </c>
      <c r="T130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08" spans="1:20" ht="21.9" customHeight="1" x14ac:dyDescent="0.3">
      <c r="A1308" s="113" t="str">
        <f>+IF(PROVEEDORES[[#This Row],[FECHA DE PAGO]]=PROVEEDORES[[#This Row],[FECHA DE FACTURACIÓN]],"DE CONTADO","CRÉDITO")</f>
        <v>CRÉDITO</v>
      </c>
      <c r="B1308" s="51" t="str">
        <f>+IF((PROVEEDORES[[#This Row],[FECHA DE PAGO]]-PROVEEDORES[[#This Row],[FECHA DE FACTURACIÓN]])&gt;PROVEEDORES[[#This Row],[PLAZO Días]],"PAGO VENCIDO")</f>
        <v>PAGO VENCIDO</v>
      </c>
      <c r="C1308" s="25">
        <f>+VLOOKUP(PROVEEDORES[[#This Row],[PROVEEDOR]],TERCEROS_INFO[#All],2,FALSE)</f>
        <v>30</v>
      </c>
      <c r="D1308" s="30">
        <f>+SUMIFS(PROVEEDORES[Total],PROVEEDORES[PROVEEDOR],PROVEEDORES[[#This Row],[PROVEEDOR]],PROVEEDORES[FECHA DE PAGO],"")</f>
        <v>1119790</v>
      </c>
      <c r="E1308" s="30"/>
      <c r="F1308" s="73" t="str">
        <f>+VLOOKUP(PROVEEDORES[[#This Row],[PROVEEDOR]],TERCEROS_INFO[[PROVEEDOR]:[CORREO]],5,FALSE)</f>
        <v>MVALENCIA@mps.com.co;girlesa.ruiz@servipilas.com;joriescobar64@gmail.com</v>
      </c>
      <c r="G1308" s="111">
        <v>44652</v>
      </c>
      <c r="H1308" s="31" t="s">
        <v>17</v>
      </c>
      <c r="I1308" s="111">
        <v>44621</v>
      </c>
      <c r="J1308" s="48" t="s">
        <v>1148</v>
      </c>
      <c r="K1308" s="26">
        <v>-209000</v>
      </c>
      <c r="L1308" s="26"/>
      <c r="M1308" s="27">
        <v>-39710</v>
      </c>
      <c r="N1308" s="28"/>
      <c r="O1308" s="27">
        <v>0</v>
      </c>
      <c r="P1308" s="28">
        <v>0</v>
      </c>
      <c r="Q1308" s="27">
        <v>0</v>
      </c>
      <c r="R1308" s="26">
        <v>-248710</v>
      </c>
      <c r="S1308" s="115">
        <f ca="1">IF(PROVEEDORES[[#This Row],[FECHA DE PAGO]]=0,TODAY()-PROVEEDORES[[#This Row],[FECHA DE FACTURACIÓN]]-PROVEEDORES[[#This Row],[PLAZO Días]],0)</f>
        <v>0</v>
      </c>
      <c r="T13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09" spans="1:20" ht="21.9" customHeight="1" x14ac:dyDescent="0.3">
      <c r="A1309" s="113" t="str">
        <f>+IF(PROVEEDORES[[#This Row],[FECHA DE PAGO]]=PROVEEDORES[[#This Row],[FECHA DE FACTURACIÓN]],"DE CONTADO","CRÉDITO")</f>
        <v>CRÉDITO</v>
      </c>
      <c r="B1309" s="51" t="b">
        <f>+IF((PROVEEDORES[[#This Row],[FECHA DE PAGO]]-PROVEEDORES[[#This Row],[FECHA DE FACTURACIÓN]])&gt;PROVEEDORES[[#This Row],[PLAZO Días]],"PAGO VENCIDO")</f>
        <v>0</v>
      </c>
      <c r="C1309" s="25">
        <f>+VLOOKUP(PROVEEDORES[[#This Row],[PROVEEDOR]],TERCEROS_INFO[#All],2,FALSE)</f>
        <v>30</v>
      </c>
      <c r="D1309" s="30">
        <f>+SUMIFS(PROVEEDORES[Total],PROVEEDORES[PROVEEDOR],PROVEEDORES[[#This Row],[PROVEEDOR]],PROVEEDORES[FECHA DE PAGO],"")</f>
        <v>248736.18000000002</v>
      </c>
      <c r="E1309" s="30"/>
      <c r="F1309" s="73" t="str">
        <f>+VLOOKUP(PROVEEDORES[[#This Row],[PROVEEDOR]],TERCEROS_INFO[[PROVEEDOR]:[CORREO]],5,FALSE)</f>
        <v>administracion@sapian.com.co;girlesa.ruiz@servipilas.com;joriescobar64@gmail.com</v>
      </c>
      <c r="G1309" s="111">
        <v>44650</v>
      </c>
      <c r="H1309" s="31" t="s">
        <v>346</v>
      </c>
      <c r="I1309" s="111">
        <v>44621</v>
      </c>
      <c r="J1309" s="48">
        <v>4395</v>
      </c>
      <c r="K1309" s="26">
        <v>215356</v>
      </c>
      <c r="L1309" s="26"/>
      <c r="M1309" s="27">
        <v>40917.64</v>
      </c>
      <c r="N1309" s="28"/>
      <c r="O1309" s="27">
        <v>0</v>
      </c>
      <c r="P1309" s="28">
        <v>3.5000000000000003E-2</v>
      </c>
      <c r="Q1309" s="27">
        <v>7537.4600000000009</v>
      </c>
      <c r="R1309" s="26">
        <v>248736.18000000002</v>
      </c>
      <c r="S1309" s="115">
        <f ca="1">IF(PROVEEDORES[[#This Row],[FECHA DE PAGO]]=0,TODAY()-PROVEEDORES[[#This Row],[FECHA DE FACTURACIÓN]]-PROVEEDORES[[#This Row],[PLAZO Días]],0)</f>
        <v>0</v>
      </c>
      <c r="T130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10" spans="1:20" ht="21.9" customHeight="1" x14ac:dyDescent="0.3">
      <c r="A1310" s="113" t="str">
        <f>+IF(PROVEEDORES[[#This Row],[FECHA DE PAGO]]=PROVEEDORES[[#This Row],[FECHA DE FACTURACIÓN]],"DE CONTADO","CRÉDITO")</f>
        <v>CRÉDITO</v>
      </c>
      <c r="B1310" s="51" t="b">
        <f>+IF((PROVEEDORES[[#This Row],[FECHA DE PAGO]]-PROVEEDORES[[#This Row],[FECHA DE FACTURACIÓN]])&gt;PROVEEDORES[[#This Row],[PLAZO Días]],"PAGO VENCIDO")</f>
        <v>0</v>
      </c>
      <c r="C1310" s="25">
        <f>+VLOOKUP(PROVEEDORES[[#This Row],[PROVEEDOR]],TERCEROS_INFO[#All],2,FALSE)</f>
        <v>13</v>
      </c>
      <c r="D1310" s="30">
        <f>+SUMIFS(PROVEEDORES[Total],PROVEEDORES[PROVEEDOR],PROVEEDORES[[#This Row],[PROVEEDOR]],PROVEEDORES[FECHA DE PAGO],"")</f>
        <v>0</v>
      </c>
      <c r="E1310" s="30"/>
      <c r="F1310" s="73">
        <f>+VLOOKUP(PROVEEDORES[[#This Row],[PROVEEDOR]],TERCEROS_INFO[[PROVEEDOR]:[CORREO]],5,FALSE)</f>
        <v>0</v>
      </c>
      <c r="G1310" s="111">
        <v>44630</v>
      </c>
      <c r="H1310" s="31" t="s">
        <v>329</v>
      </c>
      <c r="I1310" s="111">
        <v>44621</v>
      </c>
      <c r="J1310" s="48" t="s">
        <v>331</v>
      </c>
      <c r="K1310" s="26">
        <v>282057</v>
      </c>
      <c r="L1310" s="26"/>
      <c r="M1310" s="27">
        <v>0</v>
      </c>
      <c r="N1310" s="28"/>
      <c r="O1310" s="27">
        <v>0</v>
      </c>
      <c r="P1310" s="28">
        <v>0</v>
      </c>
      <c r="Q1310" s="27">
        <v>0</v>
      </c>
      <c r="R1310" s="26">
        <v>282057</v>
      </c>
      <c r="S1310" s="115">
        <f ca="1">IF(PROVEEDORES[[#This Row],[FECHA DE PAGO]]=0,TODAY()-PROVEEDORES[[#This Row],[FECHA DE FACTURACIÓN]]-PROVEEDORES[[#This Row],[PLAZO Días]],0)</f>
        <v>0</v>
      </c>
      <c r="T131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11" spans="1:20" ht="21.9" customHeight="1" x14ac:dyDescent="0.3">
      <c r="A1311" s="113" t="str">
        <f>+IF(PROVEEDORES[[#This Row],[FECHA DE PAGO]]=PROVEEDORES[[#This Row],[FECHA DE FACTURACIÓN]],"DE CONTADO","CRÉDITO")</f>
        <v>CRÉDITO</v>
      </c>
      <c r="B1311" s="51" t="b">
        <f>+IF((PROVEEDORES[[#This Row],[FECHA DE PAGO]]-PROVEEDORES[[#This Row],[FECHA DE FACTURACIÓN]])&gt;PROVEEDORES[[#This Row],[PLAZO Días]],"PAGO VENCIDO")</f>
        <v>0</v>
      </c>
      <c r="C1311" s="25">
        <f>+VLOOKUP(PROVEEDORES[[#This Row],[PROVEEDOR]],TERCEROS_INFO[#All],2,FALSE)</f>
        <v>30</v>
      </c>
      <c r="D1311" s="30">
        <f>+SUMIFS(PROVEEDORES[Total],PROVEEDORES[PROVEEDOR],PROVEEDORES[[#This Row],[PROVEEDOR]],PROVEEDORES[FECHA DE PAGO],"")</f>
        <v>0</v>
      </c>
      <c r="E1311" s="30"/>
      <c r="F1311" s="73" t="str">
        <f>+VLOOKUP(PROVEEDORES[[#This Row],[PROVEEDOR]],TERCEROS_INFO[[PROVEEDOR]:[CORREO]],5,FALSE)</f>
        <v>facturacion@losmolinos.com.co</v>
      </c>
      <c r="G1311" s="111">
        <v>44630</v>
      </c>
      <c r="H1311" s="31" t="s">
        <v>345</v>
      </c>
      <c r="I1311" s="111">
        <v>44621</v>
      </c>
      <c r="J1311" s="48">
        <v>66543</v>
      </c>
      <c r="K1311" s="26">
        <v>284467</v>
      </c>
      <c r="L1311" s="26"/>
      <c r="M1311" s="27">
        <v>0</v>
      </c>
      <c r="N1311" s="28"/>
      <c r="O1311" s="27">
        <v>8522.67</v>
      </c>
      <c r="P1311" s="28">
        <v>0</v>
      </c>
      <c r="Q1311" s="27">
        <v>0</v>
      </c>
      <c r="R1311" s="26">
        <v>275944.33</v>
      </c>
      <c r="S1311" s="115">
        <f ca="1">IF(PROVEEDORES[[#This Row],[FECHA DE PAGO]]=0,TODAY()-PROVEEDORES[[#This Row],[FECHA DE FACTURACIÓN]]-PROVEEDORES[[#This Row],[PLAZO Días]],0)</f>
        <v>0</v>
      </c>
      <c r="T131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12" spans="1:20" ht="21.9" customHeight="1" x14ac:dyDescent="0.3">
      <c r="A1312" s="113" t="str">
        <f>+IF(PROVEEDORES[[#This Row],[FECHA DE PAGO]]=PROVEEDORES[[#This Row],[FECHA DE FACTURACIÓN]],"DE CONTADO","CRÉDITO")</f>
        <v>CRÉDITO</v>
      </c>
      <c r="B1312" s="51" t="b">
        <f>+IF((PROVEEDORES[[#This Row],[FECHA DE PAGO]]-PROVEEDORES[[#This Row],[FECHA DE FACTURACIÓN]])&gt;PROVEEDORES[[#This Row],[PLAZO Días]],"PAGO VENCIDO")</f>
        <v>0</v>
      </c>
      <c r="C1312" s="25">
        <f>+VLOOKUP(PROVEEDORES[[#This Row],[PROVEEDOR]],TERCEROS_INFO[#All],2,FALSE)</f>
        <v>20</v>
      </c>
      <c r="D1312" s="30">
        <f>+SUMIFS(PROVEEDORES[Total],PROVEEDORES[PROVEEDOR],PROVEEDORES[[#This Row],[PROVEEDOR]],PROVEEDORES[FECHA DE PAGO],"")</f>
        <v>0</v>
      </c>
      <c r="E1312" s="30"/>
      <c r="F1312" s="73" t="str">
        <f>+VLOOKUP(PROVEEDORES[[#This Row],[PROVEEDOR]],TERCEROS_INFO[[PROVEEDOR]:[CORREO]],5,FALSE)</f>
        <v>pse</v>
      </c>
      <c r="G1312" s="111">
        <v>44638</v>
      </c>
      <c r="H1312" s="31" t="s">
        <v>373</v>
      </c>
      <c r="I1312" s="111">
        <v>44621</v>
      </c>
      <c r="J1312" s="48"/>
      <c r="K1312" s="26">
        <v>326243</v>
      </c>
      <c r="L1312" s="26"/>
      <c r="M1312" s="27">
        <v>0</v>
      </c>
      <c r="N1312" s="28"/>
      <c r="O1312" s="27">
        <v>0</v>
      </c>
      <c r="P1312" s="28">
        <v>0</v>
      </c>
      <c r="Q1312" s="27">
        <v>0</v>
      </c>
      <c r="R1312" s="26">
        <v>326243</v>
      </c>
      <c r="S1312" s="115">
        <f ca="1">IF(PROVEEDORES[[#This Row],[FECHA DE PAGO]]=0,TODAY()-PROVEEDORES[[#This Row],[FECHA DE FACTURACIÓN]]-PROVEEDORES[[#This Row],[PLAZO Días]],0)</f>
        <v>0</v>
      </c>
      <c r="T131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13" spans="1:20" ht="21.9" customHeight="1" x14ac:dyDescent="0.3">
      <c r="A1313" s="113" t="str">
        <f>+IF(PROVEEDORES[[#This Row],[FECHA DE PAGO]]=PROVEEDORES[[#This Row],[FECHA DE FACTURACIÓN]],"DE CONTADO","CRÉDITO")</f>
        <v>CRÉDITO</v>
      </c>
      <c r="B1313" s="51" t="b">
        <f>+IF((PROVEEDORES[[#This Row],[FECHA DE PAGO]]-PROVEEDORES[[#This Row],[FECHA DE FACTURACIÓN]])&gt;PROVEEDORES[[#This Row],[PLAZO Días]],"PAGO VENCIDO")</f>
        <v>0</v>
      </c>
      <c r="C1313" s="25">
        <f>+VLOOKUP(PROVEEDORES[[#This Row],[PROVEEDOR]],TERCEROS_INFO[#All],2,FALSE)</f>
        <v>30</v>
      </c>
      <c r="D1313" s="30">
        <f>+SUMIFS(PROVEEDORES[Total],PROVEEDORES[PROVEEDOR],PROVEEDORES[[#This Row],[PROVEEDOR]],PROVEEDORES[FECHA DE PAGO],"")</f>
        <v>0</v>
      </c>
      <c r="E1313" s="30"/>
      <c r="F1313" s="73" t="str">
        <f>+VLOOKUP(PROVEEDORES[[#This Row],[PROVEEDOR]],TERCEROS_INFO[[PROVEEDOR]:[CORREO]],5,FALSE)</f>
        <v>PSE</v>
      </c>
      <c r="G1313" s="111">
        <v>44630</v>
      </c>
      <c r="H1313" s="31" t="s">
        <v>353</v>
      </c>
      <c r="I1313" s="111">
        <v>44621</v>
      </c>
      <c r="J1313" s="48" t="s">
        <v>354</v>
      </c>
      <c r="K1313" s="26">
        <v>800264</v>
      </c>
      <c r="L1313" s="26"/>
      <c r="M1313" s="27">
        <v>0</v>
      </c>
      <c r="N1313" s="28"/>
      <c r="O1313" s="27">
        <v>0</v>
      </c>
      <c r="P1313" s="28">
        <v>0</v>
      </c>
      <c r="Q1313" s="27">
        <v>0</v>
      </c>
      <c r="R1313" s="26">
        <v>800264</v>
      </c>
      <c r="S1313" s="115">
        <f ca="1">IF(PROVEEDORES[[#This Row],[FECHA DE PAGO]]=0,TODAY()-PROVEEDORES[[#This Row],[FECHA DE FACTURACIÓN]]-PROVEEDORES[[#This Row],[PLAZO Días]],0)</f>
        <v>0</v>
      </c>
      <c r="T13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14" spans="1:20" ht="21.9" customHeight="1" x14ac:dyDescent="0.3">
      <c r="A1314" s="113" t="str">
        <f>+IF(PROVEEDORES[[#This Row],[FECHA DE PAGO]]=PROVEEDORES[[#This Row],[FECHA DE FACTURACIÓN]],"DE CONTADO","CRÉDITO")</f>
        <v>CRÉDITO</v>
      </c>
      <c r="B1314" s="51" t="b">
        <f>+IF((PROVEEDORES[[#This Row],[FECHA DE PAGO]]-PROVEEDORES[[#This Row],[FECHA DE FACTURACIÓN]])&gt;PROVEEDORES[[#This Row],[PLAZO Días]],"PAGO VENCIDO")</f>
        <v>0</v>
      </c>
      <c r="C1314" s="25">
        <f>+VLOOKUP(PROVEEDORES[[#This Row],[PROVEEDOR]],TERCEROS_INFO[#All],2,FALSE)</f>
        <v>30</v>
      </c>
      <c r="D1314" s="30">
        <f>+SUMIFS(PROVEEDORES[Total],PROVEEDORES[PROVEEDOR],PROVEEDORES[[#This Row],[PROVEEDOR]],PROVEEDORES[FECHA DE PAGO],"")</f>
        <v>0</v>
      </c>
      <c r="E1314" s="30"/>
      <c r="F1314" s="73" t="str">
        <f>+VLOOKUP(PROVEEDORES[[#This Row],[PROVEEDOR]],TERCEROS_INFO[[PROVEEDOR]:[CORREO]],5,FALSE)</f>
        <v>PSE</v>
      </c>
      <c r="G1314" s="111">
        <v>44630</v>
      </c>
      <c r="H1314" s="31" t="s">
        <v>353</v>
      </c>
      <c r="I1314" s="111">
        <v>44621</v>
      </c>
      <c r="J1314" s="48" t="s">
        <v>355</v>
      </c>
      <c r="K1314" s="26">
        <v>818874</v>
      </c>
      <c r="L1314" s="26"/>
      <c r="M1314" s="27">
        <v>0</v>
      </c>
      <c r="N1314" s="28"/>
      <c r="O1314" s="27">
        <v>0</v>
      </c>
      <c r="P1314" s="28">
        <v>0</v>
      </c>
      <c r="Q1314" s="27">
        <v>0</v>
      </c>
      <c r="R1314" s="26">
        <v>818874</v>
      </c>
      <c r="S1314" s="115">
        <f ca="1">IF(PROVEEDORES[[#This Row],[FECHA DE PAGO]]=0,TODAY()-PROVEEDORES[[#This Row],[FECHA DE FACTURACIÓN]]-PROVEEDORES[[#This Row],[PLAZO Días]],0)</f>
        <v>0</v>
      </c>
      <c r="T13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15" spans="1:20" ht="21.9" customHeight="1" x14ac:dyDescent="0.3">
      <c r="A1315" s="113" t="str">
        <f>+IF(PROVEEDORES[[#This Row],[FECHA DE PAGO]]=PROVEEDORES[[#This Row],[FECHA DE FACTURACIÓN]],"DE CONTADO","CRÉDITO")</f>
        <v>CRÉDITO</v>
      </c>
      <c r="B1315" s="51" t="b">
        <f>+IF((PROVEEDORES[[#This Row],[FECHA DE PAGO]]-PROVEEDORES[[#This Row],[FECHA DE FACTURACIÓN]])&gt;PROVEEDORES[[#This Row],[PLAZO Días]],"PAGO VENCIDO")</f>
        <v>0</v>
      </c>
      <c r="C1315" s="25">
        <f>+VLOOKUP(PROVEEDORES[[#This Row],[PROVEEDOR]],TERCEROS_INFO[#All],2,FALSE)</f>
        <v>20</v>
      </c>
      <c r="D1315" s="30">
        <f>+SUMIFS(PROVEEDORES[Total],PROVEEDORES[PROVEEDOR],PROVEEDORES[[#This Row],[PROVEEDOR]],PROVEEDORES[FECHA DE PAGO],"")</f>
        <v>0</v>
      </c>
      <c r="E1315" s="30"/>
      <c r="F1315" s="73" t="str">
        <f>+VLOOKUP(PROVEEDORES[[#This Row],[PROVEEDOR]],TERCEROS_INFO[[PROVEEDOR]:[CORREO]],5,FALSE)</f>
        <v>pse</v>
      </c>
      <c r="G1315" s="111">
        <v>44630</v>
      </c>
      <c r="H1315" s="31" t="s">
        <v>374</v>
      </c>
      <c r="I1315" s="111">
        <v>44621</v>
      </c>
      <c r="J1315" s="48"/>
      <c r="K1315" s="26">
        <v>941847</v>
      </c>
      <c r="L1315" s="26"/>
      <c r="M1315" s="27">
        <v>0</v>
      </c>
      <c r="N1315" s="28"/>
      <c r="O1315" s="27">
        <v>0</v>
      </c>
      <c r="P1315" s="28">
        <v>0</v>
      </c>
      <c r="Q1315" s="27">
        <v>0</v>
      </c>
      <c r="R1315" s="26">
        <v>941847</v>
      </c>
      <c r="S1315" s="115">
        <f ca="1">IF(PROVEEDORES[[#This Row],[FECHA DE PAGO]]=0,TODAY()-PROVEEDORES[[#This Row],[FECHA DE FACTURACIÓN]]-PROVEEDORES[[#This Row],[PLAZO Días]],0)</f>
        <v>0</v>
      </c>
      <c r="T131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16" spans="1:20" ht="21.9" customHeight="1" x14ac:dyDescent="0.3">
      <c r="A1316" s="113" t="str">
        <f>+IF(PROVEEDORES[[#This Row],[FECHA DE PAGO]]=PROVEEDORES[[#This Row],[FECHA DE FACTURACIÓN]],"DE CONTADO","CRÉDITO")</f>
        <v>CRÉDITO</v>
      </c>
      <c r="B1316" s="51" t="b">
        <f>+IF((PROVEEDORES[[#This Row],[FECHA DE PAGO]]-PROVEEDORES[[#This Row],[FECHA DE FACTURACIÓN]])&gt;PROVEEDORES[[#This Row],[PLAZO Días]],"PAGO VENCIDO")</f>
        <v>0</v>
      </c>
      <c r="C1316" s="25">
        <f>+VLOOKUP(PROVEEDORES[[#This Row],[PROVEEDOR]],TERCEROS_INFO[#All],2,FALSE)</f>
        <v>30</v>
      </c>
      <c r="D1316" s="30">
        <f>+SUMIFS(PROVEEDORES[Total],PROVEEDORES[PROVEEDOR],PROVEEDORES[[#This Row],[PROVEEDOR]],PROVEEDORES[FECHA DE PAGO],"")</f>
        <v>4862586.33</v>
      </c>
      <c r="E1316" s="30"/>
      <c r="F1316" s="73" t="str">
        <f>+VLOOKUP(PROVEEDORES[[#This Row],[PROVEEDOR]],TERCEROS_INFO[[PROVEEDOR]:[CORREO]],5,FALSE)</f>
        <v>cartera@conbienes.com;girlesa.ruiz@servipilas.com;joriescobar64@gmail.com</v>
      </c>
      <c r="G1316" s="111">
        <v>44650</v>
      </c>
      <c r="H1316" s="31" t="s">
        <v>348</v>
      </c>
      <c r="I1316" s="111">
        <v>44621</v>
      </c>
      <c r="J1316" s="48" t="s">
        <v>1111</v>
      </c>
      <c r="K1316" s="26">
        <v>942255</v>
      </c>
      <c r="L1316" s="26"/>
      <c r="M1316" s="27">
        <v>179028.45</v>
      </c>
      <c r="N1316" s="28"/>
      <c r="O1316" s="27">
        <v>0</v>
      </c>
      <c r="P1316" s="28">
        <v>0</v>
      </c>
      <c r="Q1316" s="27">
        <v>0</v>
      </c>
      <c r="R1316" s="26">
        <v>1121283.45</v>
      </c>
      <c r="S1316" s="115">
        <f ca="1">IF(PROVEEDORES[[#This Row],[FECHA DE PAGO]]=0,TODAY()-PROVEEDORES[[#This Row],[FECHA DE FACTURACIÓN]]-PROVEEDORES[[#This Row],[PLAZO Días]],0)</f>
        <v>0</v>
      </c>
      <c r="T13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17" spans="1:20" ht="21.9" customHeight="1" x14ac:dyDescent="0.3">
      <c r="A1317" s="113" t="str">
        <f>+IF(PROVEEDORES[[#This Row],[FECHA DE PAGO]]=PROVEEDORES[[#This Row],[FECHA DE FACTURACIÓN]],"DE CONTADO","CRÉDITO")</f>
        <v>CRÉDITO</v>
      </c>
      <c r="B1317" s="51" t="b">
        <f>+IF((PROVEEDORES[[#This Row],[FECHA DE PAGO]]-PROVEEDORES[[#This Row],[FECHA DE FACTURACIÓN]])&gt;PROVEEDORES[[#This Row],[PLAZO Días]],"PAGO VENCIDO")</f>
        <v>0</v>
      </c>
      <c r="C1317" s="25">
        <f>+VLOOKUP(PROVEEDORES[[#This Row],[PROVEEDOR]],TERCEROS_INFO[#All],2,FALSE)</f>
        <v>30</v>
      </c>
      <c r="D1317" s="30">
        <f>+SUMIFS(PROVEEDORES[Total],PROVEEDORES[PROVEEDOR],PROVEEDORES[[#This Row],[PROVEEDOR]],PROVEEDORES[FECHA DE PAGO],"")</f>
        <v>0</v>
      </c>
      <c r="E1317" s="30"/>
      <c r="F1317" s="73" t="str">
        <f>+VLOOKUP(PROVEEDORES[[#This Row],[PROVEEDOR]],TERCEROS_INFO[[PROVEEDOR]:[CORREO]],5,FALSE)</f>
        <v/>
      </c>
      <c r="G1317" s="111">
        <v>44622</v>
      </c>
      <c r="H1317" s="31" t="s">
        <v>1007</v>
      </c>
      <c r="I1317" s="111">
        <v>44621</v>
      </c>
      <c r="J1317" s="48" t="s">
        <v>1011</v>
      </c>
      <c r="K1317" s="26">
        <v>1850000</v>
      </c>
      <c r="L1317" s="26"/>
      <c r="M1317" s="27">
        <v>0</v>
      </c>
      <c r="N1317" s="28"/>
      <c r="O1317" s="27">
        <v>0</v>
      </c>
      <c r="P1317" s="28">
        <v>0</v>
      </c>
      <c r="Q1317" s="27">
        <v>0</v>
      </c>
      <c r="R1317" s="26">
        <v>1850000</v>
      </c>
      <c r="S1317" s="115">
        <f ca="1">IF(PROVEEDORES[[#This Row],[FECHA DE PAGO]]=0,TODAY()-PROVEEDORES[[#This Row],[FECHA DE FACTURACIÓN]]-PROVEEDORES[[#This Row],[PLAZO Días]],0)</f>
        <v>0</v>
      </c>
      <c r="T131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18" spans="1:20" ht="21.9" customHeight="1" x14ac:dyDescent="0.3">
      <c r="A1318" s="113" t="str">
        <f>+IF(PROVEEDORES[[#This Row],[FECHA DE PAGO]]=PROVEEDORES[[#This Row],[FECHA DE FACTURACIÓN]],"DE CONTADO","CRÉDITO")</f>
        <v>CRÉDITO</v>
      </c>
      <c r="B1318" s="51" t="b">
        <f>+IF((PROVEEDORES[[#This Row],[FECHA DE PAGO]]-PROVEEDORES[[#This Row],[FECHA DE FACTURACIÓN]])&gt;PROVEEDORES[[#This Row],[PLAZO Días]],"PAGO VENCIDO")</f>
        <v>0</v>
      </c>
      <c r="C1318" s="25">
        <f>+VLOOKUP(PROVEEDORES[[#This Row],[PROVEEDOR]],TERCEROS_INFO[#All],2,FALSE)</f>
        <v>30</v>
      </c>
      <c r="D1318" s="30">
        <f>+SUMIFS(PROVEEDORES[Total],PROVEEDORES[PROVEEDOR],PROVEEDORES[[#This Row],[PROVEEDOR]],PROVEEDORES[FECHA DE PAGO],"")</f>
        <v>1296896</v>
      </c>
      <c r="E1318" s="30"/>
      <c r="F1318" s="73" t="str">
        <f>+VLOOKUP(PROVEEDORES[[#This Row],[PROVEEDOR]],TERCEROS_INFO[[PROVEEDOR]:[CORREO]],5,FALSE)</f>
        <v>tesoreria@lacentral.com.co;girlesa.ruiz@servipilas.com;joriescobar64@gmail.com</v>
      </c>
      <c r="G1318" s="111">
        <v>44650</v>
      </c>
      <c r="H1318" s="31" t="s">
        <v>335</v>
      </c>
      <c r="I1318" s="111">
        <v>44621</v>
      </c>
      <c r="J1318" s="48">
        <v>10117</v>
      </c>
      <c r="K1318" s="26">
        <v>1922190</v>
      </c>
      <c r="L1318" s="26"/>
      <c r="M1318" s="27">
        <v>0</v>
      </c>
      <c r="N1318" s="28"/>
      <c r="O1318" s="27">
        <v>80632</v>
      </c>
      <c r="P1318" s="28">
        <v>0</v>
      </c>
      <c r="Q1318" s="27">
        <v>0</v>
      </c>
      <c r="R1318" s="26">
        <v>1841558</v>
      </c>
      <c r="S1318" s="115">
        <f ca="1">IF(PROVEEDORES[[#This Row],[FECHA DE PAGO]]=0,TODAY()-PROVEEDORES[[#This Row],[FECHA DE FACTURACIÓN]]-PROVEEDORES[[#This Row],[PLAZO Días]],0)</f>
        <v>0</v>
      </c>
      <c r="T131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19" spans="1:20" ht="21.9" customHeight="1" x14ac:dyDescent="0.3">
      <c r="A1319" s="113" t="str">
        <f>+IF(PROVEEDORES[[#This Row],[FECHA DE PAGO]]=PROVEEDORES[[#This Row],[FECHA DE FACTURACIÓN]],"DE CONTADO","CRÉDITO")</f>
        <v>CRÉDITO</v>
      </c>
      <c r="B1319" s="51" t="b">
        <f>+IF((PROVEEDORES[[#This Row],[FECHA DE PAGO]]-PROVEEDORES[[#This Row],[FECHA DE FACTURACIÓN]])&gt;PROVEEDORES[[#This Row],[PLAZO Días]],"PAGO VENCIDO")</f>
        <v>0</v>
      </c>
      <c r="C1319" s="25">
        <f>+VLOOKUP(PROVEEDORES[[#This Row],[PROVEEDOR]],TERCEROS_INFO[#All],2,FALSE)</f>
        <v>30</v>
      </c>
      <c r="D1319" s="30">
        <f>+SUMIFS(PROVEEDORES[Total],PROVEEDORES[PROVEEDOR],PROVEEDORES[[#This Row],[PROVEEDOR]],PROVEEDORES[FECHA DE PAGO],"")</f>
        <v>0</v>
      </c>
      <c r="E1319" s="30"/>
      <c r="F1319" s="73" t="str">
        <f>+VLOOKUP(PROVEEDORES[[#This Row],[PROVEEDOR]],TERCEROS_INFO[[PROVEEDOR]:[CORREO]],5,FALSE)</f>
        <v>propertymarketingsas@hotmail.com;girlesa.ruiz@servipilas.com;joriescobar64@gmail.com</v>
      </c>
      <c r="G1319" s="111">
        <v>44650</v>
      </c>
      <c r="H1319" s="31" t="s">
        <v>486</v>
      </c>
      <c r="I1319" s="111">
        <v>44621</v>
      </c>
      <c r="J1319" s="48">
        <v>2524</v>
      </c>
      <c r="K1319" s="26">
        <v>2789636</v>
      </c>
      <c r="L1319" s="26"/>
      <c r="M1319" s="27">
        <v>0</v>
      </c>
      <c r="N1319" s="28"/>
      <c r="O1319" s="27">
        <v>0</v>
      </c>
      <c r="P1319" s="28">
        <v>3.5000000000000003E-2</v>
      </c>
      <c r="Q1319" s="27">
        <v>97637.260000000009</v>
      </c>
      <c r="R1319" s="26">
        <v>2691998.74</v>
      </c>
      <c r="S1319" s="115">
        <f ca="1">IF(PROVEEDORES[[#This Row],[FECHA DE PAGO]]=0,TODAY()-PROVEEDORES[[#This Row],[FECHA DE FACTURACIÓN]]-PROVEEDORES[[#This Row],[PLAZO Días]],0)</f>
        <v>0</v>
      </c>
      <c r="T131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20" spans="1:20" ht="21.9" customHeight="1" x14ac:dyDescent="0.3">
      <c r="A1320" s="113" t="str">
        <f>+IF(PROVEEDORES[[#This Row],[FECHA DE PAGO]]=PROVEEDORES[[#This Row],[FECHA DE FACTURACIÓN]],"DE CONTADO","CRÉDITO")</f>
        <v>CRÉDITO</v>
      </c>
      <c r="B1320" s="51" t="b">
        <f>+IF((PROVEEDORES[[#This Row],[FECHA DE PAGO]]-PROVEEDORES[[#This Row],[FECHA DE FACTURACIÓN]])&gt;PROVEEDORES[[#This Row],[PLAZO Días]],"PAGO VENCIDO")</f>
        <v>0</v>
      </c>
      <c r="C1320" s="25">
        <f>+VLOOKUP(PROVEEDORES[[#This Row],[PROVEEDOR]],TERCEROS_INFO[#All],2,FALSE)</f>
        <v>30</v>
      </c>
      <c r="D1320" s="30">
        <f>+SUMIFS(PROVEEDORES[Total],PROVEEDORES[PROVEEDOR],PROVEEDORES[[#This Row],[PROVEEDOR]],PROVEEDORES[FECHA DE PAGO],"")</f>
        <v>4862586.33</v>
      </c>
      <c r="E1320" s="30"/>
      <c r="F1320" s="73" t="str">
        <f>+VLOOKUP(PROVEEDORES[[#This Row],[PROVEEDOR]],TERCEROS_INFO[[PROVEEDOR]:[CORREO]],5,FALSE)</f>
        <v>cartera@conbienes.com;girlesa.ruiz@servipilas.com;joriescobar64@gmail.com</v>
      </c>
      <c r="G1320" s="111">
        <v>44650</v>
      </c>
      <c r="H1320" s="31" t="s">
        <v>348</v>
      </c>
      <c r="I1320" s="111">
        <v>44621</v>
      </c>
      <c r="J1320" s="48" t="s">
        <v>1112</v>
      </c>
      <c r="K1320" s="26">
        <v>3061166</v>
      </c>
      <c r="L1320" s="26"/>
      <c r="M1320" s="27">
        <v>581621.54</v>
      </c>
      <c r="N1320" s="28"/>
      <c r="O1320" s="27">
        <v>0</v>
      </c>
      <c r="P1320" s="28">
        <v>0</v>
      </c>
      <c r="Q1320" s="27">
        <v>0</v>
      </c>
      <c r="R1320" s="26">
        <v>3642787.54</v>
      </c>
      <c r="S1320" s="115">
        <f ca="1">IF(PROVEEDORES[[#This Row],[FECHA DE PAGO]]=0,TODAY()-PROVEEDORES[[#This Row],[FECHA DE FACTURACIÓN]]-PROVEEDORES[[#This Row],[PLAZO Días]],0)</f>
        <v>0</v>
      </c>
      <c r="T13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21" spans="1:20" ht="21.9" customHeight="1" x14ac:dyDescent="0.3">
      <c r="A1321" s="113" t="str">
        <f>+IF(PROVEEDORES[[#This Row],[FECHA DE PAGO]]=PROVEEDORES[[#This Row],[FECHA DE FACTURACIÓN]],"DE CONTADO","CRÉDITO")</f>
        <v>CRÉDITO</v>
      </c>
      <c r="B1321" s="51" t="b">
        <f>+IF((PROVEEDORES[[#This Row],[FECHA DE PAGO]]-PROVEEDORES[[#This Row],[FECHA DE FACTURACIÓN]])&gt;PROVEEDORES[[#This Row],[PLAZO Días]],"PAGO VENCIDO")</f>
        <v>0</v>
      </c>
      <c r="C1321" s="25">
        <f>+VLOOKUP(PROVEEDORES[[#This Row],[PROVEEDOR]],TERCEROS_INFO[#All],2,FALSE)</f>
        <v>30</v>
      </c>
      <c r="D1321" s="30">
        <f>+SUMIFS(PROVEEDORES[Total],PROVEEDORES[PROVEEDOR],PROVEEDORES[[#This Row],[PROVEEDOR]],PROVEEDORES[FECHA DE PAGO],"")</f>
        <v>0</v>
      </c>
      <c r="E1321" s="30"/>
      <c r="F1321" s="73" t="str">
        <f>+VLOOKUP(PROVEEDORES[[#This Row],[PROVEEDOR]],TERCEROS_INFO[[PROVEEDOR]:[CORREO]],5,FALSE)</f>
        <v>girlesa.ruiz@servipilas.com;joriescobar64@gmail.com</v>
      </c>
      <c r="G1321" s="111">
        <v>44648</v>
      </c>
      <c r="H1321" s="31" t="s">
        <v>339</v>
      </c>
      <c r="I1321" s="111">
        <v>44621</v>
      </c>
      <c r="J1321" s="48" t="s">
        <v>1121</v>
      </c>
      <c r="K1321" s="26">
        <v>3958317</v>
      </c>
      <c r="L1321" s="26"/>
      <c r="M1321" s="27">
        <v>0</v>
      </c>
      <c r="N1321" s="28"/>
      <c r="O1321" s="27">
        <v>0</v>
      </c>
      <c r="P1321" s="28">
        <v>3.5000000000000003E-2</v>
      </c>
      <c r="Q1321" s="27">
        <v>138541.095</v>
      </c>
      <c r="R1321" s="26">
        <v>3819775.9049999998</v>
      </c>
      <c r="S1321" s="115">
        <f ca="1">IF(PROVEEDORES[[#This Row],[FECHA DE PAGO]]=0,TODAY()-PROVEEDORES[[#This Row],[FECHA DE FACTURACIÓN]]-PROVEEDORES[[#This Row],[PLAZO Días]],0)</f>
        <v>0</v>
      </c>
      <c r="T132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22" spans="1:20" ht="21.9" customHeight="1" x14ac:dyDescent="0.3">
      <c r="A1322" s="113" t="str">
        <f>+IF(PROVEEDORES[[#This Row],[FECHA DE PAGO]]=PROVEEDORES[[#This Row],[FECHA DE FACTURACIÓN]],"DE CONTADO","CRÉDITO")</f>
        <v>CRÉDITO</v>
      </c>
      <c r="B1322" s="51" t="b">
        <f>+IF((PROVEEDORES[[#This Row],[FECHA DE PAGO]]-PROVEEDORES[[#This Row],[FECHA DE FACTURACIÓN]])&gt;PROVEEDORES[[#This Row],[PLAZO Días]],"PAGO VENCIDO")</f>
        <v>0</v>
      </c>
      <c r="C1322" s="25">
        <f>+VLOOKUP(PROVEEDORES[[#This Row],[PROVEEDOR]],TERCEROS_INFO[#All],2,FALSE)</f>
        <v>30</v>
      </c>
      <c r="D1322" s="30">
        <f>+SUMIFS(PROVEEDORES[Total],PROVEEDORES[PROVEEDOR],PROVEEDORES[[#This Row],[PROVEEDOR]],PROVEEDORES[FECHA DE PAGO],"")</f>
        <v>5060410.5999999996</v>
      </c>
      <c r="E1322" s="30"/>
      <c r="F1322" s="73" t="str">
        <f>+VLOOKUP(PROVEEDORES[[#This Row],[PROVEEDOR]],TERCEROS_INFO[[PROVEEDOR]:[CORREO]],5,FALSE)</f>
        <v>CBastidas@vyp.com.co;girlesa.ruiz@servipilas.com;joriescobar64@gmail.com</v>
      </c>
      <c r="G1322" s="111">
        <v>44650</v>
      </c>
      <c r="H1322" s="31" t="s">
        <v>347</v>
      </c>
      <c r="I1322" s="111">
        <v>44621</v>
      </c>
      <c r="J1322" s="48">
        <v>42317</v>
      </c>
      <c r="K1322" s="26">
        <v>4430000</v>
      </c>
      <c r="L1322" s="26"/>
      <c r="M1322" s="27">
        <v>841700</v>
      </c>
      <c r="N1322" s="28"/>
      <c r="O1322" s="27">
        <v>0</v>
      </c>
      <c r="P1322" s="28">
        <v>3.5000000000000003E-2</v>
      </c>
      <c r="Q1322" s="27">
        <v>155050.00000000003</v>
      </c>
      <c r="R1322" s="26">
        <v>5116650</v>
      </c>
      <c r="S1322" s="115">
        <f ca="1">IF(PROVEEDORES[[#This Row],[FECHA DE PAGO]]=0,TODAY()-PROVEEDORES[[#This Row],[FECHA DE FACTURACIÓN]]-PROVEEDORES[[#This Row],[PLAZO Días]],0)</f>
        <v>0</v>
      </c>
      <c r="T132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23" spans="1:20" ht="21.9" customHeight="1" x14ac:dyDescent="0.3">
      <c r="A1323" s="113" t="str">
        <f>+IF(PROVEEDORES[[#This Row],[FECHA DE PAGO]]=PROVEEDORES[[#This Row],[FECHA DE FACTURACIÓN]],"DE CONTADO","CRÉDITO")</f>
        <v>CRÉDITO</v>
      </c>
      <c r="B1323" s="51" t="str">
        <f>+IF((PROVEEDORES[[#This Row],[FECHA DE PAGO]]-PROVEEDORES[[#This Row],[FECHA DE FACTURACIÓN]])&gt;PROVEEDORES[[#This Row],[PLAZO Días]],"PAGO VENCIDO")</f>
        <v>PAGO VENCIDO</v>
      </c>
      <c r="C1323" s="25">
        <f>+VLOOKUP(PROVEEDORES[[#This Row],[PROVEEDOR]],TERCEROS_INFO[#All],2,FALSE)</f>
        <v>30</v>
      </c>
      <c r="D1323" s="30">
        <f>+SUMIFS(PROVEEDORES[Total],PROVEEDORES[PROVEEDOR],PROVEEDORES[[#This Row],[PROVEEDOR]],PROVEEDORES[FECHA DE PAGO],"")</f>
        <v>6482443.1751999995</v>
      </c>
      <c r="E1323" s="30"/>
      <c r="F1323" s="73" t="str">
        <f>+VLOOKUP(PROVEEDORES[[#This Row],[PROVEEDOR]],TERCEROS_INFO[[PROVEEDOR]:[CORREO]],5,FALSE)</f>
        <v>angela.navas@hyrdistribuciones.com;girlesa.ruiz@servipilas.com;joriescobar64@gmail.com</v>
      </c>
      <c r="G1323" s="111">
        <v>44662</v>
      </c>
      <c r="H1323" s="31" t="s">
        <v>18</v>
      </c>
      <c r="I1323" s="111">
        <v>44622</v>
      </c>
      <c r="J1323" s="48">
        <v>1050509</v>
      </c>
      <c r="K1323" s="26">
        <v>545207</v>
      </c>
      <c r="L1323" s="26"/>
      <c r="M1323" s="27">
        <v>103589.33</v>
      </c>
      <c r="N1323" s="28"/>
      <c r="O1323" s="27">
        <v>0</v>
      </c>
      <c r="P1323" s="28">
        <v>0</v>
      </c>
      <c r="Q1323" s="27">
        <v>0</v>
      </c>
      <c r="R1323" s="26">
        <v>648796.32999999996</v>
      </c>
      <c r="S1323" s="115">
        <f ca="1">IF(PROVEEDORES[[#This Row],[FECHA DE PAGO]]=0,TODAY()-PROVEEDORES[[#This Row],[FECHA DE FACTURACIÓN]]-PROVEEDORES[[#This Row],[PLAZO Días]],0)</f>
        <v>0</v>
      </c>
      <c r="T132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24" spans="1:20" ht="21.9" customHeight="1" x14ac:dyDescent="0.3">
      <c r="A1324" s="113" t="str">
        <f>+IF(PROVEEDORES[[#This Row],[FECHA DE PAGO]]=PROVEEDORES[[#This Row],[FECHA DE FACTURACIÓN]],"DE CONTADO","CRÉDITO")</f>
        <v>CRÉDITO</v>
      </c>
      <c r="B1324" s="51" t="str">
        <f>+IF((PROVEEDORES[[#This Row],[FECHA DE PAGO]]-PROVEEDORES[[#This Row],[FECHA DE FACTURACIÓN]])&gt;PROVEEDORES[[#This Row],[PLAZO Días]],"PAGO VENCIDO")</f>
        <v>PAGO VENCIDO</v>
      </c>
      <c r="C1324" s="25">
        <f>+VLOOKUP(PROVEEDORES[[#This Row],[PROVEEDOR]],TERCEROS_INFO[#All],2,FALSE)</f>
        <v>30</v>
      </c>
      <c r="D1324" s="30">
        <f>+SUMIFS(PROVEEDORES[Total],PROVEEDORES[PROVEEDOR],PROVEEDORES[[#This Row],[PROVEEDOR]],PROVEEDORES[FECHA DE PAGO],"")</f>
        <v>6482443.1751999995</v>
      </c>
      <c r="E1324" s="30"/>
      <c r="F1324" s="73" t="str">
        <f>+VLOOKUP(PROVEEDORES[[#This Row],[PROVEEDOR]],TERCEROS_INFO[[PROVEEDOR]:[CORREO]],5,FALSE)</f>
        <v>angela.navas@hyrdistribuciones.com;girlesa.ruiz@servipilas.com;joriescobar64@gmail.com</v>
      </c>
      <c r="G1324" s="111">
        <v>44662</v>
      </c>
      <c r="H1324" s="31" t="s">
        <v>18</v>
      </c>
      <c r="I1324" s="111">
        <v>44622</v>
      </c>
      <c r="J1324" s="48">
        <v>1050519</v>
      </c>
      <c r="K1324" s="26">
        <v>1020000</v>
      </c>
      <c r="L1324" s="26"/>
      <c r="M1324" s="27">
        <v>193800</v>
      </c>
      <c r="N1324" s="28"/>
      <c r="O1324" s="27">
        <v>0</v>
      </c>
      <c r="P1324" s="28">
        <v>2.5000000000000001E-2</v>
      </c>
      <c r="Q1324" s="27">
        <v>0</v>
      </c>
      <c r="R1324" s="26">
        <v>1213800</v>
      </c>
      <c r="S1324" s="115">
        <f ca="1">IF(PROVEEDORES[[#This Row],[FECHA DE PAGO]]=0,TODAY()-PROVEEDORES[[#This Row],[FECHA DE FACTURACIÓN]]-PROVEEDORES[[#This Row],[PLAZO Días]],0)</f>
        <v>0</v>
      </c>
      <c r="T132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25" spans="1:20" ht="21.9" customHeight="1" x14ac:dyDescent="0.3">
      <c r="A1325" s="113" t="str">
        <f>+IF(PROVEEDORES[[#This Row],[FECHA DE PAGO]]=PROVEEDORES[[#This Row],[FECHA DE FACTURACIÓN]],"DE CONTADO","CRÉDITO")</f>
        <v>CRÉDITO</v>
      </c>
      <c r="B1325" s="51" t="str">
        <f>+IF((PROVEEDORES[[#This Row],[FECHA DE PAGO]]-PROVEEDORES[[#This Row],[FECHA DE FACTURACIÓN]])&gt;PROVEEDORES[[#This Row],[PLAZO Días]],"PAGO VENCIDO")</f>
        <v>PAGO VENCIDO</v>
      </c>
      <c r="C1325" s="25">
        <f>+VLOOKUP(PROVEEDORES[[#This Row],[PROVEEDOR]],TERCEROS_INFO[#All],2,FALSE)</f>
        <v>30</v>
      </c>
      <c r="D1325" s="30">
        <f>+SUMIFS(PROVEEDORES[Total],PROVEEDORES[PROVEEDOR],PROVEEDORES[[#This Row],[PROVEEDOR]],PROVEEDORES[FECHA DE PAGO],"")</f>
        <v>2324514.0150000001</v>
      </c>
      <c r="E1325" s="30"/>
      <c r="F1325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G1325" s="111">
        <v>44662</v>
      </c>
      <c r="H1325" s="31" t="s">
        <v>24</v>
      </c>
      <c r="I1325" s="111">
        <v>44623</v>
      </c>
      <c r="J1325" s="48" t="s">
        <v>1150</v>
      </c>
      <c r="K1325" s="26">
        <v>806050</v>
      </c>
      <c r="L1325" s="26"/>
      <c r="M1325" s="27">
        <v>153149.5</v>
      </c>
      <c r="N1325" s="28"/>
      <c r="O1325" s="27">
        <v>0</v>
      </c>
      <c r="P1325" s="28">
        <v>0</v>
      </c>
      <c r="Q1325" s="27">
        <v>0</v>
      </c>
      <c r="R1325" s="26">
        <v>959199.5</v>
      </c>
      <c r="S1325" s="115">
        <f ca="1">IF(PROVEEDORES[[#This Row],[FECHA DE PAGO]]=0,TODAY()-PROVEEDORES[[#This Row],[FECHA DE FACTURACIÓN]]-PROVEEDORES[[#This Row],[PLAZO Días]],0)</f>
        <v>0</v>
      </c>
      <c r="T132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26" spans="1:20" ht="21.9" customHeight="1" x14ac:dyDescent="0.3">
      <c r="A1326" s="113" t="str">
        <f>+IF(PROVEEDORES[[#This Row],[FECHA DE PAGO]]=PROVEEDORES[[#This Row],[FECHA DE FACTURACIÓN]],"DE CONTADO","CRÉDITO")</f>
        <v>DE CONTADO</v>
      </c>
      <c r="B1326" s="51" t="b">
        <f>+IF((PROVEEDORES[[#This Row],[FECHA DE PAGO]]-PROVEEDORES[[#This Row],[FECHA DE FACTURACIÓN]])&gt;PROVEEDORES[[#This Row],[PLAZO Días]],"PAGO VENCIDO")</f>
        <v>0</v>
      </c>
      <c r="C1326" s="25">
        <f>+VLOOKUP(PROVEEDORES[[#This Row],[PROVEEDOR]],TERCEROS_INFO[#All],2,FALSE)</f>
        <v>30</v>
      </c>
      <c r="D1326" s="30">
        <f>+SUMIFS(PROVEEDORES[Total],PROVEEDORES[PROVEEDOR],PROVEEDORES[[#This Row],[PROVEEDOR]],PROVEEDORES[FECHA DE PAGO],"")</f>
        <v>0</v>
      </c>
      <c r="E1326" s="30"/>
      <c r="F1326" s="73" t="str">
        <f>+VLOOKUP(PROVEEDORES[[#This Row],[PROVEEDOR]],TERCEROS_INFO[[PROVEEDOR]:[CORREO]],5,FALSE)</f>
        <v/>
      </c>
      <c r="G1326" s="111">
        <v>44623</v>
      </c>
      <c r="H1326" s="31" t="s">
        <v>1052</v>
      </c>
      <c r="I1326" s="111">
        <v>44623</v>
      </c>
      <c r="J1326" s="48"/>
      <c r="K1326" s="26">
        <v>1000000</v>
      </c>
      <c r="L1326" s="26"/>
      <c r="M1326" s="27">
        <v>0</v>
      </c>
      <c r="N1326" s="28"/>
      <c r="O1326" s="27">
        <v>0</v>
      </c>
      <c r="P1326" s="28">
        <v>0</v>
      </c>
      <c r="Q1326" s="27">
        <v>0</v>
      </c>
      <c r="R1326" s="26">
        <v>1000000</v>
      </c>
      <c r="S1326" s="115">
        <f ca="1">IF(PROVEEDORES[[#This Row],[FECHA DE PAGO]]=0,TODAY()-PROVEEDORES[[#This Row],[FECHA DE FACTURACIÓN]]-PROVEEDORES[[#This Row],[PLAZO Días]],0)</f>
        <v>0</v>
      </c>
      <c r="T132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27" spans="1:20" ht="21.9" customHeight="1" x14ac:dyDescent="0.3">
      <c r="A1327" s="113" t="str">
        <f>+IF(PROVEEDORES[[#This Row],[FECHA DE PAGO]]=PROVEEDORES[[#This Row],[FECHA DE FACTURACIÓN]],"DE CONTADO","CRÉDITO")</f>
        <v>DE CONTADO</v>
      </c>
      <c r="B1327" s="51" t="b">
        <f>+IF((PROVEEDORES[[#This Row],[FECHA DE PAGO]]-PROVEEDORES[[#This Row],[FECHA DE FACTURACIÓN]])&gt;PROVEEDORES[[#This Row],[PLAZO Días]],"PAGO VENCIDO")</f>
        <v>0</v>
      </c>
      <c r="C1327" s="25">
        <f>+VLOOKUP(PROVEEDORES[[#This Row],[PROVEEDOR]],TERCEROS_INFO[#All],2,FALSE)</f>
        <v>10</v>
      </c>
      <c r="D1327" s="30">
        <f>+SUMIFS(PROVEEDORES[Total],PROVEEDORES[PROVEEDOR],PROVEEDORES[[#This Row],[PROVEEDOR]],PROVEEDORES[FECHA DE PAGO],"")</f>
        <v>0</v>
      </c>
      <c r="E1327" s="30"/>
      <c r="F1327" s="73" t="str">
        <f>+VLOOKUP(PROVEEDORES[[#This Row],[PROVEEDOR]],TERCEROS_INFO[[PROVEEDOR]:[CORREO]],5,FALSE)</f>
        <v>dotaciones.ohana.eu@gmail.com;girlesa.ruiz@servipilas.com;joriescobar64@gmail.com</v>
      </c>
      <c r="G1327" s="111">
        <v>44623</v>
      </c>
      <c r="H1327" s="31" t="s">
        <v>1031</v>
      </c>
      <c r="I1327" s="111">
        <v>44623</v>
      </c>
      <c r="J1327" s="48" t="s">
        <v>964</v>
      </c>
      <c r="K1327" s="26">
        <v>2400000</v>
      </c>
      <c r="L1327" s="26"/>
      <c r="M1327" s="27">
        <v>0</v>
      </c>
      <c r="N1327" s="28"/>
      <c r="O1327" s="27">
        <v>0</v>
      </c>
      <c r="P1327" s="28">
        <v>0</v>
      </c>
      <c r="Q1327" s="27">
        <v>0</v>
      </c>
      <c r="R1327" s="26">
        <v>2400000</v>
      </c>
      <c r="S1327" s="115">
        <f ca="1">IF(PROVEEDORES[[#This Row],[FECHA DE PAGO]]=0,TODAY()-PROVEEDORES[[#This Row],[FECHA DE FACTURACIÓN]]-PROVEEDORES[[#This Row],[PLAZO Días]],0)</f>
        <v>0</v>
      </c>
      <c r="T132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28" spans="1:20" ht="21.9" customHeight="1" x14ac:dyDescent="0.3">
      <c r="A1328" s="113" t="str">
        <f>+IF(PROVEEDORES[[#This Row],[FECHA DE PAGO]]=PROVEEDORES[[#This Row],[FECHA DE FACTURACIÓN]],"DE CONTADO","CRÉDITO")</f>
        <v>CRÉDITO</v>
      </c>
      <c r="B1328" s="51" t="b">
        <f>+IF((PROVEEDORES[[#This Row],[FECHA DE PAGO]]-PROVEEDORES[[#This Row],[FECHA DE FACTURACIÓN]])&gt;PROVEEDORES[[#This Row],[PLAZO Días]],"PAGO VENCIDO")</f>
        <v>0</v>
      </c>
      <c r="C1328" s="25">
        <f>+VLOOKUP(PROVEEDORES[[#This Row],[PROVEEDOR]],TERCEROS_INFO[#All],2,FALSE)</f>
        <v>30</v>
      </c>
      <c r="D1328" s="30">
        <f>+SUMIFS(PROVEEDORES[Total],PROVEEDORES[PROVEEDOR],PROVEEDORES[[#This Row],[PROVEEDOR]],PROVEEDORES[FECHA DE PAGO],"")</f>
        <v>6932910</v>
      </c>
      <c r="E1328" s="30"/>
      <c r="F1328" s="73" t="str">
        <f>+VLOOKUP(PROVEEDORES[[#This Row],[PROVEEDOR]],TERCEROS_INFO[[PROVEEDOR]:[CORREO]],5,FALSE)</f>
        <v>admin@kinocompanysas.com.co;girlesa.ruiz@servipilas.com;joriescobar64@gmail.com</v>
      </c>
      <c r="H1328" s="31" t="s">
        <v>33</v>
      </c>
      <c r="I1328" s="111">
        <v>44623</v>
      </c>
      <c r="J1328" s="48">
        <v>2314</v>
      </c>
      <c r="K1328" s="26">
        <v>5856000</v>
      </c>
      <c r="L1328" s="26"/>
      <c r="M1328" s="27">
        <v>1112640</v>
      </c>
      <c r="N1328" s="28"/>
      <c r="O1328" s="27">
        <v>0</v>
      </c>
      <c r="P1328" s="28">
        <v>2.5000000000000001E-2</v>
      </c>
      <c r="Q1328" s="27">
        <v>146400</v>
      </c>
      <c r="R1328" s="26">
        <v>6822240</v>
      </c>
      <c r="S1328" s="115">
        <f ca="1">IF(PROVEEDORES[[#This Row],[FECHA DE PAGO]]=0,TODAY()-PROVEEDORES[[#This Row],[FECHA DE FACTURACIÓN]]-PROVEEDORES[[#This Row],[PLAZO Días]],0)</f>
        <v>15</v>
      </c>
      <c r="T1328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29" spans="1:20" ht="21.9" customHeight="1" x14ac:dyDescent="0.3">
      <c r="A1329" s="113" t="str">
        <f>+IF(PROVEEDORES[[#This Row],[FECHA DE PAGO]]=PROVEEDORES[[#This Row],[FECHA DE FACTURACIÓN]],"DE CONTADO","CRÉDITO")</f>
        <v>CRÉDITO</v>
      </c>
      <c r="B1329" s="51" t="b">
        <f>+IF((PROVEEDORES[[#This Row],[FECHA DE PAGO]]-PROVEEDORES[[#This Row],[FECHA DE FACTURACIÓN]])&gt;PROVEEDORES[[#This Row],[PLAZO Días]],"PAGO VENCIDO")</f>
        <v>0</v>
      </c>
      <c r="C1329" s="25">
        <f>+VLOOKUP(PROVEEDORES[[#This Row],[PROVEEDOR]],TERCEROS_INFO[#All],2,FALSE)</f>
        <v>30</v>
      </c>
      <c r="D1329" s="30">
        <f>+SUMIFS(PROVEEDORES[Total],PROVEEDORES[PROVEEDOR],PROVEEDORES[[#This Row],[PROVEEDOR]],PROVEEDORES[FECHA DE PAGO],"")</f>
        <v>7458000</v>
      </c>
      <c r="E1329" s="30"/>
      <c r="F1329" s="73" t="str">
        <f>+VLOOKUP(PROVEEDORES[[#This Row],[PROVEEDOR]],TERCEROS_INFO[[PROVEEDOR]:[CORREO]],5,FALSE)</f>
        <v/>
      </c>
      <c r="H1329" s="31" t="s">
        <v>1049</v>
      </c>
      <c r="I1329" s="111">
        <v>44624</v>
      </c>
      <c r="J1329" s="48" t="s">
        <v>1149</v>
      </c>
      <c r="K1329" s="26">
        <v>6748000</v>
      </c>
      <c r="L1329" s="26"/>
      <c r="M1329" s="27">
        <v>0</v>
      </c>
      <c r="N1329" s="28"/>
      <c r="O1329" s="27">
        <v>0</v>
      </c>
      <c r="P1329" s="28">
        <v>0</v>
      </c>
      <c r="Q1329" s="27">
        <v>0</v>
      </c>
      <c r="R1329" s="26">
        <v>6748000</v>
      </c>
      <c r="S1329" s="115">
        <f ca="1">IF(PROVEEDORES[[#This Row],[FECHA DE PAGO]]=0,TODAY()-PROVEEDORES[[#This Row],[FECHA DE FACTURACIÓN]]-PROVEEDORES[[#This Row],[PLAZO Días]],0)</f>
        <v>14</v>
      </c>
      <c r="T1329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30" spans="1:20" ht="21.9" customHeight="1" x14ac:dyDescent="0.3">
      <c r="A1330" s="113" t="str">
        <f>+IF(PROVEEDORES[[#This Row],[FECHA DE PAGO]]=PROVEEDORES[[#This Row],[FECHA DE FACTURACIÓN]],"DE CONTADO","CRÉDITO")</f>
        <v>CRÉDITO</v>
      </c>
      <c r="B1330" s="51" t="b">
        <f>+IF((PROVEEDORES[[#This Row],[FECHA DE PAGO]]-PROVEEDORES[[#This Row],[FECHA DE FACTURACIÓN]])&gt;PROVEEDORES[[#This Row],[PLAZO Días]],"PAGO VENCIDO")</f>
        <v>0</v>
      </c>
      <c r="C1330" s="25">
        <f>+VLOOKUP(PROVEEDORES[[#This Row],[PROVEEDOR]],TERCEROS_INFO[#All],2,FALSE)</f>
        <v>30</v>
      </c>
      <c r="D1330" s="30">
        <f>+SUMIFS(PROVEEDORES[Total],PROVEEDORES[PROVEEDOR],PROVEEDORES[[#This Row],[PROVEEDOR]],PROVEEDORES[FECHA DE PAGO],"")</f>
        <v>6932910</v>
      </c>
      <c r="E1330" s="30"/>
      <c r="F1330" s="73" t="str">
        <f>+VLOOKUP(PROVEEDORES[[#This Row],[PROVEEDOR]],TERCEROS_INFO[[PROVEEDOR]:[CORREO]],5,FALSE)</f>
        <v>admin@kinocompanysas.com.co;girlesa.ruiz@servipilas.com;joriescobar64@gmail.com</v>
      </c>
      <c r="H1330" s="31" t="s">
        <v>33</v>
      </c>
      <c r="I1330" s="111">
        <v>44627</v>
      </c>
      <c r="J1330" s="48">
        <v>2342</v>
      </c>
      <c r="K1330" s="26">
        <v>93000</v>
      </c>
      <c r="L1330" s="26"/>
      <c r="M1330" s="27">
        <v>17670</v>
      </c>
      <c r="N1330" s="28"/>
      <c r="O1330" s="27">
        <v>0</v>
      </c>
      <c r="P1330" s="28">
        <v>0</v>
      </c>
      <c r="Q1330" s="27">
        <v>0</v>
      </c>
      <c r="R1330" s="26">
        <v>110670</v>
      </c>
      <c r="S1330" s="115">
        <f ca="1">IF(PROVEEDORES[[#This Row],[FECHA DE PAGO]]=0,TODAY()-PROVEEDORES[[#This Row],[FECHA DE FACTURACIÓN]]-PROVEEDORES[[#This Row],[PLAZO Días]],0)</f>
        <v>11</v>
      </c>
      <c r="T1330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31" spans="1:20" ht="21.9" customHeight="1" x14ac:dyDescent="0.3">
      <c r="A1331" s="113" t="str">
        <f>+IF(PROVEEDORES[[#This Row],[FECHA DE PAGO]]=PROVEEDORES[[#This Row],[FECHA DE FACTURACIÓN]],"DE CONTADO","CRÉDITO")</f>
        <v>CRÉDITO</v>
      </c>
      <c r="B1331" s="51" t="b">
        <f>+IF((PROVEEDORES[[#This Row],[FECHA DE PAGO]]-PROVEEDORES[[#This Row],[FECHA DE FACTURACIÓN]])&gt;PROVEEDORES[[#This Row],[PLAZO Días]],"PAGO VENCIDO")</f>
        <v>0</v>
      </c>
      <c r="C1331" s="25">
        <f>+VLOOKUP(PROVEEDORES[[#This Row],[PROVEEDOR]],TERCEROS_INFO[#All],2,FALSE)</f>
        <v>30</v>
      </c>
      <c r="D1331" s="30">
        <f>+SUMIFS(PROVEEDORES[Total],PROVEEDORES[PROVEEDOR],PROVEEDORES[[#This Row],[PROVEEDOR]],PROVEEDORES[FECHA DE PAGO],"")</f>
        <v>0</v>
      </c>
      <c r="E1331" s="30"/>
      <c r="F1331" s="73" t="str">
        <f>+VLOOKUP(PROVEEDORES[[#This Row],[PROVEEDOR]],TERCEROS_INFO[[PROVEEDOR]:[CORREO]],5,FALSE)</f>
        <v>CARLOSARCILAMENSAJERIA@gmail.com;girlesa.ruiz@servipilas.com;joriescobar64@gmail.com</v>
      </c>
      <c r="G1331" s="111">
        <v>44635</v>
      </c>
      <c r="H1331" s="31" t="s">
        <v>1046</v>
      </c>
      <c r="I1331" s="111">
        <v>44627</v>
      </c>
      <c r="J1331" s="48">
        <v>330</v>
      </c>
      <c r="K1331" s="26">
        <v>359500</v>
      </c>
      <c r="L1331" s="26"/>
      <c r="M1331" s="27">
        <v>0</v>
      </c>
      <c r="N1331" s="28"/>
      <c r="O1331" s="27">
        <v>0</v>
      </c>
      <c r="P1331" s="28">
        <v>0</v>
      </c>
      <c r="Q1331" s="27">
        <v>0</v>
      </c>
      <c r="R1331" s="26">
        <v>359500</v>
      </c>
      <c r="S1331" s="115">
        <f ca="1">IF(PROVEEDORES[[#This Row],[FECHA DE PAGO]]=0,TODAY()-PROVEEDORES[[#This Row],[FECHA DE FACTURACIÓN]]-PROVEEDORES[[#This Row],[PLAZO Días]],0)</f>
        <v>0</v>
      </c>
      <c r="T133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32" spans="1:20" ht="21.9" customHeight="1" x14ac:dyDescent="0.3">
      <c r="A1332" s="113" t="str">
        <f>+IF(PROVEEDORES[[#This Row],[FECHA DE PAGO]]=PROVEEDORES[[#This Row],[FECHA DE FACTURACIÓN]],"DE CONTADO","CRÉDITO")</f>
        <v>CRÉDITO</v>
      </c>
      <c r="B1332" s="51" t="b">
        <f>+IF((PROVEEDORES[[#This Row],[FECHA DE PAGO]]-PROVEEDORES[[#This Row],[FECHA DE FACTURACIÓN]])&gt;PROVEEDORES[[#This Row],[PLAZO Días]],"PAGO VENCIDO")</f>
        <v>0</v>
      </c>
      <c r="C1332" s="25">
        <f>+VLOOKUP(PROVEEDORES[[#This Row],[PROVEEDOR]],TERCEROS_INFO[#All],2,FALSE)</f>
        <v>30</v>
      </c>
      <c r="D1332" s="30">
        <f>+SUMIFS(PROVEEDORES[Total],PROVEEDORES[PROVEEDOR],PROVEEDORES[[#This Row],[PROVEEDOR]],PROVEEDORES[FECHA DE PAGO],"")</f>
        <v>0</v>
      </c>
      <c r="E1332" s="30"/>
      <c r="F1332" s="73" t="str">
        <f>+VLOOKUP(PROVEEDORES[[#This Row],[PROVEEDOR]],TERCEROS_INFO[[PROVEEDOR]:[CORREO]],5,FALSE)</f>
        <v>CARLOSARCILAMENSAJERIA@gmail.com;girlesa.ruiz@servipilas.com;joriescobar64@gmail.com</v>
      </c>
      <c r="G1332" s="111">
        <v>44635</v>
      </c>
      <c r="H1332" s="31" t="s">
        <v>143</v>
      </c>
      <c r="I1332" s="111">
        <v>44627</v>
      </c>
      <c r="J1332" s="48">
        <v>211</v>
      </c>
      <c r="K1332" s="26">
        <v>359500</v>
      </c>
      <c r="L1332" s="26"/>
      <c r="M1332" s="27">
        <v>0</v>
      </c>
      <c r="N1332" s="28"/>
      <c r="O1332" s="27">
        <v>0</v>
      </c>
      <c r="P1332" s="28">
        <v>0</v>
      </c>
      <c r="Q1332" s="27">
        <v>0</v>
      </c>
      <c r="R1332" s="26">
        <v>359500</v>
      </c>
      <c r="S1332" s="115">
        <f ca="1">IF(PROVEEDORES[[#This Row],[FECHA DE PAGO]]=0,TODAY()-PROVEEDORES[[#This Row],[FECHA DE FACTURACIÓN]]-PROVEEDORES[[#This Row],[PLAZO Días]],0)</f>
        <v>0</v>
      </c>
      <c r="T133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33" spans="1:20" ht="21.9" customHeight="1" x14ac:dyDescent="0.3">
      <c r="A1333" s="113" t="str">
        <f>+IF(PROVEEDORES[[#This Row],[FECHA DE PAGO]]=PROVEEDORES[[#This Row],[FECHA DE FACTURACIÓN]],"DE CONTADO","CRÉDITO")</f>
        <v>DE CONTADO</v>
      </c>
      <c r="B1333" s="51" t="b">
        <f>+IF((PROVEEDORES[[#This Row],[FECHA DE PAGO]]-PROVEEDORES[[#This Row],[FECHA DE FACTURACIÓN]])&gt;PROVEEDORES[[#This Row],[PLAZO Días]],"PAGO VENCIDO")</f>
        <v>0</v>
      </c>
      <c r="C1333" s="25">
        <f>+VLOOKUP(PROVEEDORES[[#This Row],[PROVEEDOR]],TERCEROS_INFO[#All],2,FALSE)</f>
        <v>30</v>
      </c>
      <c r="D1333" s="30">
        <f>+SUMIFS(PROVEEDORES[Total],PROVEEDORES[PROVEEDOR],PROVEEDORES[[#This Row],[PROVEEDOR]],PROVEEDORES[FECHA DE PAGO],"")</f>
        <v>0</v>
      </c>
      <c r="E1333" s="30"/>
      <c r="F1333" s="73" t="str">
        <f>+VLOOKUP(PROVEEDORES[[#This Row],[PROVEEDOR]],TERCEROS_INFO[[PROVEEDOR]:[CORREO]],5,FALSE)</f>
        <v/>
      </c>
      <c r="G1333" s="111">
        <v>44627</v>
      </c>
      <c r="H1333" s="31" t="s">
        <v>1037</v>
      </c>
      <c r="I1333" s="111">
        <v>44627</v>
      </c>
      <c r="J1333" s="48" t="s">
        <v>1039</v>
      </c>
      <c r="K1333" s="26">
        <v>540000</v>
      </c>
      <c r="L1333" s="26"/>
      <c r="M1333" s="27">
        <v>0</v>
      </c>
      <c r="N1333" s="28"/>
      <c r="O1333" s="27">
        <v>0</v>
      </c>
      <c r="P1333" s="28">
        <v>0</v>
      </c>
      <c r="Q1333" s="27">
        <v>0</v>
      </c>
      <c r="R1333" s="26">
        <v>540000</v>
      </c>
      <c r="S1333" s="115">
        <f ca="1">IF(PROVEEDORES[[#This Row],[FECHA DE PAGO]]=0,TODAY()-PROVEEDORES[[#This Row],[FECHA DE FACTURACIÓN]]-PROVEEDORES[[#This Row],[PLAZO Días]],0)</f>
        <v>0</v>
      </c>
      <c r="T133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34" spans="1:20" ht="21.9" customHeight="1" x14ac:dyDescent="0.3">
      <c r="A1334" s="113" t="str">
        <f>+IF(PROVEEDORES[[#This Row],[FECHA DE PAGO]]=PROVEEDORES[[#This Row],[FECHA DE FACTURACIÓN]],"DE CONTADO","CRÉDITO")</f>
        <v>CRÉDITO</v>
      </c>
      <c r="B1334" s="51" t="b">
        <f>+IF((PROVEEDORES[[#This Row],[FECHA DE PAGO]]-PROVEEDORES[[#This Row],[FECHA DE FACTURACIÓN]])&gt;PROVEEDORES[[#This Row],[PLAZO Días]],"PAGO VENCIDO")</f>
        <v>0</v>
      </c>
      <c r="C1334" s="25">
        <f>+VLOOKUP(PROVEEDORES[[#This Row],[PROVEEDOR]],TERCEROS_INFO[#All],2,FALSE)</f>
        <v>30</v>
      </c>
      <c r="D1334" s="30">
        <f>+SUMIFS(PROVEEDORES[Total],PROVEEDORES[PROVEEDOR],PROVEEDORES[[#This Row],[PROVEEDOR]],PROVEEDORES[FECHA DE PAGO],"")</f>
        <v>10764600</v>
      </c>
      <c r="E1334" s="30"/>
      <c r="F1334" s="73" t="str">
        <f>+VLOOKUP(PROVEEDORES[[#This Row],[PROVEEDOR]],TERCEROS_INFO[[PROVEEDOR]:[CORREO]],5,FALSE)</f>
        <v>apresupuesto@widexcolombia.com;girlesa.ruiz@servipilas.com;joriescobar64@gmail.com</v>
      </c>
      <c r="H1334" s="31" t="s">
        <v>11</v>
      </c>
      <c r="I1334" s="111">
        <v>44627</v>
      </c>
      <c r="J1334" s="48" t="s">
        <v>1147</v>
      </c>
      <c r="K1334" s="26">
        <v>3960000</v>
      </c>
      <c r="L1334" s="26"/>
      <c r="M1334" s="27">
        <v>752400</v>
      </c>
      <c r="N1334" s="28"/>
      <c r="O1334" s="27">
        <v>0</v>
      </c>
      <c r="P1334" s="28">
        <v>2.5000000000000001E-2</v>
      </c>
      <c r="Q1334" s="27">
        <v>99000</v>
      </c>
      <c r="R1334" s="26">
        <v>4613400</v>
      </c>
      <c r="S1334" s="115">
        <f ca="1">IF(PROVEEDORES[[#This Row],[FECHA DE PAGO]]=0,TODAY()-PROVEEDORES[[#This Row],[FECHA DE FACTURACIÓN]]-PROVEEDORES[[#This Row],[PLAZO Días]],0)</f>
        <v>11</v>
      </c>
      <c r="T1334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35" spans="1:20" ht="21.9" customHeight="1" x14ac:dyDescent="0.3">
      <c r="A1335" s="113" t="str">
        <f>+IF(PROVEEDORES[[#This Row],[FECHA DE PAGO]]=PROVEEDORES[[#This Row],[FECHA DE FACTURACIÓN]],"DE CONTADO","CRÉDITO")</f>
        <v>DE CONTADO</v>
      </c>
      <c r="B1335" s="51" t="b">
        <f>+IF((PROVEEDORES[[#This Row],[FECHA DE PAGO]]-PROVEEDORES[[#This Row],[FECHA DE FACTURACIÓN]])&gt;PROVEEDORES[[#This Row],[PLAZO Días]],"PAGO VENCIDO")</f>
        <v>0</v>
      </c>
      <c r="C1335" s="25">
        <f>+VLOOKUP(PROVEEDORES[[#This Row],[PROVEEDOR]],TERCEROS_INFO[#All],2,FALSE)</f>
        <v>30</v>
      </c>
      <c r="D1335" s="30">
        <f>+SUMIFS(PROVEEDORES[Total],PROVEEDORES[PROVEEDOR],PROVEEDORES[[#This Row],[PROVEEDOR]],PROVEEDORES[FECHA DE PAGO],"")</f>
        <v>0</v>
      </c>
      <c r="E1335" s="30"/>
      <c r="F1335" s="73" t="str">
        <f>+VLOOKUP(PROVEEDORES[[#This Row],[PROVEEDOR]],TERCEROS_INFO[[PROVEEDOR]:[CORREO]],5,FALSE)</f>
        <v/>
      </c>
      <c r="G1335" s="111">
        <v>44628</v>
      </c>
      <c r="H1335" s="31" t="s">
        <v>1060</v>
      </c>
      <c r="I1335" s="111">
        <v>44628</v>
      </c>
      <c r="J1335" s="48" t="s">
        <v>1062</v>
      </c>
      <c r="K1335" s="26">
        <v>630000</v>
      </c>
      <c r="L1335" s="26"/>
      <c r="M1335" s="27">
        <v>0</v>
      </c>
      <c r="N1335" s="28"/>
      <c r="O1335" s="27">
        <v>0</v>
      </c>
      <c r="P1335" s="28">
        <v>0</v>
      </c>
      <c r="Q1335" s="27">
        <v>0</v>
      </c>
      <c r="R1335" s="26">
        <v>630000</v>
      </c>
      <c r="S1335" s="115">
        <f ca="1">IF(PROVEEDORES[[#This Row],[FECHA DE PAGO]]=0,TODAY()-PROVEEDORES[[#This Row],[FECHA DE FACTURACIÓN]]-PROVEEDORES[[#This Row],[PLAZO Días]],0)</f>
        <v>0</v>
      </c>
      <c r="T133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36" spans="1:20" ht="21.9" customHeight="1" x14ac:dyDescent="0.3">
      <c r="A1336" s="113" t="str">
        <f>+IF(PROVEEDORES[[#This Row],[FECHA DE PAGO]]=PROVEEDORES[[#This Row],[FECHA DE FACTURACIÓN]],"DE CONTADO","CRÉDITO")</f>
        <v>DE CONTADO</v>
      </c>
      <c r="B1336" s="51" t="b">
        <f>+IF((PROVEEDORES[[#This Row],[FECHA DE PAGO]]-PROVEEDORES[[#This Row],[FECHA DE FACTURACIÓN]])&gt;PROVEEDORES[[#This Row],[PLAZO Días]],"PAGO VENCIDO")</f>
        <v>0</v>
      </c>
      <c r="C1336" s="25">
        <f>+VLOOKUP(PROVEEDORES[[#This Row],[PROVEEDOR]],TERCEROS_INFO[#All],2,FALSE)</f>
        <v>30</v>
      </c>
      <c r="D1336" s="30">
        <f>+SUMIFS(PROVEEDORES[Total],PROVEEDORES[PROVEEDOR],PROVEEDORES[[#This Row],[PROVEEDOR]],PROVEEDORES[FECHA DE PAGO],"")</f>
        <v>21832129.73</v>
      </c>
      <c r="E1336" s="30"/>
      <c r="F1336" s="73" t="str">
        <f>+VLOOKUP(PROVEEDORES[[#This Row],[PROVEEDOR]],TERCEROS_INFO[[PROVEEDOR]:[CORREO]],5,FALSE)</f>
        <v>cartera1@grupostatur.com;girlesa.ruiz@servipilas.com;joriescobar64@gmail.com</v>
      </c>
      <c r="G1336" s="111">
        <v>44629</v>
      </c>
      <c r="H1336" s="31" t="s">
        <v>9</v>
      </c>
      <c r="I1336" s="111">
        <v>44629</v>
      </c>
      <c r="J1336" s="48">
        <v>75251</v>
      </c>
      <c r="K1336" s="26">
        <v>180307</v>
      </c>
      <c r="L1336" s="26"/>
      <c r="M1336" s="27">
        <v>34258.33</v>
      </c>
      <c r="N1336" s="28"/>
      <c r="O1336" s="27">
        <v>0</v>
      </c>
      <c r="P1336" s="28">
        <v>0</v>
      </c>
      <c r="Q1336" s="27">
        <v>0</v>
      </c>
      <c r="R1336" s="26">
        <v>214565.33000000002</v>
      </c>
      <c r="S1336" s="115">
        <f ca="1">IF(PROVEEDORES[[#This Row],[FECHA DE PAGO]]=0,TODAY()-PROVEEDORES[[#This Row],[FECHA DE FACTURACIÓN]]-PROVEEDORES[[#This Row],[PLAZO Días]],0)</f>
        <v>0</v>
      </c>
      <c r="T133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37" spans="1:20" ht="21.9" customHeight="1" x14ac:dyDescent="0.3">
      <c r="A1337" s="113" t="str">
        <f>+IF(PROVEEDORES[[#This Row],[FECHA DE PAGO]]=PROVEEDORES[[#This Row],[FECHA DE FACTURACIÓN]],"DE CONTADO","CRÉDITO")</f>
        <v>CRÉDITO</v>
      </c>
      <c r="B1337" s="51" t="b">
        <f>+IF((PROVEEDORES[[#This Row],[FECHA DE PAGO]]-PROVEEDORES[[#This Row],[FECHA DE FACTURACIÓN]])&gt;PROVEEDORES[[#This Row],[PLAZO Días]],"PAGO VENCIDO")</f>
        <v>0</v>
      </c>
      <c r="C1337" s="25">
        <f>+VLOOKUP(PROVEEDORES[[#This Row],[PROVEEDOR]],TERCEROS_INFO[#All],2,FALSE)</f>
        <v>30</v>
      </c>
      <c r="D1337" s="30">
        <f>+SUMIFS(PROVEEDORES[Total],PROVEEDORES[PROVEEDOR],PROVEEDORES[[#This Row],[PROVEEDOR]],PROVEEDORES[FECHA DE PAGO],"")</f>
        <v>3406</v>
      </c>
      <c r="E1337" s="30"/>
      <c r="F1337" s="73" t="str">
        <f>+VLOOKUP(PROVEEDORES[[#This Row],[PROVEEDOR]],TERCEROS_INFO[[PROVEEDOR]:[CORREO]],5,FALSE)</f>
        <v>ventas@ismartsas.com;girlesa.ruiz@servipilas.com;joriescobar64@gmail.com</v>
      </c>
      <c r="G1337" s="111">
        <v>44652</v>
      </c>
      <c r="H1337" s="31" t="s">
        <v>48</v>
      </c>
      <c r="I1337" s="111">
        <v>44629</v>
      </c>
      <c r="J1337" s="48" t="s">
        <v>1135</v>
      </c>
      <c r="K1337" s="26">
        <v>643885</v>
      </c>
      <c r="L1337" s="26"/>
      <c r="M1337" s="27">
        <v>122338.15</v>
      </c>
      <c r="N1337" s="28"/>
      <c r="O1337" s="27">
        <v>0</v>
      </c>
      <c r="P1337" s="28">
        <v>0</v>
      </c>
      <c r="Q1337" s="27">
        <v>0</v>
      </c>
      <c r="R1337" s="26">
        <v>766223.15</v>
      </c>
      <c r="S1337" s="115">
        <f ca="1">IF(PROVEEDORES[[#This Row],[FECHA DE PAGO]]=0,TODAY()-PROVEEDORES[[#This Row],[FECHA DE FACTURACIÓN]]-PROVEEDORES[[#This Row],[PLAZO Días]],0)</f>
        <v>0</v>
      </c>
      <c r="T133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38" spans="1:20" ht="21.9" customHeight="1" x14ac:dyDescent="0.3">
      <c r="A1338" s="113" t="str">
        <f>+IF(PROVEEDORES[[#This Row],[FECHA DE PAGO]]=PROVEEDORES[[#This Row],[FECHA DE FACTURACIÓN]],"DE CONTADO","CRÉDITO")</f>
        <v>CRÉDITO</v>
      </c>
      <c r="B1338" s="51" t="b">
        <f>+IF((PROVEEDORES[[#This Row],[FECHA DE PAGO]]-PROVEEDORES[[#This Row],[FECHA DE FACTURACIÓN]])&gt;PROVEEDORES[[#This Row],[PLAZO Días]],"PAGO VENCIDO")</f>
        <v>0</v>
      </c>
      <c r="C1338" s="25">
        <f>+VLOOKUP(PROVEEDORES[[#This Row],[PROVEEDOR]],TERCEROS_INFO[#All],2,FALSE)</f>
        <v>30</v>
      </c>
      <c r="D1338" s="30">
        <f>+SUMIFS(PROVEEDORES[Total],PROVEEDORES[PROVEEDOR],PROVEEDORES[[#This Row],[PROVEEDOR]],PROVEEDORES[FECHA DE PAGO],"")</f>
        <v>6482443.1751999995</v>
      </c>
      <c r="E1338" s="30"/>
      <c r="F1338" s="73" t="str">
        <f>+VLOOKUP(PROVEEDORES[[#This Row],[PROVEEDOR]],TERCEROS_INFO[[PROVEEDOR]:[CORREO]],5,FALSE)</f>
        <v>angela.navas@hyrdistribuciones.com;girlesa.ruiz@servipilas.com;joriescobar64@gmail.com</v>
      </c>
      <c r="H1338" s="31" t="s">
        <v>18</v>
      </c>
      <c r="I1338" s="111">
        <v>44629</v>
      </c>
      <c r="J1338" s="48">
        <v>1050807</v>
      </c>
      <c r="K1338" s="26">
        <v>850000</v>
      </c>
      <c r="L1338" s="26"/>
      <c r="M1338" s="27">
        <v>161500</v>
      </c>
      <c r="N1338" s="28"/>
      <c r="O1338" s="27">
        <v>0</v>
      </c>
      <c r="P1338" s="28">
        <v>0</v>
      </c>
      <c r="Q1338" s="27">
        <v>0</v>
      </c>
      <c r="R1338" s="26">
        <v>1011500</v>
      </c>
      <c r="S1338" s="115">
        <f ca="1">IF(PROVEEDORES[[#This Row],[FECHA DE PAGO]]=0,TODAY()-PROVEEDORES[[#This Row],[FECHA DE FACTURACIÓN]]-PROVEEDORES[[#This Row],[PLAZO Días]],0)</f>
        <v>9</v>
      </c>
      <c r="T1338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39" spans="1:20" ht="21.9" customHeight="1" x14ac:dyDescent="0.3">
      <c r="A1339" s="113" t="str">
        <f>+IF(PROVEEDORES[[#This Row],[FECHA DE PAGO]]=PROVEEDORES[[#This Row],[FECHA DE FACTURACIÓN]],"DE CONTADO","CRÉDITO")</f>
        <v>CRÉDITO</v>
      </c>
      <c r="B1339" s="51" t="b">
        <f>+IF((PROVEEDORES[[#This Row],[FECHA DE PAGO]]-PROVEEDORES[[#This Row],[FECHA DE FACTURACIÓN]])&gt;PROVEEDORES[[#This Row],[PLAZO Días]],"PAGO VENCIDO")</f>
        <v>0</v>
      </c>
      <c r="C1339" s="25">
        <f>+VLOOKUP(PROVEEDORES[[#This Row],[PROVEEDOR]],TERCEROS_INFO[#All],2,FALSE)</f>
        <v>90</v>
      </c>
      <c r="D1339" s="30">
        <f>+SUMIFS(PROVEEDORES[Total],PROVEEDORES[PROVEEDOR],PROVEEDORES[[#This Row],[PROVEEDOR]],PROVEEDORES[FECHA DE PAGO],"")</f>
        <v>39058718</v>
      </c>
      <c r="E1339" s="30"/>
      <c r="F1339" s="73" t="str">
        <f>+VLOOKUP(PROVEEDORES[[#This Row],[PROVEEDOR]],TERCEROS_INFO[[PROVEEDOR]:[CORREO]],5,FALSE)</f>
        <v>mcastillo@kenextrading.com;agarcia@kenextrading.com;girlesa.ruiz@servipilas.com;joriescobar64@gmail.com</v>
      </c>
      <c r="H1339" s="31" t="s">
        <v>31</v>
      </c>
      <c r="I1339" s="111">
        <v>44629</v>
      </c>
      <c r="J1339" s="48">
        <v>56143</v>
      </c>
      <c r="K1339" s="26">
        <v>39058718</v>
      </c>
      <c r="L1339" s="26"/>
      <c r="M1339" s="27">
        <v>0</v>
      </c>
      <c r="N1339" s="28"/>
      <c r="O1339" s="27">
        <v>0</v>
      </c>
      <c r="P1339" s="28">
        <v>0</v>
      </c>
      <c r="Q1339" s="27">
        <v>0</v>
      </c>
      <c r="R1339" s="26">
        <v>39058718</v>
      </c>
      <c r="S1339" s="115">
        <f ca="1">IF(PROVEEDORES[[#This Row],[FECHA DE PAGO]]=0,TODAY()-PROVEEDORES[[#This Row],[FECHA DE FACTURACIÓN]]-PROVEEDORES[[#This Row],[PLAZO Días]],0)</f>
        <v>-51</v>
      </c>
      <c r="T1339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40" spans="1:20" ht="21.9" customHeight="1" x14ac:dyDescent="0.3">
      <c r="A1340" s="113" t="str">
        <f>+IF(PROVEEDORES[[#This Row],[FECHA DE PAGO]]=PROVEEDORES[[#This Row],[FECHA DE FACTURACIÓN]],"DE CONTADO","CRÉDITO")</f>
        <v>DE CONTADO</v>
      </c>
      <c r="B1340" s="51" t="b">
        <f>+IF((PROVEEDORES[[#This Row],[FECHA DE PAGO]]-PROVEEDORES[[#This Row],[FECHA DE FACTURACIÓN]])&gt;PROVEEDORES[[#This Row],[PLAZO Días]],"PAGO VENCIDO")</f>
        <v>0</v>
      </c>
      <c r="C1340" s="25">
        <f>+VLOOKUP(PROVEEDORES[[#This Row],[PROVEEDOR]],TERCEROS_INFO[#All],2,FALSE)</f>
        <v>30</v>
      </c>
      <c r="D1340" s="30">
        <f>+SUMIFS(PROVEEDORES[Total],PROVEEDORES[PROVEEDOR],PROVEEDORES[[#This Row],[PROVEEDOR]],PROVEEDORES[FECHA DE PAGO],"")</f>
        <v>195500</v>
      </c>
      <c r="E1340" s="30"/>
      <c r="F1340" s="73" t="str">
        <f>+VLOOKUP(PROVEEDORES[[#This Row],[PROVEEDOR]],TERCEROS_INFO[[PROVEEDOR]:[CORREO]],5,FALSE)</f>
        <v/>
      </c>
      <c r="G1340" s="111">
        <v>44630</v>
      </c>
      <c r="H1340" s="31" t="s">
        <v>1053</v>
      </c>
      <c r="I1340" s="111">
        <v>44630</v>
      </c>
      <c r="J1340" s="48" t="s">
        <v>1055</v>
      </c>
      <c r="K1340" s="26">
        <v>70000</v>
      </c>
      <c r="L1340" s="26"/>
      <c r="M1340" s="27">
        <v>0</v>
      </c>
      <c r="N1340" s="28"/>
      <c r="O1340" s="27">
        <v>0</v>
      </c>
      <c r="P1340" s="28">
        <v>0</v>
      </c>
      <c r="Q1340" s="27">
        <v>0</v>
      </c>
      <c r="R1340" s="26">
        <v>70000</v>
      </c>
      <c r="S1340" s="115">
        <f ca="1">IF(PROVEEDORES[[#This Row],[FECHA DE PAGO]]=0,TODAY()-PROVEEDORES[[#This Row],[FECHA DE FACTURACIÓN]]-PROVEEDORES[[#This Row],[PLAZO Días]],0)</f>
        <v>0</v>
      </c>
      <c r="T134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41" spans="1:20" ht="21.9" customHeight="1" x14ac:dyDescent="0.3">
      <c r="A1341" s="113" t="str">
        <f>+IF(PROVEEDORES[[#This Row],[FECHA DE PAGO]]=PROVEEDORES[[#This Row],[FECHA DE FACTURACIÓN]],"DE CONTADO","CRÉDITO")</f>
        <v>DE CONTADO</v>
      </c>
      <c r="B1341" s="51" t="b">
        <f>+IF((PROVEEDORES[[#This Row],[FECHA DE PAGO]]-PROVEEDORES[[#This Row],[FECHA DE FACTURACIÓN]])&gt;PROVEEDORES[[#This Row],[PLAZO Días]],"PAGO VENCIDO")</f>
        <v>0</v>
      </c>
      <c r="C1341" s="25">
        <f>+VLOOKUP(PROVEEDORES[[#This Row],[PROVEEDOR]],TERCEROS_INFO[#All],2,FALSE)</f>
        <v>30</v>
      </c>
      <c r="D1341" s="30">
        <f>+SUMIFS(PROVEEDORES[Total],PROVEEDORES[PROVEEDOR],PROVEEDORES[[#This Row],[PROVEEDOR]],PROVEEDORES[FECHA DE PAGO],"")</f>
        <v>0</v>
      </c>
      <c r="E1341" s="30"/>
      <c r="F1341" s="73" t="str">
        <f>+VLOOKUP(PROVEEDORES[[#This Row],[PROVEEDOR]],TERCEROS_INFO[[PROVEEDOR]:[CORREO]],5,FALSE)</f>
        <v/>
      </c>
      <c r="G1341" s="111">
        <v>44630</v>
      </c>
      <c r="H1341" s="31" t="s">
        <v>989</v>
      </c>
      <c r="I1341" s="111">
        <v>44630</v>
      </c>
      <c r="J1341" s="48" t="s">
        <v>991</v>
      </c>
      <c r="K1341" s="26">
        <v>95000</v>
      </c>
      <c r="L1341" s="26"/>
      <c r="M1341" s="27">
        <v>0</v>
      </c>
      <c r="N1341" s="28"/>
      <c r="O1341" s="27">
        <v>0</v>
      </c>
      <c r="P1341" s="28">
        <v>0</v>
      </c>
      <c r="Q1341" s="27">
        <v>0</v>
      </c>
      <c r="R1341" s="26">
        <v>95000</v>
      </c>
      <c r="S1341" s="115">
        <f ca="1">IF(PROVEEDORES[[#This Row],[FECHA DE PAGO]]=0,TODAY()-PROVEEDORES[[#This Row],[FECHA DE FACTURACIÓN]]-PROVEEDORES[[#This Row],[PLAZO Días]],0)</f>
        <v>0</v>
      </c>
      <c r="T134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42" spans="1:20" ht="21.9" customHeight="1" x14ac:dyDescent="0.3">
      <c r="A1342" s="113" t="str">
        <f>+IF(PROVEEDORES[[#This Row],[FECHA DE PAGO]]=PROVEEDORES[[#This Row],[FECHA DE FACTURACIÓN]],"DE CONTADO","CRÉDITO")</f>
        <v>CRÉDITO</v>
      </c>
      <c r="B1342" s="51" t="b">
        <f>+IF((PROVEEDORES[[#This Row],[FECHA DE PAGO]]-PROVEEDORES[[#This Row],[FECHA DE FACTURACIÓN]])&gt;PROVEEDORES[[#This Row],[PLAZO Días]],"PAGO VENCIDO")</f>
        <v>0</v>
      </c>
      <c r="C1342" s="25">
        <f>+VLOOKUP(PROVEEDORES[[#This Row],[PROVEEDOR]],TERCEROS_INFO[#All],2,FALSE)</f>
        <v>30</v>
      </c>
      <c r="D1342" s="30">
        <f>+SUMIFS(PROVEEDORES[Total],PROVEEDORES[PROVEEDOR],PROVEEDORES[[#This Row],[PROVEEDOR]],PROVEEDORES[FECHA DE PAGO],"")</f>
        <v>0</v>
      </c>
      <c r="E1342" s="30"/>
      <c r="F1342" s="73" t="str">
        <f>+VLOOKUP(PROVEEDORES[[#This Row],[PROVEEDOR]],TERCEROS_INFO[[PROVEEDOR]:[CORREO]],5,FALSE)</f>
        <v>cartera@aerosan.com;girlesa.ruiz@servipilas.com;joriescobar64@gmail.com</v>
      </c>
      <c r="G1342" s="111">
        <v>44631</v>
      </c>
      <c r="H1342" s="31" t="s">
        <v>57</v>
      </c>
      <c r="I1342" s="111">
        <v>44630</v>
      </c>
      <c r="J1342" s="48" t="s">
        <v>1090</v>
      </c>
      <c r="K1342" s="26">
        <v>404189</v>
      </c>
      <c r="L1342" s="26"/>
      <c r="M1342" s="27">
        <v>33232</v>
      </c>
      <c r="N1342" s="28"/>
      <c r="O1342" s="27">
        <v>0</v>
      </c>
      <c r="P1342" s="28">
        <v>0</v>
      </c>
      <c r="Q1342" s="27">
        <v>0</v>
      </c>
      <c r="R1342" s="26">
        <v>3505560</v>
      </c>
      <c r="S1342" s="115">
        <f ca="1">IF(PROVEEDORES[[#This Row],[FECHA DE PAGO]]=0,TODAY()-PROVEEDORES[[#This Row],[FECHA DE FACTURACIÓN]]-PROVEEDORES[[#This Row],[PLAZO Días]],0)</f>
        <v>0</v>
      </c>
      <c r="T134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43" spans="1:20" ht="21.9" customHeight="1" x14ac:dyDescent="0.3">
      <c r="A1343" s="113" t="str">
        <f>+IF(PROVEEDORES[[#This Row],[FECHA DE PAGO]]=PROVEEDORES[[#This Row],[FECHA DE FACTURACIÓN]],"DE CONTADO","CRÉDITO")</f>
        <v>CRÉDITO</v>
      </c>
      <c r="B1343" s="51" t="b">
        <f>+IF((PROVEEDORES[[#This Row],[FECHA DE PAGO]]-PROVEEDORES[[#This Row],[FECHA DE FACTURACIÓN]])&gt;PROVEEDORES[[#This Row],[PLAZO Días]],"PAGO VENCIDO")</f>
        <v>0</v>
      </c>
      <c r="C1343" s="25">
        <f>+VLOOKUP(PROVEEDORES[[#This Row],[PROVEEDOR]],TERCEROS_INFO[#All],2,FALSE)</f>
        <v>30</v>
      </c>
      <c r="D1343" s="30">
        <f>+SUMIFS(PROVEEDORES[Total],PROVEEDORES[PROVEEDOR],PROVEEDORES[[#This Row],[PROVEEDOR]],PROVEEDORES[FECHA DE PAGO],"")</f>
        <v>0</v>
      </c>
      <c r="E1343" s="30"/>
      <c r="F1343" s="73" t="str">
        <f>+VLOOKUP(PROVEEDORES[[#This Row],[PROVEEDOR]],TERCEROS_INFO[[PROVEEDOR]:[CORREO]],5,FALSE)</f>
        <v/>
      </c>
      <c r="G1343" s="111">
        <v>44632</v>
      </c>
      <c r="H1343" s="31" t="s">
        <v>1081</v>
      </c>
      <c r="I1343" s="111">
        <v>44631</v>
      </c>
      <c r="J1343" s="48" t="s">
        <v>1082</v>
      </c>
      <c r="K1343" s="26">
        <v>1180100</v>
      </c>
      <c r="L1343" s="26"/>
      <c r="M1343" s="27">
        <v>0</v>
      </c>
      <c r="N1343" s="28"/>
      <c r="O1343" s="27">
        <v>0</v>
      </c>
      <c r="P1343" s="28">
        <v>0</v>
      </c>
      <c r="Q1343" s="27">
        <v>0</v>
      </c>
      <c r="R1343" s="26">
        <v>1180100</v>
      </c>
      <c r="S1343" s="115">
        <f ca="1">IF(PROVEEDORES[[#This Row],[FECHA DE PAGO]]=0,TODAY()-PROVEEDORES[[#This Row],[FECHA DE FACTURACIÓN]]-PROVEEDORES[[#This Row],[PLAZO Días]],0)</f>
        <v>0</v>
      </c>
      <c r="T134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44" spans="1:20" ht="21.9" customHeight="1" x14ac:dyDescent="0.3">
      <c r="A1344" s="113" t="str">
        <f>+IF(PROVEEDORES[[#This Row],[FECHA DE PAGO]]=PROVEEDORES[[#This Row],[FECHA DE FACTURACIÓN]],"DE CONTADO","CRÉDITO")</f>
        <v>CRÉDITO</v>
      </c>
      <c r="B1344" s="51" t="b">
        <f>+IF((PROVEEDORES[[#This Row],[FECHA DE PAGO]]-PROVEEDORES[[#This Row],[FECHA DE FACTURACIÓN]])&gt;PROVEEDORES[[#This Row],[PLAZO Días]],"PAGO VENCIDO")</f>
        <v>0</v>
      </c>
      <c r="C1344" s="25">
        <f>+VLOOKUP(PROVEEDORES[[#This Row],[PROVEEDOR]],TERCEROS_INFO[#All],2,FALSE)</f>
        <v>30</v>
      </c>
      <c r="D1344" s="30">
        <f>+SUMIFS(PROVEEDORES[Total],PROVEEDORES[PROVEEDOR],PROVEEDORES[[#This Row],[PROVEEDOR]],PROVEEDORES[FECHA DE PAGO],"")</f>
        <v>2324514.0150000001</v>
      </c>
      <c r="E1344" s="30"/>
      <c r="F1344" s="73" t="str">
        <f>+VLOOKUP(PROVEEDORES[[#This Row],[PROVEEDOR]],TERCEROS_INFO[[PROVEEDOR]:[CORREO]],5,FALSE)</f>
        <v>mdedcnvi@bateriasduncan.com.co;guillermo.bateriasduncan@gmail.com;girlesa.ruiz@servipilas.com;joriescobar64@gmail.com</v>
      </c>
      <c r="H1344" s="31" t="s">
        <v>24</v>
      </c>
      <c r="I1344" s="111">
        <v>44631</v>
      </c>
      <c r="J1344" s="48" t="s">
        <v>1138</v>
      </c>
      <c r="K1344" s="26">
        <v>1995291</v>
      </c>
      <c r="L1344" s="26"/>
      <c r="M1344" s="27">
        <v>379105.29</v>
      </c>
      <c r="N1344" s="28"/>
      <c r="O1344" s="27">
        <v>0</v>
      </c>
      <c r="P1344" s="28">
        <v>2.5000000000000001E-2</v>
      </c>
      <c r="Q1344" s="27">
        <v>49882.275000000001</v>
      </c>
      <c r="R1344" s="26">
        <v>2324514.0150000001</v>
      </c>
      <c r="S1344" s="115">
        <f ca="1">IF(PROVEEDORES[[#This Row],[FECHA DE PAGO]]=0,TODAY()-PROVEEDORES[[#This Row],[FECHA DE FACTURACIÓN]]-PROVEEDORES[[#This Row],[PLAZO Días]],0)</f>
        <v>7</v>
      </c>
      <c r="T1344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45" spans="1:20" ht="21.9" customHeight="1" x14ac:dyDescent="0.3">
      <c r="A1345" s="113" t="str">
        <f>+IF(PROVEEDORES[[#This Row],[FECHA DE PAGO]]=PROVEEDORES[[#This Row],[FECHA DE FACTURACIÓN]],"DE CONTADO","CRÉDITO")</f>
        <v>DE CONTADO</v>
      </c>
      <c r="B1345" s="51" t="b">
        <f>+IF((PROVEEDORES[[#This Row],[FECHA DE PAGO]]-PROVEEDORES[[#This Row],[FECHA DE FACTURACIÓN]])&gt;PROVEEDORES[[#This Row],[PLAZO Días]],"PAGO VENCIDO")</f>
        <v>0</v>
      </c>
      <c r="C1345" s="25">
        <f>+VLOOKUP(PROVEEDORES[[#This Row],[PROVEEDOR]],TERCEROS_INFO[#All],2,FALSE)</f>
        <v>30</v>
      </c>
      <c r="D1345" s="30">
        <f>+SUMIFS(PROVEEDORES[Total],PROVEEDORES[PROVEEDOR],PROVEEDORES[[#This Row],[PROVEEDOR]],PROVEEDORES[FECHA DE PAGO],"")</f>
        <v>0</v>
      </c>
      <c r="E1345" s="30"/>
      <c r="F1345" s="73" t="str">
        <f>+VLOOKUP(PROVEEDORES[[#This Row],[PROVEEDOR]],TERCEROS_INFO[[PROVEEDOR]:[CORREO]],5,FALSE)</f>
        <v/>
      </c>
      <c r="G1345" s="111">
        <v>44632</v>
      </c>
      <c r="H1345" s="31" t="s">
        <v>1037</v>
      </c>
      <c r="I1345" s="111">
        <v>44632</v>
      </c>
      <c r="J1345" s="48" t="s">
        <v>1040</v>
      </c>
      <c r="K1345" s="26">
        <v>450000</v>
      </c>
      <c r="L1345" s="26"/>
      <c r="M1345" s="27">
        <v>0</v>
      </c>
      <c r="N1345" s="28"/>
      <c r="O1345" s="27">
        <v>0</v>
      </c>
      <c r="P1345" s="28">
        <v>0</v>
      </c>
      <c r="Q1345" s="27">
        <v>0</v>
      </c>
      <c r="R1345" s="26">
        <v>450000</v>
      </c>
      <c r="S1345" s="115">
        <f ca="1">IF(PROVEEDORES[[#This Row],[FECHA DE PAGO]]=0,TODAY()-PROVEEDORES[[#This Row],[FECHA DE FACTURACIÓN]]-PROVEEDORES[[#This Row],[PLAZO Días]],0)</f>
        <v>0</v>
      </c>
      <c r="T134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46" spans="1:20" ht="21.9" customHeight="1" x14ac:dyDescent="0.3">
      <c r="A1346" s="113" t="str">
        <f>+IF(PROVEEDORES[[#This Row],[FECHA DE PAGO]]=PROVEEDORES[[#This Row],[FECHA DE FACTURACIÓN]],"DE CONTADO","CRÉDITO")</f>
        <v>DE CONTADO</v>
      </c>
      <c r="B1346" s="51" t="b">
        <f>+IF((PROVEEDORES[[#This Row],[FECHA DE PAGO]]-PROVEEDORES[[#This Row],[FECHA DE FACTURACIÓN]])&gt;PROVEEDORES[[#This Row],[PLAZO Días]],"PAGO VENCIDO")</f>
        <v>0</v>
      </c>
      <c r="C1346" s="25">
        <f>+VLOOKUP(PROVEEDORES[[#This Row],[PROVEEDOR]],TERCEROS_INFO[#All],2,FALSE)</f>
        <v>30</v>
      </c>
      <c r="D1346" s="30">
        <f>+SUMIFS(PROVEEDORES[Total],PROVEEDORES[PROVEEDOR],PROVEEDORES[[#This Row],[PROVEEDOR]],PROVEEDORES[FECHA DE PAGO],"")</f>
        <v>0</v>
      </c>
      <c r="E1346" s="30"/>
      <c r="F1346" s="73" t="str">
        <f>+VLOOKUP(PROVEEDORES[[#This Row],[PROVEEDOR]],TERCEROS_INFO[[PROVEEDOR]:[CORREO]],5,FALSE)</f>
        <v/>
      </c>
      <c r="G1346" s="111">
        <v>44632</v>
      </c>
      <c r="H1346" s="31" t="s">
        <v>1052</v>
      </c>
      <c r="I1346" s="111">
        <v>44632</v>
      </c>
      <c r="J1346" s="48"/>
      <c r="K1346" s="26">
        <v>1000000</v>
      </c>
      <c r="L1346" s="26"/>
      <c r="M1346" s="27">
        <v>0</v>
      </c>
      <c r="N1346" s="28"/>
      <c r="O1346" s="27">
        <v>0</v>
      </c>
      <c r="P1346" s="28">
        <v>0</v>
      </c>
      <c r="Q1346" s="27">
        <v>0</v>
      </c>
      <c r="R1346" s="26">
        <v>1000000</v>
      </c>
      <c r="S1346" s="115">
        <f ca="1">IF(PROVEEDORES[[#This Row],[FECHA DE PAGO]]=0,TODAY()-PROVEEDORES[[#This Row],[FECHA DE FACTURACIÓN]]-PROVEEDORES[[#This Row],[PLAZO Días]],0)</f>
        <v>0</v>
      </c>
      <c r="T134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47" spans="1:20" ht="21.9" customHeight="1" x14ac:dyDescent="0.3">
      <c r="A1347" s="113" t="str">
        <f>+IF(PROVEEDORES[[#This Row],[FECHA DE PAGO]]=PROVEEDORES[[#This Row],[FECHA DE FACTURACIÓN]],"DE CONTADO","CRÉDITO")</f>
        <v>CRÉDITO</v>
      </c>
      <c r="B1347" s="51" t="b">
        <f>+IF((PROVEEDORES[[#This Row],[FECHA DE PAGO]]-PROVEEDORES[[#This Row],[FECHA DE FACTURACIÓN]])&gt;PROVEEDORES[[#This Row],[PLAZO Días]],"PAGO VENCIDO")</f>
        <v>0</v>
      </c>
      <c r="C1347" s="25">
        <f>+VLOOKUP(PROVEEDORES[[#This Row],[PROVEEDOR]],TERCEROS_INFO[#All],2,FALSE)</f>
        <v>30</v>
      </c>
      <c r="D1347" s="30">
        <f>+SUMIFS(PROVEEDORES[Total],PROVEEDORES[PROVEEDOR],PROVEEDORES[[#This Row],[PROVEEDOR]],PROVEEDORES[FECHA DE PAGO],"")</f>
        <v>1451823</v>
      </c>
      <c r="E1347" s="30"/>
      <c r="F1347" s="73" t="str">
        <f>+VLOOKUP(PROVEEDORES[[#This Row],[PROVEEDOR]],TERCEROS_INFO[[PROVEEDOR]:[CORREO]],5,FALSE)</f>
        <v>cartera@ienewline.com;andres.arroyave@ienewline.com;girlesa.ruiz@servipilas.com;joriescobar64@gmail.com</v>
      </c>
      <c r="H1347" s="31" t="s">
        <v>1131</v>
      </c>
      <c r="I1347" s="111">
        <v>44632</v>
      </c>
      <c r="J1347" s="48">
        <v>28365</v>
      </c>
      <c r="K1347" s="26">
        <v>1246200</v>
      </c>
      <c r="L1347" s="26"/>
      <c r="M1347" s="27">
        <v>236778</v>
      </c>
      <c r="N1347" s="28"/>
      <c r="O1347" s="27">
        <v>0</v>
      </c>
      <c r="P1347" s="28">
        <v>2.5000000000000001E-2</v>
      </c>
      <c r="Q1347" s="27">
        <v>31155</v>
      </c>
      <c r="R1347" s="26">
        <v>1451823</v>
      </c>
      <c r="S1347" s="115">
        <f ca="1">IF(PROVEEDORES[[#This Row],[FECHA DE PAGO]]=0,TODAY()-PROVEEDORES[[#This Row],[FECHA DE FACTURACIÓN]]-PROVEEDORES[[#This Row],[PLAZO Días]],0)</f>
        <v>6</v>
      </c>
      <c r="T1347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48" spans="1:20" ht="21.9" customHeight="1" x14ac:dyDescent="0.3">
      <c r="A1348" s="113" t="str">
        <f>+IF(PROVEEDORES[[#This Row],[FECHA DE PAGO]]=PROVEEDORES[[#This Row],[FECHA DE FACTURACIÓN]],"DE CONTADO","CRÉDITO")</f>
        <v>CRÉDITO</v>
      </c>
      <c r="B1348" s="51" t="b">
        <f>+IF((PROVEEDORES[[#This Row],[FECHA DE PAGO]]-PROVEEDORES[[#This Row],[FECHA DE FACTURACIÓN]])&gt;PROVEEDORES[[#This Row],[PLAZO Días]],"PAGO VENCIDO")</f>
        <v>0</v>
      </c>
      <c r="C1348" s="25">
        <f>+VLOOKUP(PROVEEDORES[[#This Row],[PROVEEDOR]],TERCEROS_INFO[#All],2,FALSE)</f>
        <v>30</v>
      </c>
      <c r="D1348" s="30">
        <f>+SUMIFS(PROVEEDORES[Total],PROVEEDORES[PROVEEDOR],PROVEEDORES[[#This Row],[PROVEEDOR]],PROVEEDORES[FECHA DE PAGO],"")</f>
        <v>3320000</v>
      </c>
      <c r="E1348" s="30"/>
      <c r="F1348" s="73" t="str">
        <f>+VLOOKUP(PROVEEDORES[[#This Row],[PROVEEDOR]],TERCEROS_INFO[[PROVEEDOR]:[CORREO]],5,FALSE)</f>
        <v>Pygimportadora@gmail.com;girlesa.ruiz@servipilas.com;joriescobar64@gmail.com</v>
      </c>
      <c r="H1348" s="31" t="s">
        <v>1068</v>
      </c>
      <c r="I1348" s="111">
        <v>44632</v>
      </c>
      <c r="J1348" s="48" t="s">
        <v>1137</v>
      </c>
      <c r="K1348" s="26">
        <v>3320000</v>
      </c>
      <c r="L1348" s="26"/>
      <c r="M1348" s="27">
        <v>0</v>
      </c>
      <c r="N1348" s="28"/>
      <c r="O1348" s="27">
        <v>0</v>
      </c>
      <c r="P1348" s="28">
        <v>0</v>
      </c>
      <c r="Q1348" s="27">
        <v>0</v>
      </c>
      <c r="R1348" s="26">
        <v>3320000</v>
      </c>
      <c r="S1348" s="115">
        <f ca="1">IF(PROVEEDORES[[#This Row],[FECHA DE PAGO]]=0,TODAY()-PROVEEDORES[[#This Row],[FECHA DE FACTURACIÓN]]-PROVEEDORES[[#This Row],[PLAZO Días]],0)</f>
        <v>6</v>
      </c>
      <c r="T1348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49" spans="1:20" ht="21.9" customHeight="1" x14ac:dyDescent="0.3">
      <c r="A1349" s="113" t="str">
        <f>+IF(PROVEEDORES[[#This Row],[FECHA DE PAGO]]=PROVEEDORES[[#This Row],[FECHA DE FACTURACIÓN]],"DE CONTADO","CRÉDITO")</f>
        <v>CRÉDITO</v>
      </c>
      <c r="B1349" s="51" t="b">
        <f>+IF((PROVEEDORES[[#This Row],[FECHA DE PAGO]]-PROVEEDORES[[#This Row],[FECHA DE FACTURACIÓN]])&gt;PROVEEDORES[[#This Row],[PLAZO Días]],"PAGO VENCIDO")</f>
        <v>0</v>
      </c>
      <c r="C1349" s="25">
        <f>+VLOOKUP(PROVEEDORES[[#This Row],[PROVEEDOR]],TERCEROS_INFO[#All],2,FALSE)</f>
        <v>30</v>
      </c>
      <c r="D1349" s="30">
        <f>+SUMIFS(PROVEEDORES[Total],PROVEEDORES[PROVEEDOR],PROVEEDORES[[#This Row],[PROVEEDOR]],PROVEEDORES[FECHA DE PAGO],"")</f>
        <v>1119790</v>
      </c>
      <c r="E1349" s="30"/>
      <c r="F1349" s="73" t="str">
        <f>+VLOOKUP(PROVEEDORES[[#This Row],[PROVEEDOR]],TERCEROS_INFO[[PROVEEDOR]:[CORREO]],5,FALSE)</f>
        <v>MVALENCIA@mps.com.co;girlesa.ruiz@servipilas.com;joriescobar64@gmail.com</v>
      </c>
      <c r="H1349" s="31" t="s">
        <v>17</v>
      </c>
      <c r="I1349" s="111">
        <v>44634</v>
      </c>
      <c r="J1349" s="48">
        <v>1890430</v>
      </c>
      <c r="K1349" s="26">
        <v>371000</v>
      </c>
      <c r="L1349" s="26"/>
      <c r="M1349" s="27">
        <v>70490</v>
      </c>
      <c r="N1349" s="28"/>
      <c r="O1349" s="27">
        <v>0</v>
      </c>
      <c r="P1349" s="28">
        <v>0</v>
      </c>
      <c r="Q1349" s="27">
        <v>0</v>
      </c>
      <c r="R1349" s="26">
        <v>441490</v>
      </c>
      <c r="S1349" s="115">
        <f ca="1">IF(PROVEEDORES[[#This Row],[FECHA DE PAGO]]=0,TODAY()-PROVEEDORES[[#This Row],[FECHA DE FACTURACIÓN]]-PROVEEDORES[[#This Row],[PLAZO Días]],0)</f>
        <v>4</v>
      </c>
      <c r="T1349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50" spans="1:20" ht="21.9" customHeight="1" x14ac:dyDescent="0.3">
      <c r="A1350" s="113" t="str">
        <f>+IF(PROVEEDORES[[#This Row],[FECHA DE PAGO]]=PROVEEDORES[[#This Row],[FECHA DE FACTURACIÓN]],"DE CONTADO","CRÉDITO")</f>
        <v>CRÉDITO</v>
      </c>
      <c r="B1350" s="51" t="b">
        <f>+IF((PROVEEDORES[[#This Row],[FECHA DE PAGO]]-PROVEEDORES[[#This Row],[FECHA DE FACTURACIÓN]])&gt;PROVEEDORES[[#This Row],[PLAZO Días]],"PAGO VENCIDO")</f>
        <v>0</v>
      </c>
      <c r="C1350" s="25">
        <f>+VLOOKUP(PROVEEDORES[[#This Row],[PROVEEDOR]],TERCEROS_INFO[#All],2,FALSE)</f>
        <v>30</v>
      </c>
      <c r="D1350" s="30">
        <f>+SUMIFS(PROVEEDORES[Total],PROVEEDORES[PROVEEDOR],PROVEEDORES[[#This Row],[PROVEEDOR]],PROVEEDORES[FECHA DE PAGO],"")</f>
        <v>1119790</v>
      </c>
      <c r="E1350" s="30"/>
      <c r="F1350" s="73" t="str">
        <f>+VLOOKUP(PROVEEDORES[[#This Row],[PROVEEDOR]],TERCEROS_INFO[[PROVEEDOR]:[CORREO]],5,FALSE)</f>
        <v>MVALENCIA@mps.com.co;girlesa.ruiz@servipilas.com;joriescobar64@gmail.com</v>
      </c>
      <c r="H1350" s="31" t="s">
        <v>17</v>
      </c>
      <c r="I1350" s="111">
        <v>44634</v>
      </c>
      <c r="J1350" s="48">
        <v>1890377</v>
      </c>
      <c r="K1350" s="26">
        <v>570000</v>
      </c>
      <c r="L1350" s="26"/>
      <c r="M1350" s="27">
        <v>108300</v>
      </c>
      <c r="N1350" s="28"/>
      <c r="O1350" s="27">
        <v>0</v>
      </c>
      <c r="P1350" s="28">
        <v>0</v>
      </c>
      <c r="Q1350" s="27">
        <v>0</v>
      </c>
      <c r="R1350" s="26">
        <v>678300</v>
      </c>
      <c r="S1350" s="115">
        <f ca="1">IF(PROVEEDORES[[#This Row],[FECHA DE PAGO]]=0,TODAY()-PROVEEDORES[[#This Row],[FECHA DE FACTURACIÓN]]-PROVEEDORES[[#This Row],[PLAZO Días]],0)</f>
        <v>4</v>
      </c>
      <c r="T1350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51" spans="1:20" ht="21.9" customHeight="1" x14ac:dyDescent="0.3">
      <c r="A1351" s="113" t="str">
        <f>+IF(PROVEEDORES[[#This Row],[FECHA DE PAGO]]=PROVEEDORES[[#This Row],[FECHA DE FACTURACIÓN]],"DE CONTADO","CRÉDITO")</f>
        <v>CRÉDITO</v>
      </c>
      <c r="B1351" s="51" t="b">
        <f>+IF((PROVEEDORES[[#This Row],[FECHA DE PAGO]]-PROVEEDORES[[#This Row],[FECHA DE FACTURACIÓN]])&gt;PROVEEDORES[[#This Row],[PLAZO Días]],"PAGO VENCIDO")</f>
        <v>0</v>
      </c>
      <c r="C1351" s="25">
        <f>+VLOOKUP(PROVEEDORES[[#This Row],[PROVEEDOR]],TERCEROS_INFO[#All],2,FALSE)</f>
        <v>30</v>
      </c>
      <c r="D1351" s="30">
        <f>+SUMIFS(PROVEEDORES[Total],PROVEEDORES[PROVEEDOR],PROVEEDORES[[#This Row],[PROVEEDOR]],PROVEEDORES[FECHA DE PAGO],"")</f>
        <v>6482443.1751999995</v>
      </c>
      <c r="E1351" s="30"/>
      <c r="F1351" s="73" t="str">
        <f>+VLOOKUP(PROVEEDORES[[#This Row],[PROVEEDOR]],TERCEROS_INFO[[PROVEEDOR]:[CORREO]],5,FALSE)</f>
        <v>angela.navas@hyrdistribuciones.com;girlesa.ruiz@servipilas.com;joriescobar64@gmail.com</v>
      </c>
      <c r="H1351" s="31" t="s">
        <v>18</v>
      </c>
      <c r="I1351" s="111">
        <v>44634</v>
      </c>
      <c r="J1351" s="48">
        <v>1051102</v>
      </c>
      <c r="K1351" s="26">
        <v>3580988</v>
      </c>
      <c r="L1351" s="26"/>
      <c r="M1351" s="27">
        <v>680387.72</v>
      </c>
      <c r="N1351" s="28"/>
      <c r="O1351" s="27">
        <v>0</v>
      </c>
      <c r="P1351" s="28">
        <v>2.5000000000000001E-2</v>
      </c>
      <c r="Q1351" s="27">
        <v>89524.700000000012</v>
      </c>
      <c r="R1351" s="26">
        <v>4171851.0199999996</v>
      </c>
      <c r="S1351" s="115">
        <f ca="1">IF(PROVEEDORES[[#This Row],[FECHA DE PAGO]]=0,TODAY()-PROVEEDORES[[#This Row],[FECHA DE FACTURACIÓN]]-PROVEEDORES[[#This Row],[PLAZO Días]],0)</f>
        <v>4</v>
      </c>
      <c r="T1351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52" spans="1:20" ht="21.9" customHeight="1" x14ac:dyDescent="0.3">
      <c r="A1352" s="113" t="str">
        <f>+IF(PROVEEDORES[[#This Row],[FECHA DE PAGO]]=PROVEEDORES[[#This Row],[FECHA DE FACTURACIÓN]],"DE CONTADO","CRÉDITO")</f>
        <v>CRÉDITO</v>
      </c>
      <c r="B1352" s="51" t="b">
        <f>+IF((PROVEEDORES[[#This Row],[FECHA DE PAGO]]-PROVEEDORES[[#This Row],[FECHA DE FACTURACIÓN]])&gt;PROVEEDORES[[#This Row],[PLAZO Días]],"PAGO VENCIDO")</f>
        <v>0</v>
      </c>
      <c r="C1352" s="25">
        <f>+VLOOKUP(PROVEEDORES[[#This Row],[PROVEEDOR]],TERCEROS_INFO[#All],2,FALSE)</f>
        <v>30</v>
      </c>
      <c r="D1352" s="30">
        <f>+SUMIFS(PROVEEDORES[Total],PROVEEDORES[PROVEEDOR],PROVEEDORES[[#This Row],[PROVEEDOR]],PROVEEDORES[FECHA DE PAGO],"")</f>
        <v>0</v>
      </c>
      <c r="E1352" s="30"/>
      <c r="F1352" s="73" t="str">
        <f>+VLOOKUP(PROVEEDORES[[#This Row],[PROVEEDOR]],TERCEROS_INFO[[PROVEEDOR]:[CORREO]],5,FALSE)</f>
        <v>ventasmegamundo@yahoo.es;girlesa.ruiz@servipilas.com;joriescobar64@gmail.com</v>
      </c>
      <c r="G1352" s="111">
        <v>44648</v>
      </c>
      <c r="H1352" s="31" t="s">
        <v>574</v>
      </c>
      <c r="I1352" s="111">
        <v>44635</v>
      </c>
      <c r="J1352" s="48" t="s">
        <v>1100</v>
      </c>
      <c r="K1352" s="26">
        <v>-37815.129999999997</v>
      </c>
      <c r="L1352" s="26"/>
      <c r="M1352" s="27">
        <v>-7184.8746999999994</v>
      </c>
      <c r="N1352" s="28"/>
      <c r="O1352" s="27">
        <v>0</v>
      </c>
      <c r="P1352" s="28">
        <v>2.5000000000000001E-2</v>
      </c>
      <c r="Q1352" s="27">
        <v>-945.37824999999998</v>
      </c>
      <c r="R1352" s="26">
        <v>-44054.626449999996</v>
      </c>
      <c r="S1352" s="115">
        <f ca="1">IF(PROVEEDORES[[#This Row],[FECHA DE PAGO]]=0,TODAY()-PROVEEDORES[[#This Row],[FECHA DE FACTURACIÓN]]-PROVEEDORES[[#This Row],[PLAZO Días]],0)</f>
        <v>0</v>
      </c>
      <c r="T135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53" spans="1:20" ht="21.9" customHeight="1" x14ac:dyDescent="0.3">
      <c r="A1353" s="113" t="str">
        <f>+IF(PROVEEDORES[[#This Row],[FECHA DE PAGO]]=PROVEEDORES[[#This Row],[FECHA DE FACTURACIÓN]],"DE CONTADO","CRÉDITO")</f>
        <v>CRÉDITO</v>
      </c>
      <c r="B1353" s="51" t="b">
        <f>+IF((PROVEEDORES[[#This Row],[FECHA DE PAGO]]-PROVEEDORES[[#This Row],[FECHA DE FACTURACIÓN]])&gt;PROVEEDORES[[#This Row],[PLAZO Días]],"PAGO VENCIDO")</f>
        <v>0</v>
      </c>
      <c r="C1353" s="25">
        <f>+VLOOKUP(PROVEEDORES[[#This Row],[PROVEEDOR]],TERCEROS_INFO[#All],2,FALSE)</f>
        <v>30</v>
      </c>
      <c r="D1353" s="30">
        <f>+SUMIFS(PROVEEDORES[Total],PROVEEDORES[PROVEEDOR],PROVEEDORES[[#This Row],[PROVEEDOR]],PROVEEDORES[FECHA DE PAGO],"")</f>
        <v>195500</v>
      </c>
      <c r="E1353" s="30"/>
      <c r="F1353" s="73" t="str">
        <f>+VLOOKUP(PROVEEDORES[[#This Row],[PROVEEDOR]],TERCEROS_INFO[[PROVEEDOR]:[CORREO]],5,FALSE)</f>
        <v/>
      </c>
      <c r="H1353" s="31" t="s">
        <v>1053</v>
      </c>
      <c r="I1353" s="111">
        <v>44635</v>
      </c>
      <c r="J1353" s="48" t="s">
        <v>1130</v>
      </c>
      <c r="K1353" s="26">
        <v>89500</v>
      </c>
      <c r="L1353" s="26"/>
      <c r="M1353" s="27">
        <v>0</v>
      </c>
      <c r="N1353" s="28"/>
      <c r="O1353" s="27">
        <v>0</v>
      </c>
      <c r="P1353" s="28">
        <v>0</v>
      </c>
      <c r="Q1353" s="27">
        <v>0</v>
      </c>
      <c r="R1353" s="26">
        <v>89500</v>
      </c>
      <c r="S1353" s="115">
        <f ca="1">IF(PROVEEDORES[[#This Row],[FECHA DE PAGO]]=0,TODAY()-PROVEEDORES[[#This Row],[FECHA DE FACTURACIÓN]]-PROVEEDORES[[#This Row],[PLAZO Días]],0)</f>
        <v>3</v>
      </c>
      <c r="T1353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54" spans="1:20" ht="21.9" customHeight="1" x14ac:dyDescent="0.3">
      <c r="A1354" s="113" t="str">
        <f>+IF(PROVEEDORES[[#This Row],[FECHA DE PAGO]]=PROVEEDORES[[#This Row],[FECHA DE FACTURACIÓN]],"DE CONTADO","CRÉDITO")</f>
        <v>CRÉDITO</v>
      </c>
      <c r="B1354" s="51" t="b">
        <f>+IF((PROVEEDORES[[#This Row],[FECHA DE PAGO]]-PROVEEDORES[[#This Row],[FECHA DE FACTURACIÓN]])&gt;PROVEEDORES[[#This Row],[PLAZO Días]],"PAGO VENCIDO")</f>
        <v>0</v>
      </c>
      <c r="C1354" s="25">
        <f>+VLOOKUP(PROVEEDORES[[#This Row],[PROVEEDOR]],TERCEROS_INFO[#All],2,FALSE)</f>
        <v>30</v>
      </c>
      <c r="D1354" s="30">
        <f>+SUMIFS(PROVEEDORES[Total],PROVEEDORES[PROVEEDOR],PROVEEDORES[[#This Row],[PROVEEDOR]],PROVEEDORES[FECHA DE PAGO],"")</f>
        <v>0</v>
      </c>
      <c r="E1354" s="30"/>
      <c r="F1354" s="73">
        <f>+VLOOKUP(PROVEEDORES[[#This Row],[PROVEEDOR]],TERCEROS_INFO[[PROVEEDOR]:[CORREO]],5,FALSE)</f>
        <v>0</v>
      </c>
      <c r="G1354" s="111">
        <v>44636</v>
      </c>
      <c r="H1354" s="31" t="s">
        <v>1159</v>
      </c>
      <c r="I1354" s="111">
        <v>44635</v>
      </c>
      <c r="J1354" s="48" t="s">
        <v>1160</v>
      </c>
      <c r="K1354" s="26">
        <v>1573500.6</v>
      </c>
      <c r="L1354" s="26"/>
      <c r="M1354" s="27">
        <v>298965.114</v>
      </c>
      <c r="N1354" s="28"/>
      <c r="O1354" s="27">
        <v>0</v>
      </c>
      <c r="P1354" s="28">
        <v>2.5000000000000001E-2</v>
      </c>
      <c r="Q1354" s="27">
        <v>39337.515000000007</v>
      </c>
      <c r="R1354" s="26">
        <v>1833128.1990000003</v>
      </c>
      <c r="S1354" s="115">
        <f ca="1">IF(PROVEEDORES[[#This Row],[FECHA DE PAGO]]=0,TODAY()-PROVEEDORES[[#This Row],[FECHA DE FACTURACIÓN]]-PROVEEDORES[[#This Row],[PLAZO Días]],0)</f>
        <v>0</v>
      </c>
      <c r="T135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55" spans="1:20" ht="21.9" customHeight="1" x14ac:dyDescent="0.3">
      <c r="A1355" s="113" t="str">
        <f>+IF(PROVEEDORES[[#This Row],[FECHA DE PAGO]]=PROVEEDORES[[#This Row],[FECHA DE FACTURACIÓN]],"DE CONTADO","CRÉDITO")</f>
        <v>CRÉDITO</v>
      </c>
      <c r="B1355" s="51" t="b">
        <f>+IF((PROVEEDORES[[#This Row],[FECHA DE PAGO]]-PROVEEDORES[[#This Row],[FECHA DE FACTURACIÓN]])&gt;PROVEEDORES[[#This Row],[PLAZO Días]],"PAGO VENCIDO")</f>
        <v>0</v>
      </c>
      <c r="C1355" s="25">
        <f>+VLOOKUP(PROVEEDORES[[#This Row],[PROVEEDOR]],TERCEROS_INFO[#All],2,FALSE)</f>
        <v>30</v>
      </c>
      <c r="D1355" s="30">
        <f>+SUMIFS(PROVEEDORES[Total],PROVEEDORES[PROVEEDOR],PROVEEDORES[[#This Row],[PROVEEDOR]],PROVEEDORES[FECHA DE PAGO],"")</f>
        <v>3355018.0749999997</v>
      </c>
      <c r="E1355" s="30"/>
      <c r="F1355" s="73" t="str">
        <f>+VLOOKUP(PROVEEDORES[[#This Row],[PROVEEDOR]],TERCEROS_INFO[[PROVEEDOR]:[CORREO]],5,FALSE)</f>
        <v>yermingg@hotmail.com;girlesa.ruiz@servipilas.com;joriescobar64@gmail.com</v>
      </c>
      <c r="H1355" s="31" t="s">
        <v>224</v>
      </c>
      <c r="I1355" s="111">
        <v>44636</v>
      </c>
      <c r="J1355" s="48">
        <v>544</v>
      </c>
      <c r="K1355" s="26">
        <v>2519329</v>
      </c>
      <c r="L1355" s="26"/>
      <c r="M1355" s="27">
        <v>478672.51</v>
      </c>
      <c r="N1355" s="28"/>
      <c r="O1355" s="27">
        <v>0</v>
      </c>
      <c r="P1355" s="28">
        <v>2.5000000000000001E-2</v>
      </c>
      <c r="Q1355" s="27">
        <v>62983.225000000006</v>
      </c>
      <c r="R1355" s="26">
        <v>2935018.2849999997</v>
      </c>
      <c r="S1355" s="115">
        <f ca="1">IF(PROVEEDORES[[#This Row],[FECHA DE PAGO]]=0,TODAY()-PROVEEDORES[[#This Row],[FECHA DE FACTURACIÓN]]-PROVEEDORES[[#This Row],[PLAZO Días]],0)</f>
        <v>2</v>
      </c>
      <c r="T1355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56" spans="1:20" ht="21.9" customHeight="1" x14ac:dyDescent="0.3">
      <c r="A1356" s="113" t="str">
        <f>+IF(PROVEEDORES[[#This Row],[FECHA DE PAGO]]=PROVEEDORES[[#This Row],[FECHA DE FACTURACIÓN]],"DE CONTADO","CRÉDITO")</f>
        <v>CRÉDITO</v>
      </c>
      <c r="B1356" s="51" t="b">
        <f>+IF((PROVEEDORES[[#This Row],[FECHA DE PAGO]]-PROVEEDORES[[#This Row],[FECHA DE FACTURACIÓN]])&gt;PROVEEDORES[[#This Row],[PLAZO Días]],"PAGO VENCIDO")</f>
        <v>0</v>
      </c>
      <c r="C1356" s="25">
        <f>+VLOOKUP(PROVEEDORES[[#This Row],[PROVEEDOR]],TERCEROS_INFO[#All],2,FALSE)</f>
        <v>30</v>
      </c>
      <c r="D1356" s="30">
        <f>+SUMIFS(PROVEEDORES[Total],PROVEEDORES[PROVEEDOR],PROVEEDORES[[#This Row],[PROVEEDOR]],PROVEEDORES[FECHA DE PAGO],"")</f>
        <v>3400186.8245000001</v>
      </c>
      <c r="E1356" s="30"/>
      <c r="F1356" s="73" t="str">
        <f>+VLOOKUP(PROVEEDORES[[#This Row],[PROVEEDOR]],TERCEROS_INFO[[PROVEEDOR]:[CORREO]],5,FALSE)</f>
        <v>contabilidad@amgimportadora.com;mcastellanos@amgimportadora.com;girlesa.ruiz@servipilas.com;joriescobar64@gmail.com</v>
      </c>
      <c r="H1356" s="31" t="s">
        <v>20</v>
      </c>
      <c r="I1356" s="111">
        <v>44636</v>
      </c>
      <c r="J1356" s="48">
        <v>6577</v>
      </c>
      <c r="K1356" s="26">
        <v>2918615.3</v>
      </c>
      <c r="L1356" s="26"/>
      <c r="M1356" s="27">
        <v>554536.90700000001</v>
      </c>
      <c r="N1356" s="28"/>
      <c r="O1356" s="27">
        <v>0</v>
      </c>
      <c r="P1356" s="28">
        <v>2.5000000000000001E-2</v>
      </c>
      <c r="Q1356" s="27">
        <v>72965.382499999992</v>
      </c>
      <c r="R1356" s="26">
        <v>3400186.8245000001</v>
      </c>
      <c r="S1356" s="115">
        <f ca="1">IF(PROVEEDORES[[#This Row],[FECHA DE PAGO]]=0,TODAY()-PROVEEDORES[[#This Row],[FECHA DE FACTURACIÓN]]-PROVEEDORES[[#This Row],[PLAZO Días]],0)</f>
        <v>2</v>
      </c>
      <c r="T1356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</row>
    <row r="1357" spans="1:20" ht="21.9" customHeight="1" x14ac:dyDescent="0.3">
      <c r="A1357" s="113" t="str">
        <f>+IF(PROVEEDORES[[#This Row],[FECHA DE PAGO]]=PROVEEDORES[[#This Row],[FECHA DE FACTURACIÓN]],"DE CONTADO","CRÉDITO")</f>
        <v>DE CONTADO</v>
      </c>
      <c r="B1357" s="51" t="b">
        <f>+IF((PROVEEDORES[[#This Row],[FECHA DE PAGO]]-PROVEEDORES[[#This Row],[FECHA DE FACTURACIÓN]])&gt;PROVEEDORES[[#This Row],[PLAZO Días]],"PAGO VENCIDO")</f>
        <v>0</v>
      </c>
      <c r="C1357" s="25">
        <f>+VLOOKUP(PROVEEDORES[[#This Row],[PROVEEDOR]],TERCEROS_INFO[#All],2,FALSE)</f>
        <v>30</v>
      </c>
      <c r="D1357" s="30">
        <f>+SUMIFS(PROVEEDORES[Total],PROVEEDORES[PROVEEDOR],PROVEEDORES[[#This Row],[PROVEEDOR]],PROVEEDORES[FECHA DE PAGO],"")</f>
        <v>0</v>
      </c>
      <c r="E1357" s="30"/>
      <c r="F1357" s="73">
        <f>+VLOOKUP(PROVEEDORES[[#This Row],[PROVEEDOR]],TERCEROS_INFO[[PROVEEDOR]:[CORREO]],5,FALSE)</f>
        <v>0</v>
      </c>
      <c r="G1357" s="111">
        <v>44637</v>
      </c>
      <c r="H1357" s="31" t="s">
        <v>1014</v>
      </c>
      <c r="I1357" s="111">
        <v>44637</v>
      </c>
      <c r="J1357" s="48" t="s">
        <v>1015</v>
      </c>
      <c r="K1357" s="26">
        <v>564000</v>
      </c>
      <c r="L1357" s="26"/>
      <c r="M1357" s="27">
        <v>0</v>
      </c>
      <c r="N1357" s="28"/>
      <c r="O1357" s="27">
        <v>0</v>
      </c>
      <c r="P1357" s="28">
        <v>0</v>
      </c>
      <c r="Q1357" s="27">
        <v>0</v>
      </c>
      <c r="R1357" s="26">
        <v>564000</v>
      </c>
      <c r="S1357" s="115">
        <f ca="1">IF(PROVEEDORES[[#This Row],[FECHA DE PAGO]]=0,TODAY()-PROVEEDORES[[#This Row],[FECHA DE FACTURACIÓN]]-PROVEEDORES[[#This Row],[PLAZO Días]],0)</f>
        <v>0</v>
      </c>
      <c r="T135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58" spans="1:20" ht="21.9" customHeight="1" x14ac:dyDescent="0.3">
      <c r="A1358" s="113" t="str">
        <f>+IF(PROVEEDORES[[#This Row],[FECHA DE PAGO]]=PROVEEDORES[[#This Row],[FECHA DE FACTURACIÓN]],"DE CONTADO","CRÉDITO")</f>
        <v>CRÉDITO</v>
      </c>
      <c r="B1358" s="51" t="b">
        <f>+IF((PROVEEDORES[[#This Row],[FECHA DE PAGO]]-PROVEEDORES[[#This Row],[FECHA DE FACTURACIÓN]])&gt;PROVEEDORES[[#This Row],[PLAZO Días]],"PAGO VENCIDO")</f>
        <v>0</v>
      </c>
      <c r="C1358" s="25">
        <f>+VLOOKUP(PROVEEDORES[[#This Row],[PROVEEDOR]],TERCEROS_INFO[#All],2,FALSE)</f>
        <v>30</v>
      </c>
      <c r="D1358" s="30">
        <f>+SUMIFS(PROVEEDORES[Total],PROVEEDORES[PROVEEDOR],PROVEEDORES[[#This Row],[PROVEEDOR]],PROVEEDORES[FECHA DE PAGO],"")</f>
        <v>6482443.1751999995</v>
      </c>
      <c r="E1358" s="30"/>
      <c r="F1358" s="73" t="str">
        <f>+VLOOKUP(PROVEEDORES[[#This Row],[PROVEEDOR]],TERCEROS_INFO[[PROVEEDOR]:[CORREO]],5,FALSE)</f>
        <v>angela.navas@hyrdistribuciones.com;girlesa.ruiz@servipilas.com;joriescobar64@gmail.com</v>
      </c>
      <c r="H1358" s="31" t="s">
        <v>18</v>
      </c>
      <c r="I1358" s="111">
        <v>44638</v>
      </c>
      <c r="J1358" s="48">
        <v>1051239</v>
      </c>
      <c r="K1358" s="26">
        <v>378530.4</v>
      </c>
      <c r="L1358" s="26"/>
      <c r="M1358" s="27">
        <v>71920.775999999998</v>
      </c>
      <c r="N1358" s="28"/>
      <c r="O1358" s="27">
        <v>0</v>
      </c>
      <c r="P1358" s="28">
        <v>0</v>
      </c>
      <c r="Q1358" s="27">
        <v>0</v>
      </c>
      <c r="R1358" s="26">
        <v>450451.17600000004</v>
      </c>
      <c r="S1358" s="115">
        <f ca="1">IF(PROVEEDORES[[#This Row],[FECHA DE PAGO]]=0,TODAY()-PROVEEDORES[[#This Row],[FECHA DE FACTURACIÓN]]-PROVEEDORES[[#This Row],[PLAZO Días]],0)</f>
        <v>0</v>
      </c>
      <c r="T1358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59" spans="1:20" ht="21.9" customHeight="1" x14ac:dyDescent="0.3">
      <c r="A1359" s="113" t="str">
        <f>+IF(PROVEEDORES[[#This Row],[FECHA DE PAGO]]=PROVEEDORES[[#This Row],[FECHA DE FACTURACIÓN]],"DE CONTADO","CRÉDITO")</f>
        <v>CRÉDITO</v>
      </c>
      <c r="B1359" s="51" t="b">
        <f>+IF((PROVEEDORES[[#This Row],[FECHA DE PAGO]]-PROVEEDORES[[#This Row],[FECHA DE FACTURACIÓN]])&gt;PROVEEDORES[[#This Row],[PLAZO Días]],"PAGO VENCIDO")</f>
        <v>0</v>
      </c>
      <c r="C1359" s="25">
        <f>+VLOOKUP(PROVEEDORES[[#This Row],[PROVEEDOR]],TERCEROS_INFO[#All],2,FALSE)</f>
        <v>45</v>
      </c>
      <c r="D1359" s="30">
        <f>+SUMIFS(PROVEEDORES[Total],PROVEEDORES[PROVEEDOR],PROVEEDORES[[#This Row],[PROVEEDOR]],PROVEEDORES[FECHA DE PAGO],"")</f>
        <v>17760678.600000001</v>
      </c>
      <c r="E1359" s="30"/>
      <c r="F1359" s="73" t="str">
        <f>+VLOOKUP(PROVEEDORES[[#This Row],[PROVEEDOR]],TERCEROS_INFO[[PROVEEDOR]:[CORREO]],5,FALSE)</f>
        <v>zully.florez@powest.com;girlesa.ruiz@servipilas.com;joriescobar64@gmail.com</v>
      </c>
      <c r="H1359" s="31" t="s">
        <v>19</v>
      </c>
      <c r="I1359" s="111">
        <v>44638</v>
      </c>
      <c r="J1359" s="48" t="s">
        <v>1129</v>
      </c>
      <c r="K1359" s="26">
        <v>2756160</v>
      </c>
      <c r="L1359" s="26"/>
      <c r="M1359" s="27">
        <v>523670.4</v>
      </c>
      <c r="N1359" s="28"/>
      <c r="O1359" s="27">
        <v>0</v>
      </c>
      <c r="P1359" s="28">
        <v>0</v>
      </c>
      <c r="Q1359" s="27">
        <v>0</v>
      </c>
      <c r="R1359" s="26">
        <v>3279830.4</v>
      </c>
      <c r="S1359" s="115">
        <f ca="1">IF(PROVEEDORES[[#This Row],[FECHA DE PAGO]]=0,TODAY()-PROVEEDORES[[#This Row],[FECHA DE FACTURACIÓN]]-PROVEEDORES[[#This Row],[PLAZO Días]],0)</f>
        <v>-15</v>
      </c>
      <c r="T1359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60" spans="1:20" ht="21.9" customHeight="1" x14ac:dyDescent="0.3">
      <c r="A1360" s="113" t="str">
        <f>+IF(PROVEEDORES[[#This Row],[FECHA DE PAGO]]=PROVEEDORES[[#This Row],[FECHA DE FACTURACIÓN]],"DE CONTADO","CRÉDITO")</f>
        <v>CRÉDITO</v>
      </c>
      <c r="B1360" s="51" t="b">
        <f>+IF((PROVEEDORES[[#This Row],[FECHA DE PAGO]]-PROVEEDORES[[#This Row],[FECHA DE FACTURACIÓN]])&gt;PROVEEDORES[[#This Row],[PLAZO Días]],"PAGO VENCIDO")</f>
        <v>0</v>
      </c>
      <c r="C1360" s="25">
        <f>+VLOOKUP(PROVEEDORES[[#This Row],[PROVEEDOR]],TERCEROS_INFO[#All],2,FALSE)</f>
        <v>45</v>
      </c>
      <c r="D1360" s="30">
        <f>+SUMIFS(PROVEEDORES[Total],PROVEEDORES[PROVEEDOR],PROVEEDORES[[#This Row],[PROVEEDOR]],PROVEEDORES[FECHA DE PAGO],"")</f>
        <v>17760678.600000001</v>
      </c>
      <c r="E1360" s="30"/>
      <c r="F1360" s="73" t="str">
        <f>+VLOOKUP(PROVEEDORES[[#This Row],[PROVEEDOR]],TERCEROS_INFO[[PROVEEDOR]:[CORREO]],5,FALSE)</f>
        <v>zully.florez@powest.com;girlesa.ruiz@servipilas.com;joriescobar64@gmail.com</v>
      </c>
      <c r="H1360" s="31" t="s">
        <v>19</v>
      </c>
      <c r="I1360" s="111">
        <v>44638</v>
      </c>
      <c r="J1360" s="48" t="s">
        <v>1128</v>
      </c>
      <c r="K1360" s="26">
        <v>10665600</v>
      </c>
      <c r="L1360" s="26"/>
      <c r="M1360" s="27">
        <v>2026464</v>
      </c>
      <c r="N1360" s="28"/>
      <c r="O1360" s="27">
        <v>0</v>
      </c>
      <c r="P1360" s="28">
        <v>0</v>
      </c>
      <c r="Q1360" s="27">
        <v>0</v>
      </c>
      <c r="R1360" s="26">
        <v>12692064</v>
      </c>
      <c r="S1360" s="115">
        <f ca="1">IF(PROVEEDORES[[#This Row],[FECHA DE PAGO]]=0,TODAY()-PROVEEDORES[[#This Row],[FECHA DE FACTURACIÓN]]-PROVEEDORES[[#This Row],[PLAZO Días]],0)</f>
        <v>-15</v>
      </c>
      <c r="T1360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61" spans="1:20" ht="21.9" customHeight="1" x14ac:dyDescent="0.3">
      <c r="A1361" s="113" t="str">
        <f>+IF(PROVEEDORES[[#This Row],[FECHA DE PAGO]]=PROVEEDORES[[#This Row],[FECHA DE FACTURACIÓN]],"DE CONTADO","CRÉDITO")</f>
        <v>CRÉDITO</v>
      </c>
      <c r="B1361" s="51" t="b">
        <f>+IF((PROVEEDORES[[#This Row],[FECHA DE PAGO]]-PROVEEDORES[[#This Row],[FECHA DE FACTURACIÓN]])&gt;PROVEEDORES[[#This Row],[PLAZO Días]],"PAGO VENCIDO")</f>
        <v>0</v>
      </c>
      <c r="C1361" s="25">
        <f>+VLOOKUP(PROVEEDORES[[#This Row],[PROVEEDOR]],TERCEROS_INFO[#All],2,FALSE)</f>
        <v>90</v>
      </c>
      <c r="D1361" s="30">
        <f>+SUMIFS(PROVEEDORES[Total],PROVEEDORES[PROVEEDOR],PROVEEDORES[[#This Row],[PROVEEDOR]],PROVEEDORES[FECHA DE PAGO],"")</f>
        <v>24974028.109999996</v>
      </c>
      <c r="E1361" s="30"/>
      <c r="F1361" s="73" t="str">
        <f>+VLOOKUP(PROVEEDORES[[#This Row],[PROVEEDOR]],TERCEROS_INFO[[PROVEEDOR]:[CORREO]],5,FALSE)</f>
        <v>criszapata1234@gmail.com;girlesa.ruiz@servipilas.com;joriescobar64@gmail.com</v>
      </c>
      <c r="H1361" s="31" t="s">
        <v>78</v>
      </c>
      <c r="I1361" s="111">
        <v>44639</v>
      </c>
      <c r="J1361" s="48" t="s">
        <v>1125</v>
      </c>
      <c r="K1361" s="26">
        <v>23357104</v>
      </c>
      <c r="L1361" s="26"/>
      <c r="M1361" s="27">
        <v>4437849.76</v>
      </c>
      <c r="N1361" s="28"/>
      <c r="O1361" s="27">
        <v>0</v>
      </c>
      <c r="P1361" s="28">
        <v>2.5000000000000001E-2</v>
      </c>
      <c r="Q1361" s="27">
        <v>583927.6</v>
      </c>
      <c r="R1361" s="26">
        <v>27211026.159999996</v>
      </c>
      <c r="S1361" s="115">
        <f ca="1">IF(PROVEEDORES[[#This Row],[FECHA DE PAGO]]=0,TODAY()-PROVEEDORES[[#This Row],[FECHA DE FACTURACIÓN]]-PROVEEDORES[[#This Row],[PLAZO Días]],0)</f>
        <v>-61</v>
      </c>
      <c r="T1361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62" spans="1:20" ht="21.9" customHeight="1" x14ac:dyDescent="0.3">
      <c r="A1362" s="113" t="str">
        <f>+IF(PROVEEDORES[[#This Row],[FECHA DE PAGO]]=PROVEEDORES[[#This Row],[FECHA DE FACTURACIÓN]],"DE CONTADO","CRÉDITO")</f>
        <v>CRÉDITO</v>
      </c>
      <c r="B1362" s="51" t="b">
        <f>+IF((PROVEEDORES[[#This Row],[FECHA DE PAGO]]-PROVEEDORES[[#This Row],[FECHA DE FACTURACIÓN]])&gt;PROVEEDORES[[#This Row],[PLAZO Días]],"PAGO VENCIDO")</f>
        <v>0</v>
      </c>
      <c r="C1362" s="25">
        <f>+VLOOKUP(PROVEEDORES[[#This Row],[PROVEEDOR]],TERCEROS_INFO[#All],2,FALSE)</f>
        <v>10</v>
      </c>
      <c r="D1362" s="30">
        <f>+SUMIFS(PROVEEDORES[Total],PROVEEDORES[PROVEEDOR],PROVEEDORES[[#This Row],[PROVEEDOR]],PROVEEDORES[FECHA DE PAGO],"")</f>
        <v>0</v>
      </c>
      <c r="E1362" s="30"/>
      <c r="F1362" s="73" t="str">
        <f>+VLOOKUP(PROVEEDORES[[#This Row],[PROVEEDOR]],TERCEROS_INFO[[PROVEEDOR]:[CORREO]],5,FALSE)</f>
        <v/>
      </c>
      <c r="G1362" s="111">
        <v>44649</v>
      </c>
      <c r="H1362" s="31" t="s">
        <v>23</v>
      </c>
      <c r="I1362" s="111">
        <v>44640</v>
      </c>
      <c r="J1362" s="48">
        <v>289692</v>
      </c>
      <c r="K1362" s="26">
        <v>17000987.710000001</v>
      </c>
      <c r="L1362" s="26"/>
      <c r="M1362" s="27">
        <v>0</v>
      </c>
      <c r="N1362" s="28"/>
      <c r="O1362" s="27">
        <v>0</v>
      </c>
      <c r="P1362" s="28">
        <v>0</v>
      </c>
      <c r="Q1362" s="27">
        <v>0</v>
      </c>
      <c r="R1362" s="26">
        <v>17000987.710000001</v>
      </c>
      <c r="S1362" s="115">
        <f ca="1">IF(PROVEEDORES[[#This Row],[FECHA DE PAGO]]=0,TODAY()-PROVEEDORES[[#This Row],[FECHA DE FACTURACIÓN]]-PROVEEDORES[[#This Row],[PLAZO Días]],0)</f>
        <v>0</v>
      </c>
      <c r="T136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3" spans="1:20" ht="21.9" customHeight="1" x14ac:dyDescent="0.3">
      <c r="A1363" s="113" t="str">
        <f>+IF(PROVEEDORES[[#This Row],[FECHA DE PAGO]]=PROVEEDORES[[#This Row],[FECHA DE FACTURACIÓN]],"DE CONTADO","CRÉDITO")</f>
        <v>CRÉDITO</v>
      </c>
      <c r="B1363" s="51" t="b">
        <f>+IF((PROVEEDORES[[#This Row],[FECHA DE PAGO]]-PROVEEDORES[[#This Row],[FECHA DE FACTURACIÓN]])&gt;PROVEEDORES[[#This Row],[PLAZO Días]],"PAGO VENCIDO")</f>
        <v>0</v>
      </c>
      <c r="C1363" s="25">
        <f>+VLOOKUP(PROVEEDORES[[#This Row],[PROVEEDOR]],TERCEROS_INFO[#All],2,FALSE)</f>
        <v>30</v>
      </c>
      <c r="D1363" s="30">
        <f>+SUMIFS(PROVEEDORES[Total],PROVEEDORES[PROVEEDOR],PROVEEDORES[[#This Row],[PROVEEDOR]],PROVEEDORES[FECHA DE PAGO],"")</f>
        <v>0</v>
      </c>
      <c r="E1363" s="30"/>
      <c r="F1363" s="73" t="str">
        <f>+VLOOKUP(PROVEEDORES[[#This Row],[PROVEEDOR]],TERCEROS_INFO[[PROVEEDOR]:[CORREO]],5,FALSE)</f>
        <v>oswaldo.alvarez@logimexsas.com;girlesa.ruiz@servipilas.com;joriescobar64@gmail.com</v>
      </c>
      <c r="G1363" s="111">
        <v>44643</v>
      </c>
      <c r="H1363" s="31" t="s">
        <v>120</v>
      </c>
      <c r="I1363" s="111">
        <v>44641</v>
      </c>
      <c r="J1363" s="48" t="s">
        <v>1139</v>
      </c>
      <c r="K1363" s="26">
        <v>1793000</v>
      </c>
      <c r="L1363" s="26"/>
      <c r="M1363" s="27">
        <v>0</v>
      </c>
      <c r="N1363" s="28"/>
      <c r="O1363" s="27">
        <v>0</v>
      </c>
      <c r="P1363" s="28">
        <v>0</v>
      </c>
      <c r="Q1363" s="27">
        <v>0</v>
      </c>
      <c r="R1363" s="26">
        <v>1793000</v>
      </c>
      <c r="S1363" s="115">
        <f ca="1">IF(PROVEEDORES[[#This Row],[FECHA DE PAGO]]=0,TODAY()-PROVEEDORES[[#This Row],[FECHA DE FACTURACIÓN]]-PROVEEDORES[[#This Row],[PLAZO Días]],0)</f>
        <v>0</v>
      </c>
      <c r="T136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4" spans="1:20" ht="21.9" customHeight="1" x14ac:dyDescent="0.3">
      <c r="A1364" s="113" t="str">
        <f>+IF(PROVEEDORES[[#This Row],[FECHA DE PAGO]]=PROVEEDORES[[#This Row],[FECHA DE FACTURACIÓN]],"DE CONTADO","CRÉDITO")</f>
        <v>CRÉDITO</v>
      </c>
      <c r="B1364" s="51" t="b">
        <f>+IF((PROVEEDORES[[#This Row],[FECHA DE PAGO]]-PROVEEDORES[[#This Row],[FECHA DE FACTURACIÓN]])&gt;PROVEEDORES[[#This Row],[PLAZO Días]],"PAGO VENCIDO")</f>
        <v>0</v>
      </c>
      <c r="C1364" s="25">
        <f>+VLOOKUP(PROVEEDORES[[#This Row],[PROVEEDOR]],TERCEROS_INFO[#All],2,FALSE)</f>
        <v>30</v>
      </c>
      <c r="D1364" s="30">
        <f>+SUMIFS(PROVEEDORES[Total],PROVEEDORES[PROVEEDOR],PROVEEDORES[[#This Row],[PROVEEDOR]],PROVEEDORES[FECHA DE PAGO],"")</f>
        <v>0</v>
      </c>
      <c r="E1364" s="30"/>
      <c r="F1364" s="73" t="str">
        <f>+VLOOKUP(PROVEEDORES[[#This Row],[PROVEEDOR]],TERCEROS_INFO[[PROVEEDOR]:[CORREO]],5,FALSE)</f>
        <v/>
      </c>
      <c r="G1364" s="111">
        <v>44643</v>
      </c>
      <c r="H1364" s="31" t="s">
        <v>56</v>
      </c>
      <c r="I1364" s="111">
        <v>44641</v>
      </c>
      <c r="J1364" s="48">
        <v>56143</v>
      </c>
      <c r="K1364" s="26">
        <v>10531000</v>
      </c>
      <c r="L1364" s="26"/>
      <c r="M1364" s="27">
        <v>0</v>
      </c>
      <c r="N1364" s="28"/>
      <c r="O1364" s="27">
        <v>0</v>
      </c>
      <c r="P1364" s="28">
        <v>0</v>
      </c>
      <c r="Q1364" s="27">
        <v>0</v>
      </c>
      <c r="R1364" s="26">
        <v>10531000</v>
      </c>
      <c r="S1364" s="115">
        <f ca="1">IF(PROVEEDORES[[#This Row],[FECHA DE PAGO]]=0,TODAY()-PROVEEDORES[[#This Row],[FECHA DE FACTURACIÓN]]-PROVEEDORES[[#This Row],[PLAZO Días]],0)</f>
        <v>0</v>
      </c>
      <c r="T136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5" spans="1:20" ht="21.9" customHeight="1" x14ac:dyDescent="0.3">
      <c r="A1365" s="113" t="str">
        <f>+IF(PROVEEDORES[[#This Row],[FECHA DE PAGO]]=PROVEEDORES[[#This Row],[FECHA DE FACTURACIÓN]],"DE CONTADO","CRÉDITO")</f>
        <v>CRÉDITO</v>
      </c>
      <c r="B1365" s="51" t="b">
        <f>+IF((PROVEEDORES[[#This Row],[FECHA DE PAGO]]-PROVEEDORES[[#This Row],[FECHA DE FACTURACIÓN]])&gt;PROVEEDORES[[#This Row],[PLAZO Días]],"PAGO VENCIDO")</f>
        <v>0</v>
      </c>
      <c r="C1365" s="25">
        <f>+VLOOKUP(PROVEEDORES[[#This Row],[PROVEEDOR]],TERCEROS_INFO[#All],2,FALSE)</f>
        <v>30</v>
      </c>
      <c r="D1365" s="30">
        <f>+SUMIFS(PROVEEDORES[Total],PROVEEDORES[PROVEEDOR],PROVEEDORES[[#This Row],[PROVEEDOR]],PROVEEDORES[FECHA DE PAGO],"")</f>
        <v>0</v>
      </c>
      <c r="E1365" s="30"/>
      <c r="F1365" s="73" t="str">
        <f>+VLOOKUP(PROVEEDORES[[#This Row],[PROVEEDOR]],TERCEROS_INFO[[PROVEEDOR]:[CORREO]],5,FALSE)</f>
        <v/>
      </c>
      <c r="G1365" s="111">
        <v>44643</v>
      </c>
      <c r="H1365" s="31" t="s">
        <v>1007</v>
      </c>
      <c r="I1365" s="111">
        <v>44642</v>
      </c>
      <c r="J1365" s="48" t="s">
        <v>1012</v>
      </c>
      <c r="K1365" s="26">
        <v>4891000</v>
      </c>
      <c r="L1365" s="26"/>
      <c r="M1365" s="27">
        <v>0</v>
      </c>
      <c r="N1365" s="28"/>
      <c r="O1365" s="27">
        <v>0</v>
      </c>
      <c r="P1365" s="28">
        <v>0</v>
      </c>
      <c r="Q1365" s="27">
        <v>0</v>
      </c>
      <c r="R1365" s="26">
        <v>4891000</v>
      </c>
      <c r="S1365" s="115">
        <f ca="1">IF(PROVEEDORES[[#This Row],[FECHA DE PAGO]]=0,TODAY()-PROVEEDORES[[#This Row],[FECHA DE FACTURACIÓN]]-PROVEEDORES[[#This Row],[PLAZO Días]],0)</f>
        <v>0</v>
      </c>
      <c r="T136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6" spans="1:20" ht="21.9" customHeight="1" x14ac:dyDescent="0.3">
      <c r="A1366" s="113" t="str">
        <f>+IF(PROVEEDORES[[#This Row],[FECHA DE PAGO]]=PROVEEDORES[[#This Row],[FECHA DE FACTURACIÓN]],"DE CONTADO","CRÉDITO")</f>
        <v>DE CONTADO</v>
      </c>
      <c r="B1366" s="51" t="b">
        <f>+IF((PROVEEDORES[[#This Row],[FECHA DE PAGO]]-PROVEEDORES[[#This Row],[FECHA DE FACTURACIÓN]])&gt;PROVEEDORES[[#This Row],[PLAZO Días]],"PAGO VENCIDO")</f>
        <v>0</v>
      </c>
      <c r="C1366" s="25">
        <f>+VLOOKUP(PROVEEDORES[[#This Row],[PROVEEDOR]],TERCEROS_INFO[#All],2,FALSE)</f>
        <v>30</v>
      </c>
      <c r="D1366" s="30">
        <f>+SUMIFS(PROVEEDORES[Total],PROVEEDORES[PROVEEDOR],PROVEEDORES[[#This Row],[PROVEEDOR]],PROVEEDORES[FECHA DE PAGO],"")</f>
        <v>0</v>
      </c>
      <c r="E1366" s="30"/>
      <c r="F1366" s="73" t="str">
        <f>+VLOOKUP(PROVEEDORES[[#This Row],[PROVEEDOR]],TERCEROS_INFO[[PROVEEDOR]:[CORREO]],5,FALSE)</f>
        <v/>
      </c>
      <c r="G1366" s="111">
        <v>44643</v>
      </c>
      <c r="H1366" s="31" t="s">
        <v>1037</v>
      </c>
      <c r="I1366" s="111">
        <v>44643</v>
      </c>
      <c r="J1366" s="48" t="s">
        <v>1041</v>
      </c>
      <c r="K1366" s="26">
        <v>240000</v>
      </c>
      <c r="L1366" s="26"/>
      <c r="M1366" s="27">
        <v>0</v>
      </c>
      <c r="N1366" s="28"/>
      <c r="O1366" s="27">
        <v>0</v>
      </c>
      <c r="P1366" s="28">
        <v>0</v>
      </c>
      <c r="Q1366" s="27">
        <v>0</v>
      </c>
      <c r="R1366" s="26">
        <v>240000</v>
      </c>
      <c r="S1366" s="115">
        <f ca="1">IF(PROVEEDORES[[#This Row],[FECHA DE PAGO]]=0,TODAY()-PROVEEDORES[[#This Row],[FECHA DE FACTURACIÓN]]-PROVEEDORES[[#This Row],[PLAZO Días]],0)</f>
        <v>0</v>
      </c>
      <c r="T136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7" spans="1:20" ht="21.9" customHeight="1" x14ac:dyDescent="0.3">
      <c r="A1367" s="113" t="str">
        <f>+IF(PROVEEDORES[[#This Row],[FECHA DE PAGO]]=PROVEEDORES[[#This Row],[FECHA DE FACTURACIÓN]],"DE CONTADO","CRÉDITO")</f>
        <v>CRÉDITO</v>
      </c>
      <c r="B1367" s="51" t="b">
        <f>+IF((PROVEEDORES[[#This Row],[FECHA DE PAGO]]-PROVEEDORES[[#This Row],[FECHA DE FACTURACIÓN]])&gt;PROVEEDORES[[#This Row],[PLAZO Días]],"PAGO VENCIDO")</f>
        <v>0</v>
      </c>
      <c r="C1367" s="25">
        <f>+VLOOKUP(PROVEEDORES[[#This Row],[PROVEEDOR]],TERCEROS_INFO[#All],2,FALSE)</f>
        <v>30</v>
      </c>
      <c r="D1367" s="30">
        <f>+SUMIFS(PROVEEDORES[Total],PROVEEDORES[PROVEEDOR],PROVEEDORES[[#This Row],[PROVEEDOR]],PROVEEDORES[FECHA DE PAGO],"")</f>
        <v>0</v>
      </c>
      <c r="E1367" s="30"/>
      <c r="F1367" s="73" t="str">
        <f>+VLOOKUP(PROVEEDORES[[#This Row],[PROVEEDOR]],TERCEROS_INFO[[PROVEEDOR]:[CORREO]],5,FALSE)</f>
        <v/>
      </c>
      <c r="G1367" s="111">
        <v>44644</v>
      </c>
      <c r="H1367" s="31" t="s">
        <v>1007</v>
      </c>
      <c r="I1367" s="111">
        <v>44643</v>
      </c>
      <c r="J1367" s="48" t="s">
        <v>1124</v>
      </c>
      <c r="K1367" s="26">
        <v>425600</v>
      </c>
      <c r="L1367" s="26"/>
      <c r="M1367" s="27">
        <v>0</v>
      </c>
      <c r="N1367" s="28"/>
      <c r="O1367" s="27">
        <v>0</v>
      </c>
      <c r="P1367" s="28">
        <v>0</v>
      </c>
      <c r="Q1367" s="27">
        <v>0</v>
      </c>
      <c r="R1367" s="26">
        <v>425600</v>
      </c>
      <c r="S1367" s="115">
        <f ca="1">IF(PROVEEDORES[[#This Row],[FECHA DE PAGO]]=0,TODAY()-PROVEEDORES[[#This Row],[FECHA DE FACTURACIÓN]]-PROVEEDORES[[#This Row],[PLAZO Días]],0)</f>
        <v>0</v>
      </c>
      <c r="T136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8" spans="1:20" ht="21.9" customHeight="1" x14ac:dyDescent="0.3">
      <c r="A1368" s="113" t="str">
        <f>+IF(PROVEEDORES[[#This Row],[FECHA DE PAGO]]=PROVEEDORES[[#This Row],[FECHA DE FACTURACIÓN]],"DE CONTADO","CRÉDITO")</f>
        <v>DE CONTADO</v>
      </c>
      <c r="B1368" s="51" t="b">
        <f>+IF((PROVEEDORES[[#This Row],[FECHA DE PAGO]]-PROVEEDORES[[#This Row],[FECHA DE FACTURACIÓN]])&gt;PROVEEDORES[[#This Row],[PLAZO Días]],"PAGO VENCIDO")</f>
        <v>0</v>
      </c>
      <c r="C1368" s="25">
        <f>+VLOOKUP(PROVEEDORES[[#This Row],[PROVEEDOR]],TERCEROS_INFO[#All],2,FALSE)</f>
        <v>30</v>
      </c>
      <c r="D1368" s="30">
        <f>+SUMIFS(PROVEEDORES[Total],PROVEEDORES[PROVEEDOR],PROVEEDORES[[#This Row],[PROVEEDOR]],PROVEEDORES[FECHA DE PAGO],"")</f>
        <v>0</v>
      </c>
      <c r="E1368" s="30"/>
      <c r="F1368" s="73">
        <f>+VLOOKUP(PROVEEDORES[[#This Row],[PROVEEDOR]],TERCEROS_INFO[[PROVEEDOR]:[CORREO]],5,FALSE)</f>
        <v>0</v>
      </c>
      <c r="G1368" s="111">
        <v>44644</v>
      </c>
      <c r="H1368" s="31" t="s">
        <v>1014</v>
      </c>
      <c r="I1368" s="111">
        <v>44644</v>
      </c>
      <c r="J1368" s="48">
        <v>101134</v>
      </c>
      <c r="K1368" s="26">
        <v>255000</v>
      </c>
      <c r="L1368" s="26"/>
      <c r="M1368" s="27">
        <v>0</v>
      </c>
      <c r="N1368" s="28"/>
      <c r="O1368" s="27">
        <v>0</v>
      </c>
      <c r="P1368" s="28">
        <v>0</v>
      </c>
      <c r="Q1368" s="27">
        <v>0</v>
      </c>
      <c r="R1368" s="26">
        <v>255000</v>
      </c>
      <c r="S1368" s="115">
        <f ca="1">IF(PROVEEDORES[[#This Row],[FECHA DE PAGO]]=0,TODAY()-PROVEEDORES[[#This Row],[FECHA DE FACTURACIÓN]]-PROVEEDORES[[#This Row],[PLAZO Días]],0)</f>
        <v>0</v>
      </c>
      <c r="T136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69" spans="1:20" ht="21.9" customHeight="1" x14ac:dyDescent="0.3">
      <c r="A1369" s="113" t="str">
        <f>+IF(PROVEEDORES[[#This Row],[FECHA DE PAGO]]=PROVEEDORES[[#This Row],[FECHA DE FACTURACIÓN]],"DE CONTADO","CRÉDITO")</f>
        <v>CRÉDITO</v>
      </c>
      <c r="B1369" s="51" t="b">
        <f>+IF((PROVEEDORES[[#This Row],[FECHA DE PAGO]]-PROVEEDORES[[#This Row],[FECHA DE FACTURACIÓN]])&gt;PROVEEDORES[[#This Row],[PLAZO Días]],"PAGO VENCIDO")</f>
        <v>0</v>
      </c>
      <c r="C1369" s="25">
        <f>+VLOOKUP(PROVEEDORES[[#This Row],[PROVEEDOR]],TERCEROS_INFO[#All],2,FALSE)</f>
        <v>30</v>
      </c>
      <c r="D1369" s="30">
        <f>+SUMIFS(PROVEEDORES[Total],PROVEEDORES[PROVEEDOR],PROVEEDORES[[#This Row],[PROVEEDOR]],PROVEEDORES[FECHA DE PAGO],"")</f>
        <v>4078650.6</v>
      </c>
      <c r="E1369" s="30"/>
      <c r="F1369" s="73" t="str">
        <f>+VLOOKUP(PROVEEDORES[[#This Row],[PROVEEDOR]],TERCEROS_INFO[[PROVEEDOR]:[CORREO]],5,FALSE)</f>
        <v>financiera@nalpicentral.com;girlesa.ruiz@servipilas.com;joriescobar64@gmail.com</v>
      </c>
      <c r="H1369" s="31" t="s">
        <v>1095</v>
      </c>
      <c r="I1369" s="111">
        <v>44644</v>
      </c>
      <c r="J1369" s="48">
        <v>25131</v>
      </c>
      <c r="K1369" s="26">
        <v>297600</v>
      </c>
      <c r="L1369" s="26">
        <v>29760</v>
      </c>
      <c r="M1369" s="27">
        <v>50889.599999999999</v>
      </c>
      <c r="N1369" s="28"/>
      <c r="O1369" s="27">
        <v>0</v>
      </c>
      <c r="P1369" s="28">
        <v>0</v>
      </c>
      <c r="Q1369" s="27">
        <v>0</v>
      </c>
      <c r="R1369" s="26">
        <v>318729.59999999998</v>
      </c>
      <c r="S1369" s="115">
        <f ca="1">IF(PROVEEDORES[[#This Row],[FECHA DE PAGO]]=0,TODAY()-PROVEEDORES[[#This Row],[FECHA DE FACTURACIÓN]]-PROVEEDORES[[#This Row],[PLAZO Días]],0)</f>
        <v>-6</v>
      </c>
      <c r="T1369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70" spans="1:20" ht="21.9" customHeight="1" x14ac:dyDescent="0.3">
      <c r="A1370" s="113" t="str">
        <f>+IF(PROVEEDORES[[#This Row],[FECHA DE PAGO]]=PROVEEDORES[[#This Row],[FECHA DE FACTURACIÓN]],"DE CONTADO","CRÉDITO")</f>
        <v>CRÉDITO</v>
      </c>
      <c r="B1370" s="51" t="b">
        <f>+IF((PROVEEDORES[[#This Row],[FECHA DE PAGO]]-PROVEEDORES[[#This Row],[FECHA DE FACTURACIÓN]])&gt;PROVEEDORES[[#This Row],[PLAZO Días]],"PAGO VENCIDO")</f>
        <v>0</v>
      </c>
      <c r="C1370" s="25">
        <f>+VLOOKUP(PROVEEDORES[[#This Row],[PROVEEDOR]],TERCEROS_INFO[#All],2,FALSE)</f>
        <v>30</v>
      </c>
      <c r="D1370" s="30">
        <f>+SUMIFS(PROVEEDORES[Total],PROVEEDORES[PROVEEDOR],PROVEEDORES[[#This Row],[PROVEEDOR]],PROVEEDORES[FECHA DE PAGO],"")</f>
        <v>1645000</v>
      </c>
      <c r="E1370" s="30"/>
      <c r="F1370" s="73" t="str">
        <f>+VLOOKUP(PROVEEDORES[[#This Row],[PROVEEDOR]],TERCEROS_INFO[[PROVEEDOR]:[CORREO]],5,FALSE)</f>
        <v/>
      </c>
      <c r="H1370" s="31" t="s">
        <v>1070</v>
      </c>
      <c r="I1370" s="111">
        <v>44644</v>
      </c>
      <c r="J1370" s="48" t="s">
        <v>1122</v>
      </c>
      <c r="K1370" s="26">
        <v>1645000</v>
      </c>
      <c r="L1370" s="26"/>
      <c r="M1370" s="27">
        <v>0</v>
      </c>
      <c r="N1370" s="28"/>
      <c r="O1370" s="27">
        <v>0</v>
      </c>
      <c r="P1370" s="28">
        <v>0</v>
      </c>
      <c r="Q1370" s="27">
        <v>0</v>
      </c>
      <c r="R1370" s="26">
        <v>1645000</v>
      </c>
      <c r="S1370" s="115">
        <f ca="1">IF(PROVEEDORES[[#This Row],[FECHA DE PAGO]]=0,TODAY()-PROVEEDORES[[#This Row],[FECHA DE FACTURACIÓN]]-PROVEEDORES[[#This Row],[PLAZO Días]],0)</f>
        <v>-6</v>
      </c>
      <c r="T1370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71" spans="1:20" ht="21.9" customHeight="1" x14ac:dyDescent="0.3">
      <c r="A1371" s="113" t="str">
        <f>+IF(PROVEEDORES[[#This Row],[FECHA DE PAGO]]=PROVEEDORES[[#This Row],[FECHA DE FACTURACIÓN]],"DE CONTADO","CRÉDITO")</f>
        <v>CRÉDITO</v>
      </c>
      <c r="B1371" s="51" t="b">
        <f>+IF((PROVEEDORES[[#This Row],[FECHA DE PAGO]]-PROVEEDORES[[#This Row],[FECHA DE FACTURACIÓN]])&gt;PROVEEDORES[[#This Row],[PLAZO Días]],"PAGO VENCIDO")</f>
        <v>0</v>
      </c>
      <c r="C1371" s="25">
        <f>+VLOOKUP(PROVEEDORES[[#This Row],[PROVEEDOR]],TERCEROS_INFO[#All],2,FALSE)</f>
        <v>30</v>
      </c>
      <c r="D1371" s="30">
        <f>+SUMIFS(PROVEEDORES[Total],PROVEEDORES[PROVEEDOR],PROVEEDORES[[#This Row],[PROVEEDOR]],PROVEEDORES[FECHA DE PAGO],"")</f>
        <v>195500</v>
      </c>
      <c r="E1371" s="30"/>
      <c r="F1371" s="73" t="str">
        <f>+VLOOKUP(PROVEEDORES[[#This Row],[PROVEEDOR]],TERCEROS_INFO[[PROVEEDOR]:[CORREO]],5,FALSE)</f>
        <v/>
      </c>
      <c r="H1371" s="31" t="s">
        <v>1053</v>
      </c>
      <c r="I1371" s="111">
        <v>44645</v>
      </c>
      <c r="J1371" s="48" t="s">
        <v>1115</v>
      </c>
      <c r="K1371" s="26">
        <v>106000</v>
      </c>
      <c r="L1371" s="26"/>
      <c r="M1371" s="27">
        <v>0</v>
      </c>
      <c r="N1371" s="28"/>
      <c r="O1371" s="27">
        <v>0</v>
      </c>
      <c r="P1371" s="28">
        <v>0</v>
      </c>
      <c r="Q1371" s="27">
        <v>0</v>
      </c>
      <c r="R1371" s="26">
        <v>106000</v>
      </c>
      <c r="S1371" s="115">
        <f ca="1">IF(PROVEEDORES[[#This Row],[FECHA DE PAGO]]=0,TODAY()-PROVEEDORES[[#This Row],[FECHA DE FACTURACIÓN]]-PROVEEDORES[[#This Row],[PLAZO Días]],0)</f>
        <v>-7</v>
      </c>
      <c r="T1371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72" spans="1:20" ht="21.9" customHeight="1" x14ac:dyDescent="0.3">
      <c r="A1372" s="113" t="str">
        <f>+IF(PROVEEDORES[[#This Row],[FECHA DE PAGO]]=PROVEEDORES[[#This Row],[FECHA DE FACTURACIÓN]],"DE CONTADO","CRÉDITO")</f>
        <v>CRÉDITO</v>
      </c>
      <c r="B1372" s="51" t="b">
        <f>+IF((PROVEEDORES[[#This Row],[FECHA DE PAGO]]-PROVEEDORES[[#This Row],[FECHA DE FACTURACIÓN]])&gt;PROVEEDORES[[#This Row],[PLAZO Días]],"PAGO VENCIDO")</f>
        <v>0</v>
      </c>
      <c r="C1372" s="25">
        <f>+VLOOKUP(PROVEEDORES[[#This Row],[PROVEEDOR]],TERCEROS_INFO[#All],2,FALSE)</f>
        <v>30</v>
      </c>
      <c r="D1372" s="30">
        <f>+SUMIFS(PROVEEDORES[Total],PROVEEDORES[PROVEEDOR],PROVEEDORES[[#This Row],[PROVEEDOR]],PROVEEDORES[FECHA DE PAGO],"")</f>
        <v>6482443.1751999995</v>
      </c>
      <c r="E1372" s="30"/>
      <c r="F1372" s="73" t="str">
        <f>+VLOOKUP(PROVEEDORES[[#This Row],[PROVEEDOR]],TERCEROS_INFO[[PROVEEDOR]:[CORREO]],5,FALSE)</f>
        <v>angela.navas@hyrdistribuciones.com;girlesa.ruiz@servipilas.com;joriescobar64@gmail.com</v>
      </c>
      <c r="H1372" s="31" t="s">
        <v>18</v>
      </c>
      <c r="I1372" s="111">
        <v>44645</v>
      </c>
      <c r="J1372" s="48">
        <v>1051505</v>
      </c>
      <c r="K1372" s="26">
        <v>713143.68</v>
      </c>
      <c r="L1372" s="26"/>
      <c r="M1372" s="27">
        <v>135497.29920000001</v>
      </c>
      <c r="N1372" s="28"/>
      <c r="O1372" s="27">
        <v>0</v>
      </c>
      <c r="P1372" s="28">
        <v>0</v>
      </c>
      <c r="Q1372" s="27">
        <v>0</v>
      </c>
      <c r="R1372" s="26">
        <v>848640.97920000006</v>
      </c>
      <c r="S1372" s="115">
        <f ca="1">IF(PROVEEDORES[[#This Row],[FECHA DE PAGO]]=0,TODAY()-PROVEEDORES[[#This Row],[FECHA DE FACTURACIÓN]]-PROVEEDORES[[#This Row],[PLAZO Días]],0)</f>
        <v>-7</v>
      </c>
      <c r="T1372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73" spans="1:20" ht="21.9" customHeight="1" x14ac:dyDescent="0.3">
      <c r="A1373" s="113" t="str">
        <f>+IF(PROVEEDORES[[#This Row],[FECHA DE PAGO]]=PROVEEDORES[[#This Row],[FECHA DE FACTURACIÓN]],"DE CONTADO","CRÉDITO")</f>
        <v>CRÉDITO</v>
      </c>
      <c r="B1373" s="51" t="b">
        <f>+IF((PROVEEDORES[[#This Row],[FECHA DE PAGO]]-PROVEEDORES[[#This Row],[FECHA DE FACTURACIÓN]])&gt;PROVEEDORES[[#This Row],[PLAZO Días]],"PAGO VENCIDO")</f>
        <v>0</v>
      </c>
      <c r="C1373" s="25">
        <f>+VLOOKUP(PROVEEDORES[[#This Row],[PROVEEDOR]],TERCEROS_INFO[#All],2,FALSE)</f>
        <v>30</v>
      </c>
      <c r="D1373" s="30">
        <f>+SUMIFS(PROVEEDORES[Total],PROVEEDORES[PROVEEDOR],PROVEEDORES[[#This Row],[PROVEEDOR]],PROVEEDORES[FECHA DE PAGO],"")</f>
        <v>1741040.075</v>
      </c>
      <c r="E1373" s="30"/>
      <c r="F1373" s="73" t="str">
        <f>+VLOOKUP(PROVEEDORES[[#This Row],[PROVEEDOR]],TERCEROS_INFO[[PROVEEDOR]:[CORREO]],5,FALSE)</f>
        <v>sfonnegra@nanicastation.com.co;facturas@nanicastation.com.co;girlesa.ruiz@servipilas.com;joriescobar64@gmail.com</v>
      </c>
      <c r="H1373" s="31" t="s">
        <v>570</v>
      </c>
      <c r="I1373" s="111">
        <v>44646</v>
      </c>
      <c r="J1373" s="48" t="s">
        <v>1114</v>
      </c>
      <c r="K1373" s="26">
        <v>1494455</v>
      </c>
      <c r="L1373" s="26"/>
      <c r="M1373" s="27">
        <v>283946.45</v>
      </c>
      <c r="N1373" s="28"/>
      <c r="O1373" s="27">
        <v>0</v>
      </c>
      <c r="P1373" s="28">
        <v>2.5000000000000001E-2</v>
      </c>
      <c r="Q1373" s="27">
        <v>37361.375</v>
      </c>
      <c r="R1373" s="26">
        <v>1741040.075</v>
      </c>
      <c r="S1373" s="115">
        <f ca="1">IF(PROVEEDORES[[#This Row],[FECHA DE PAGO]]=0,TODAY()-PROVEEDORES[[#This Row],[FECHA DE FACTURACIÓN]]-PROVEEDORES[[#This Row],[PLAZO Días]],0)</f>
        <v>-8</v>
      </c>
      <c r="T1373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74" spans="1:20" ht="21.9" customHeight="1" x14ac:dyDescent="0.3">
      <c r="A1374" s="113" t="str">
        <f>+IF(PROVEEDORES[[#This Row],[FECHA DE PAGO]]=PROVEEDORES[[#This Row],[FECHA DE FACTURACIÓN]],"DE CONTADO","CRÉDITO")</f>
        <v>CRÉDITO</v>
      </c>
      <c r="B1374" s="51" t="b">
        <f>+IF((PROVEEDORES[[#This Row],[FECHA DE PAGO]]-PROVEEDORES[[#This Row],[FECHA DE FACTURACIÓN]])&gt;PROVEEDORES[[#This Row],[PLAZO Días]],"PAGO VENCIDO")</f>
        <v>0</v>
      </c>
      <c r="C1374" s="25">
        <f>+VLOOKUP(PROVEEDORES[[#This Row],[PROVEEDOR]],TERCEROS_INFO[#All],2,FALSE)</f>
        <v>30</v>
      </c>
      <c r="D1374" s="30">
        <f>+SUMIFS(PROVEEDORES[Total],PROVEEDORES[PROVEEDOR],PROVEEDORES[[#This Row],[PROVEEDOR]],PROVEEDORES[FECHA DE PAGO],"")</f>
        <v>3355018.0749999997</v>
      </c>
      <c r="E1374" s="30"/>
      <c r="F1374" s="73" t="str">
        <f>+VLOOKUP(PROVEEDORES[[#This Row],[PROVEEDOR]],TERCEROS_INFO[[PROVEEDOR]:[CORREO]],5,FALSE)</f>
        <v>yermingg@hotmail.com;girlesa.ruiz@servipilas.com;joriescobar64@gmail.com</v>
      </c>
      <c r="H1374" s="31" t="s">
        <v>224</v>
      </c>
      <c r="I1374" s="111">
        <v>44648</v>
      </c>
      <c r="J1374" s="48">
        <v>556</v>
      </c>
      <c r="K1374" s="26">
        <v>352941</v>
      </c>
      <c r="L1374" s="26"/>
      <c r="M1374" s="27">
        <v>67058.789999999994</v>
      </c>
      <c r="N1374" s="28"/>
      <c r="O1374" s="27">
        <v>0</v>
      </c>
      <c r="P1374" s="28">
        <v>0</v>
      </c>
      <c r="Q1374" s="27">
        <v>0</v>
      </c>
      <c r="R1374" s="26">
        <v>419999.79</v>
      </c>
      <c r="S1374" s="115">
        <f ca="1">IF(PROVEEDORES[[#This Row],[FECHA DE PAGO]]=0,TODAY()-PROVEEDORES[[#This Row],[FECHA DE FACTURACIÓN]]-PROVEEDORES[[#This Row],[PLAZO Días]],0)</f>
        <v>-10</v>
      </c>
      <c r="T1374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75" spans="1:20" ht="21.9" customHeight="1" x14ac:dyDescent="0.3">
      <c r="A1375" s="113" t="str">
        <f>+IF(PROVEEDORES[[#This Row],[FECHA DE PAGO]]=PROVEEDORES[[#This Row],[FECHA DE FACTURACIÓN]],"DE CONTADO","CRÉDITO")</f>
        <v>CRÉDITO</v>
      </c>
      <c r="B1375" s="51" t="b">
        <f>+IF((PROVEEDORES[[#This Row],[FECHA DE PAGO]]-PROVEEDORES[[#This Row],[FECHA DE FACTURACIÓN]])&gt;PROVEEDORES[[#This Row],[PLAZO Días]],"PAGO VENCIDO")</f>
        <v>0</v>
      </c>
      <c r="C1375" s="25">
        <f>+VLOOKUP(PROVEEDORES[[#This Row],[PROVEEDOR]],TERCEROS_INFO[#All],2,FALSE)</f>
        <v>30</v>
      </c>
      <c r="D1375" s="30">
        <f>+SUMIFS(PROVEEDORES[Total],PROVEEDORES[PROVEEDOR],PROVEEDORES[[#This Row],[PROVEEDOR]],PROVEEDORES[FECHA DE PAGO],"")</f>
        <v>4054782.5</v>
      </c>
      <c r="E1375" s="30"/>
      <c r="F1375" s="73" t="str">
        <f>+VLOOKUP(PROVEEDORES[[#This Row],[PROVEEDOR]],TERCEROS_INFO[[PROVEEDOR]:[CORREO]],5,FALSE)</f>
        <v>globalpowerc2018@gmail.com;girlesa.ruiz@servipilas.com;joriescobar64@gmail.com</v>
      </c>
      <c r="H1375" s="31" t="s">
        <v>482</v>
      </c>
      <c r="I1375" s="111">
        <v>44648</v>
      </c>
      <c r="J1375" s="48">
        <v>28</v>
      </c>
      <c r="K1375" s="26">
        <v>3480500</v>
      </c>
      <c r="L1375" s="26"/>
      <c r="M1375" s="27">
        <v>661295</v>
      </c>
      <c r="N1375" s="28"/>
      <c r="O1375" s="27">
        <v>0</v>
      </c>
      <c r="P1375" s="28">
        <v>2.5000000000000001E-2</v>
      </c>
      <c r="Q1375" s="27">
        <v>87012.5</v>
      </c>
      <c r="R1375" s="26">
        <v>4054782.5</v>
      </c>
      <c r="S1375" s="115">
        <f ca="1">IF(PROVEEDORES[[#This Row],[FECHA DE PAGO]]=0,TODAY()-PROVEEDORES[[#This Row],[FECHA DE FACTURACIÓN]]-PROVEEDORES[[#This Row],[PLAZO Días]],0)</f>
        <v>-10</v>
      </c>
      <c r="T1375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76" spans="1:20" ht="21.9" customHeight="1" x14ac:dyDescent="0.3">
      <c r="A1376" s="113" t="str">
        <f>+IF(PROVEEDORES[[#This Row],[FECHA DE PAGO]]=PROVEEDORES[[#This Row],[FECHA DE FACTURACIÓN]],"DE CONTADO","CRÉDITO")</f>
        <v>CRÉDITO</v>
      </c>
      <c r="B1376" s="51" t="b">
        <f>+IF((PROVEEDORES[[#This Row],[FECHA DE PAGO]]-PROVEEDORES[[#This Row],[FECHA DE FACTURACIÓN]])&gt;PROVEEDORES[[#This Row],[PLAZO Días]],"PAGO VENCIDO")</f>
        <v>0</v>
      </c>
      <c r="C1376" s="25">
        <f>+VLOOKUP(PROVEEDORES[[#This Row],[PROVEEDOR]],TERCEROS_INFO[#All],2,FALSE)</f>
        <v>90</v>
      </c>
      <c r="D1376" s="30">
        <f>+SUMIFS(PROVEEDORES[Total],PROVEEDORES[PROVEEDOR],PROVEEDORES[[#This Row],[PROVEEDOR]],PROVEEDORES[FECHA DE PAGO],"")</f>
        <v>26364243.66155</v>
      </c>
      <c r="E1376" s="30"/>
      <c r="F1376" s="73" t="str">
        <f>+VLOOKUP(PROVEEDORES[[#This Row],[PROVEEDOR]],TERCEROS_INFO[[PROVEEDOR]:[CORREO]],5,FALSE)</f>
        <v>javiergomez_72@hotmail.com ;girlesa.ruiz@servipilas.com;joriescobar64@gmail.com</v>
      </c>
      <c r="H1376" s="31" t="s">
        <v>12</v>
      </c>
      <c r="I1376" s="111">
        <v>44648</v>
      </c>
      <c r="J1376" s="48" t="s">
        <v>1103</v>
      </c>
      <c r="K1376" s="26">
        <v>22630252.07</v>
      </c>
      <c r="L1376" s="26"/>
      <c r="M1376" s="27">
        <v>4299747.8932999996</v>
      </c>
      <c r="N1376" s="28"/>
      <c r="O1376" s="27">
        <v>0</v>
      </c>
      <c r="P1376" s="28">
        <v>2.5000000000000001E-2</v>
      </c>
      <c r="Q1376" s="27">
        <v>565756.30174999998</v>
      </c>
      <c r="R1376" s="26">
        <v>26364243.66155</v>
      </c>
      <c r="S1376" s="115">
        <f ca="1">IF(PROVEEDORES[[#This Row],[FECHA DE PAGO]]=0,TODAY()-PROVEEDORES[[#This Row],[FECHA DE FACTURACIÓN]]-PROVEEDORES[[#This Row],[PLAZO Días]],0)</f>
        <v>-70</v>
      </c>
      <c r="T1376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77" spans="1:20" ht="21.9" customHeight="1" x14ac:dyDescent="0.3">
      <c r="A1377" s="113" t="str">
        <f>+IF(PROVEEDORES[[#This Row],[FECHA DE PAGO]]=PROVEEDORES[[#This Row],[FECHA DE FACTURACIÓN]],"DE CONTADO","CRÉDITO")</f>
        <v>CRÉDITO</v>
      </c>
      <c r="B1377" s="51" t="b">
        <f>+IF((PROVEEDORES[[#This Row],[FECHA DE PAGO]]-PROVEEDORES[[#This Row],[FECHA DE FACTURACIÓN]])&gt;PROVEEDORES[[#This Row],[PLAZO Días]],"PAGO VENCIDO")</f>
        <v>0</v>
      </c>
      <c r="C1377" s="25">
        <f>+VLOOKUP(PROVEEDORES[[#This Row],[PROVEEDOR]],TERCEROS_INFO[#All],2,FALSE)</f>
        <v>30</v>
      </c>
      <c r="D1377" s="30">
        <f>+SUMIFS(PROVEEDORES[Total],PROVEEDORES[PROVEEDOR],PROVEEDORES[[#This Row],[PROVEEDOR]],PROVEEDORES[FECHA DE PAGO],"")</f>
        <v>936000</v>
      </c>
      <c r="E1377" s="30"/>
      <c r="F1377" s="73" t="str">
        <f>+VLOOKUP(PROVEEDORES[[#This Row],[PROVEEDOR]],TERCEROS_INFO[[PROVEEDOR]:[CORREO]],5,FALSE)</f>
        <v>stabarbaradistronik@gmail.com;girlesa.ruiz@servipilas.com;joriescobar64@gmail.com</v>
      </c>
      <c r="G1377" s="111">
        <v>44656</v>
      </c>
      <c r="H1377" s="31" t="s">
        <v>1072</v>
      </c>
      <c r="I1377" s="111">
        <v>44649</v>
      </c>
      <c r="J1377" s="48" t="s">
        <v>1074</v>
      </c>
      <c r="K1377" s="26">
        <v>-1200000</v>
      </c>
      <c r="L1377" s="26"/>
      <c r="M1377" s="27">
        <v>0</v>
      </c>
      <c r="N1377" s="28"/>
      <c r="O1377" s="27">
        <v>0</v>
      </c>
      <c r="P1377" s="28">
        <v>0</v>
      </c>
      <c r="Q1377" s="27">
        <v>0</v>
      </c>
      <c r="R1377" s="26">
        <v>0</v>
      </c>
      <c r="S1377" s="115">
        <f ca="1">IF(PROVEEDORES[[#This Row],[FECHA DE PAGO]]=0,TODAY()-PROVEEDORES[[#This Row],[FECHA DE FACTURACIÓN]]-PROVEEDORES[[#This Row],[PLAZO Días]],0)</f>
        <v>0</v>
      </c>
      <c r="T1377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78" spans="1:20" ht="21.9" customHeight="1" x14ac:dyDescent="0.3">
      <c r="A1378" s="113" t="str">
        <f>+IF(PROVEEDORES[[#This Row],[FECHA DE PAGO]]=PROVEEDORES[[#This Row],[FECHA DE FACTURACIÓN]],"DE CONTADO","CRÉDITO")</f>
        <v>CRÉDITO</v>
      </c>
      <c r="B1378" s="51" t="b">
        <f>+IF((PROVEEDORES[[#This Row],[FECHA DE PAGO]]-PROVEEDORES[[#This Row],[FECHA DE FACTURACIÓN]])&gt;PROVEEDORES[[#This Row],[PLAZO Días]],"PAGO VENCIDO")</f>
        <v>0</v>
      </c>
      <c r="C1378" s="25">
        <f>+VLOOKUP(PROVEEDORES[[#This Row],[PROVEEDOR]],TERCEROS_INFO[#All],2,FALSE)</f>
        <v>30</v>
      </c>
      <c r="D1378" s="30">
        <f>+SUMIFS(PROVEEDORES[Total],PROVEEDORES[PROVEEDOR],PROVEEDORES[[#This Row],[PROVEEDOR]],PROVEEDORES[FECHA DE PAGO],"")</f>
        <v>21832129.73</v>
      </c>
      <c r="E1378" s="30"/>
      <c r="F1378" s="73" t="str">
        <f>+VLOOKUP(PROVEEDORES[[#This Row],[PROVEEDOR]],TERCEROS_INFO[[PROVEEDOR]:[CORREO]],5,FALSE)</f>
        <v>cartera1@grupostatur.com;girlesa.ruiz@servipilas.com;joriescobar64@gmail.com</v>
      </c>
      <c r="H1378" s="31" t="s">
        <v>9</v>
      </c>
      <c r="I1378" s="111">
        <v>44649</v>
      </c>
      <c r="J1378" s="48" t="s">
        <v>1270</v>
      </c>
      <c r="K1378" s="26">
        <v>-344533</v>
      </c>
      <c r="L1378" s="26"/>
      <c r="M1378" s="27">
        <v>0</v>
      </c>
      <c r="N1378" s="28"/>
      <c r="O1378" s="27">
        <f>+PROVEEDORES[[#This Row],[Descuento sobre subtotal %]]*(PROVEEDORES[[#This Row],[SUBTOTAL]]-PROVEEDORES[[#This Row],[descuento antes de IVA]])</f>
        <v>0</v>
      </c>
      <c r="P1378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378" s="27">
        <f>+(PROVEEDORES[[#This Row],[SUBTOTAL]]-PROVEEDORES[[#This Row],[descuento antes de IVA]])*PROVEEDORES[[#This Row],[Rete Fuente %]]</f>
        <v>0</v>
      </c>
      <c r="R1378" s="26">
        <f>+PROVEEDORES[[#This Row],[SUBTOTAL]]+PROVEEDORES[[#This Row],[IVA 19%]]-PROVEEDORES[[#This Row],[descuento antes de IVA]]-PROVEEDORES[[#This Row],[Descuento sobre subtotal $]]-PROVEEDORES[[#This Row],[Rete Fuente $]]</f>
        <v>-344533</v>
      </c>
      <c r="S1378" s="115">
        <f ca="1">IF(PROVEEDORES[[#This Row],[FECHA DE PAGO]]=0,TODAY()-PROVEEDORES[[#This Row],[FECHA DE FACTURACIÓN]]-PROVEEDORES[[#This Row],[PLAZO Días]],0)</f>
        <v>-11</v>
      </c>
      <c r="T1378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79" spans="1:20" ht="21.9" customHeight="1" x14ac:dyDescent="0.3">
      <c r="A1379" s="113" t="str">
        <f>+IF(PROVEEDORES[[#This Row],[FECHA DE PAGO]]=PROVEEDORES[[#This Row],[FECHA DE FACTURACIÓN]],"DE CONTADO","CRÉDITO")</f>
        <v>CRÉDITO</v>
      </c>
      <c r="B1379" s="51" t="b">
        <f>+IF((PROVEEDORES[[#This Row],[FECHA DE PAGO]]-PROVEEDORES[[#This Row],[FECHA DE FACTURACIÓN]])&gt;PROVEEDORES[[#This Row],[PLAZO Días]],"PAGO VENCIDO")</f>
        <v>0</v>
      </c>
      <c r="C1379" s="25">
        <f>+VLOOKUP(PROVEEDORES[[#This Row],[PROVEEDOR]],TERCEROS_INFO[#All],2,FALSE)</f>
        <v>30</v>
      </c>
      <c r="D1379" s="30">
        <f>+SUMIFS(PROVEEDORES[Total],PROVEEDORES[PROVEEDOR],PROVEEDORES[[#This Row],[PROVEEDOR]],PROVEEDORES[FECHA DE PAGO],"")</f>
        <v>936000</v>
      </c>
      <c r="E1379" s="30"/>
      <c r="F1379" s="73" t="str">
        <f>+VLOOKUP(PROVEEDORES[[#This Row],[PROVEEDOR]],TERCEROS_INFO[[PROVEEDOR]:[CORREO]],5,FALSE)</f>
        <v>stabarbaradistronik@gmail.com;girlesa.ruiz@servipilas.com;joriescobar64@gmail.com</v>
      </c>
      <c r="H1379" s="31" t="s">
        <v>1072</v>
      </c>
      <c r="I1379" s="111">
        <v>44649</v>
      </c>
      <c r="J1379" s="48" t="s">
        <v>1102</v>
      </c>
      <c r="K1379" s="26">
        <v>936000</v>
      </c>
      <c r="L1379" s="26"/>
      <c r="M1379" s="27">
        <v>0</v>
      </c>
      <c r="N1379" s="28"/>
      <c r="O1379" s="27">
        <v>0</v>
      </c>
      <c r="P1379" s="28">
        <v>0</v>
      </c>
      <c r="Q1379" s="27">
        <v>0</v>
      </c>
      <c r="R1379" s="26">
        <v>936000</v>
      </c>
      <c r="S1379" s="115">
        <f ca="1">IF(PROVEEDORES[[#This Row],[FECHA DE PAGO]]=0,TODAY()-PROVEEDORES[[#This Row],[FECHA DE FACTURACIÓN]]-PROVEEDORES[[#This Row],[PLAZO Días]],0)</f>
        <v>-11</v>
      </c>
      <c r="T1379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80" spans="1:20" ht="21.9" customHeight="1" x14ac:dyDescent="0.3">
      <c r="A1380" s="113" t="str">
        <f>+IF(PROVEEDORES[[#This Row],[FECHA DE PAGO]]=PROVEEDORES[[#This Row],[FECHA DE FACTURACIÓN]],"DE CONTADO","CRÉDITO")</f>
        <v>CRÉDITO</v>
      </c>
      <c r="B1380" s="51" t="b">
        <f>+IF((PROVEEDORES[[#This Row],[FECHA DE PAGO]]-PROVEEDORES[[#This Row],[FECHA DE FACTURACIÓN]])&gt;PROVEEDORES[[#This Row],[PLAZO Días]],"PAGO VENCIDO")</f>
        <v>0</v>
      </c>
      <c r="C1380" s="25">
        <f>+VLOOKUP(PROVEEDORES[[#This Row],[PROVEEDOR]],TERCEROS_INFO[#All],2,FALSE)</f>
        <v>30</v>
      </c>
      <c r="D1380" s="30">
        <f>+SUMIFS(PROVEEDORES[Total],PROVEEDORES[PROVEEDOR],PROVEEDORES[[#This Row],[PROVEEDOR]],PROVEEDORES[FECHA DE PAGO],"")</f>
        <v>3750700</v>
      </c>
      <c r="E1380" s="30"/>
      <c r="F1380" s="73" t="str">
        <f>+VLOOKUP(PROVEEDORES[[#This Row],[PROVEEDOR]],TERCEROS_INFO[[PROVEEDOR]:[CORREO]],5,FALSE)</f>
        <v/>
      </c>
      <c r="H1380" s="31" t="s">
        <v>996</v>
      </c>
      <c r="I1380" s="111">
        <v>44649</v>
      </c>
      <c r="J1380" s="48" t="s">
        <v>1101</v>
      </c>
      <c r="K1380" s="26">
        <v>3750700</v>
      </c>
      <c r="L1380" s="26"/>
      <c r="M1380" s="27">
        <v>0</v>
      </c>
      <c r="N1380" s="28"/>
      <c r="O1380" s="27">
        <v>0</v>
      </c>
      <c r="P1380" s="28">
        <v>0</v>
      </c>
      <c r="Q1380" s="27">
        <v>0</v>
      </c>
      <c r="R1380" s="26">
        <v>3750700</v>
      </c>
      <c r="S1380" s="115">
        <f ca="1">IF(PROVEEDORES[[#This Row],[FECHA DE PAGO]]=0,TODAY()-PROVEEDORES[[#This Row],[FECHA DE FACTURACIÓN]]-PROVEEDORES[[#This Row],[PLAZO Días]],0)</f>
        <v>-11</v>
      </c>
      <c r="T1380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81" spans="1:20" ht="21.9" customHeight="1" x14ac:dyDescent="0.3">
      <c r="A1381" s="113" t="str">
        <f>+IF(PROVEEDORES[[#This Row],[FECHA DE PAGO]]=PROVEEDORES[[#This Row],[FECHA DE FACTURACIÓN]],"DE CONTADO","CRÉDITO")</f>
        <v>CRÉDITO</v>
      </c>
      <c r="B1381" s="51" t="b">
        <f>+IF((PROVEEDORES[[#This Row],[FECHA DE PAGO]]-PROVEEDORES[[#This Row],[FECHA DE FACTURACIÓN]])&gt;PROVEEDORES[[#This Row],[PLAZO Días]],"PAGO VENCIDO")</f>
        <v>0</v>
      </c>
      <c r="C1381" s="25">
        <f>+VLOOKUP(PROVEEDORES[[#This Row],[PROVEEDOR]],TERCEROS_INFO[#All],2,FALSE)</f>
        <v>30</v>
      </c>
      <c r="D1381" s="30">
        <f>+SUMIFS(PROVEEDORES[Total],PROVEEDORES[PROVEEDOR],PROVEEDORES[[#This Row],[PROVEEDOR]],PROVEEDORES[FECHA DE PAGO],"")</f>
        <v>21832129.73</v>
      </c>
      <c r="E1381" s="30"/>
      <c r="F1381" s="73" t="str">
        <f>+VLOOKUP(PROVEEDORES[[#This Row],[PROVEEDOR]],TERCEROS_INFO[[PROVEEDOR]:[CORREO]],5,FALSE)</f>
        <v>cartera1@grupostatur.com;girlesa.ruiz@servipilas.com;joriescobar64@gmail.com</v>
      </c>
      <c r="H1381" s="31" t="s">
        <v>9</v>
      </c>
      <c r="I1381" s="111">
        <v>44649</v>
      </c>
      <c r="J1381" s="48">
        <v>75600</v>
      </c>
      <c r="K1381" s="26">
        <v>19035762</v>
      </c>
      <c r="L1381" s="26"/>
      <c r="M1381" s="27">
        <v>3616794.7800000003</v>
      </c>
      <c r="N1381" s="28"/>
      <c r="O1381" s="27">
        <v>0</v>
      </c>
      <c r="P1381" s="28">
        <v>2.5000000000000001E-2</v>
      </c>
      <c r="Q1381" s="27">
        <v>475894.05000000005</v>
      </c>
      <c r="R1381" s="26">
        <v>22176662.73</v>
      </c>
      <c r="S1381" s="115">
        <f ca="1">IF(PROVEEDORES[[#This Row],[FECHA DE PAGO]]=0,TODAY()-PROVEEDORES[[#This Row],[FECHA DE FACTURACIÓN]]-PROVEEDORES[[#This Row],[PLAZO Días]],0)</f>
        <v>-11</v>
      </c>
      <c r="T1381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82" spans="1:20" ht="21.9" customHeight="1" x14ac:dyDescent="0.3">
      <c r="A1382" s="113" t="str">
        <f>+IF(PROVEEDORES[[#This Row],[FECHA DE PAGO]]=PROVEEDORES[[#This Row],[FECHA DE FACTURACIÓN]],"DE CONTADO","CRÉDITO")</f>
        <v>CRÉDITO</v>
      </c>
      <c r="B1382" s="51" t="b">
        <f>+IF((PROVEEDORES[[#This Row],[FECHA DE PAGO]]-PROVEEDORES[[#This Row],[FECHA DE FACTURACIÓN]])&gt;PROVEEDORES[[#This Row],[PLAZO Días]],"PAGO VENCIDO")</f>
        <v>0</v>
      </c>
      <c r="C1382" s="25">
        <f>+VLOOKUP(PROVEEDORES[[#This Row],[PROVEEDOR]],TERCEROS_INFO[#All],2,FALSE)</f>
        <v>30</v>
      </c>
      <c r="D1382" s="30">
        <f>+SUMIFS(PROVEEDORES[Total],PROVEEDORES[PROVEEDOR],PROVEEDORES[[#This Row],[PROVEEDOR]],PROVEEDORES[FECHA DE PAGO],"")</f>
        <v>1296896</v>
      </c>
      <c r="E1382" s="30"/>
      <c r="F1382" s="73" t="str">
        <f>+VLOOKUP(PROVEEDORES[[#This Row],[PROVEEDOR]],TERCEROS_INFO[[PROVEEDOR]:[CORREO]],5,FALSE)</f>
        <v>tesoreria@lacentral.com.co;girlesa.ruiz@servipilas.com;joriescobar64@gmail.com</v>
      </c>
      <c r="H1382" s="31" t="s">
        <v>335</v>
      </c>
      <c r="I1382" s="111">
        <v>44650</v>
      </c>
      <c r="J1382" s="48" t="s">
        <v>1094</v>
      </c>
      <c r="K1382" s="26">
        <v>-272331</v>
      </c>
      <c r="L1382" s="26"/>
      <c r="M1382" s="27">
        <v>0</v>
      </c>
      <c r="N1382" s="28"/>
      <c r="O1382" s="27">
        <v>0</v>
      </c>
      <c r="P1382" s="28">
        <v>0</v>
      </c>
      <c r="Q1382" s="27">
        <v>0</v>
      </c>
      <c r="R1382" s="26">
        <v>-272331</v>
      </c>
      <c r="S1382" s="115">
        <f ca="1">IF(PROVEEDORES[[#This Row],[FECHA DE PAGO]]=0,TODAY()-PROVEEDORES[[#This Row],[FECHA DE FACTURACIÓN]]-PROVEEDORES[[#This Row],[PLAZO Días]],0)</f>
        <v>-12</v>
      </c>
      <c r="T1382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83" spans="1:20" ht="21.9" customHeight="1" x14ac:dyDescent="0.3">
      <c r="A1383" s="113" t="str">
        <f>+IF(PROVEEDORES[[#This Row],[FECHA DE PAGO]]=PROVEEDORES[[#This Row],[FECHA DE FACTURACIÓN]],"DE CONTADO","CRÉDITO")</f>
        <v>CRÉDITO</v>
      </c>
      <c r="B1383" s="51" t="b">
        <f>+IF((PROVEEDORES[[#This Row],[FECHA DE PAGO]]-PROVEEDORES[[#This Row],[FECHA DE FACTURACIÓN]])&gt;PROVEEDORES[[#This Row],[PLAZO Días]],"PAGO VENCIDO")</f>
        <v>0</v>
      </c>
      <c r="C1383" s="25">
        <f>+VLOOKUP(PROVEEDORES[[#This Row],[PROVEEDOR]],TERCEROS_INFO[#All],2,FALSE)</f>
        <v>45</v>
      </c>
      <c r="D1383" s="30">
        <f>+SUMIFS(PROVEEDORES[Total],PROVEEDORES[PROVEEDOR],PROVEEDORES[[#This Row],[PROVEEDOR]],PROVEEDORES[FECHA DE PAGO],"")</f>
        <v>1070024.2</v>
      </c>
      <c r="E1383" s="30"/>
      <c r="F1383" s="73" t="str">
        <f>+VLOOKUP(PROVEEDORES[[#This Row],[PROVEEDOR]],TERCEROS_INFO[[PROVEEDOR]:[CORREO]],5,FALSE)</f>
        <v>libardopineda@tronex.com;girlesa.ruiz@servipilas.com;joriescobar64@gmail.com</v>
      </c>
      <c r="H1383" s="31" t="s">
        <v>10</v>
      </c>
      <c r="I1383" s="111">
        <v>44650</v>
      </c>
      <c r="J1383" s="48" t="s">
        <v>1098</v>
      </c>
      <c r="K1383" s="26">
        <v>383180</v>
      </c>
      <c r="L1383" s="26"/>
      <c r="M1383" s="27">
        <v>72804.2</v>
      </c>
      <c r="N1383" s="28"/>
      <c r="O1383" s="27">
        <v>0</v>
      </c>
      <c r="P1383" s="28">
        <v>0</v>
      </c>
      <c r="Q1383" s="27">
        <v>0</v>
      </c>
      <c r="R1383" s="26">
        <v>455984.2</v>
      </c>
      <c r="S1383" s="115">
        <f ca="1">IF(PROVEEDORES[[#This Row],[FECHA DE PAGO]]=0,TODAY()-PROVEEDORES[[#This Row],[FECHA DE FACTURACIÓN]]-PROVEEDORES[[#This Row],[PLAZO Días]],0)</f>
        <v>-27</v>
      </c>
      <c r="T1383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84" spans="1:20" ht="21.9" customHeight="1" x14ac:dyDescent="0.3">
      <c r="A1384" s="113" t="str">
        <f>+IF(PROVEEDORES[[#This Row],[FECHA DE PAGO]]=PROVEEDORES[[#This Row],[FECHA DE FACTURACIÓN]],"DE CONTADO","CRÉDITO")</f>
        <v>DE CONTADO</v>
      </c>
      <c r="B1384" s="51" t="b">
        <f>+IF((PROVEEDORES[[#This Row],[FECHA DE PAGO]]-PROVEEDORES[[#This Row],[FECHA DE FACTURACIÓN]])&gt;PROVEEDORES[[#This Row],[PLAZO Días]],"PAGO VENCIDO")</f>
        <v>0</v>
      </c>
      <c r="C1384" s="25">
        <f>+VLOOKUP(PROVEEDORES[[#This Row],[PROVEEDOR]],TERCEROS_INFO[#All],2,FALSE)</f>
        <v>30</v>
      </c>
      <c r="D1384" s="30">
        <f>+SUMIFS(PROVEEDORES[Total],PROVEEDORES[PROVEEDOR],PROVEEDORES[[#This Row],[PROVEEDOR]],PROVEEDORES[FECHA DE PAGO],"")</f>
        <v>0</v>
      </c>
      <c r="E1384" s="30"/>
      <c r="F1384" s="73" t="str">
        <f>+VLOOKUP(PROVEEDORES[[#This Row],[PROVEEDOR]],TERCEROS_INFO[[PROVEEDOR]:[CORREO]],5,FALSE)</f>
        <v/>
      </c>
      <c r="G1384" s="111">
        <v>44650</v>
      </c>
      <c r="H1384" s="31" t="s">
        <v>1052</v>
      </c>
      <c r="I1384" s="111">
        <v>44650</v>
      </c>
      <c r="J1384" s="48"/>
      <c r="K1384" s="26">
        <v>1300000</v>
      </c>
      <c r="L1384" s="26"/>
      <c r="M1384" s="27">
        <v>0</v>
      </c>
      <c r="N1384" s="28"/>
      <c r="O1384" s="27">
        <v>0</v>
      </c>
      <c r="P1384" s="28">
        <v>0</v>
      </c>
      <c r="Q1384" s="27">
        <v>0</v>
      </c>
      <c r="R1384" s="26">
        <v>1300000</v>
      </c>
      <c r="S1384" s="115">
        <f ca="1">IF(PROVEEDORES[[#This Row],[FECHA DE PAGO]]=0,TODAY()-PROVEEDORES[[#This Row],[FECHA DE FACTURACIÓN]]-PROVEEDORES[[#This Row],[PLAZO Días]],0)</f>
        <v>0</v>
      </c>
      <c r="T138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5" spans="1:20" ht="21.9" customHeight="1" x14ac:dyDescent="0.3">
      <c r="A1385" s="113" t="str">
        <f>+IF(PROVEEDORES[[#This Row],[FECHA DE PAGO]]=PROVEEDORES[[#This Row],[FECHA DE FACTURACIÓN]],"DE CONTADO","CRÉDITO")</f>
        <v>CRÉDITO</v>
      </c>
      <c r="B1385" s="51" t="b">
        <f>+IF((PROVEEDORES[[#This Row],[FECHA DE PAGO]]-PROVEEDORES[[#This Row],[FECHA DE FACTURACIÓN]])&gt;PROVEEDORES[[#This Row],[PLAZO Días]],"PAGO VENCIDO")</f>
        <v>0</v>
      </c>
      <c r="C1385" s="25">
        <f>+VLOOKUP(PROVEEDORES[[#This Row],[PROVEEDOR]],TERCEROS_INFO[#All],2,FALSE)</f>
        <v>30</v>
      </c>
      <c r="D1385" s="30">
        <f>+SUMIFS(PROVEEDORES[Total],PROVEEDORES[PROVEEDOR],PROVEEDORES[[#This Row],[PROVEEDOR]],PROVEEDORES[FECHA DE PAGO],"")</f>
        <v>4078650.6</v>
      </c>
      <c r="E1385" s="30"/>
      <c r="F1385" s="73" t="str">
        <f>+VLOOKUP(PROVEEDORES[[#This Row],[PROVEEDOR]],TERCEROS_INFO[[PROVEEDOR]:[CORREO]],5,FALSE)</f>
        <v>financiera@nalpicentral.com;girlesa.ruiz@servipilas.com;joriescobar64@gmail.com</v>
      </c>
      <c r="H1385" s="31" t="s">
        <v>1095</v>
      </c>
      <c r="I1385" s="111">
        <v>44650</v>
      </c>
      <c r="J1385" s="48">
        <v>25208</v>
      </c>
      <c r="K1385" s="26">
        <v>1728540</v>
      </c>
      <c r="L1385" s="26">
        <v>157140</v>
      </c>
      <c r="M1385" s="27">
        <v>298566</v>
      </c>
      <c r="N1385" s="28"/>
      <c r="O1385" s="27">
        <v>0</v>
      </c>
      <c r="P1385" s="28">
        <v>2.5000000000000001E-2</v>
      </c>
      <c r="Q1385" s="27">
        <v>39285</v>
      </c>
      <c r="R1385" s="26">
        <v>1830681</v>
      </c>
      <c r="S1385" s="115">
        <f ca="1">IF(PROVEEDORES[[#This Row],[FECHA DE PAGO]]=0,TODAY()-PROVEEDORES[[#This Row],[FECHA DE FACTURACIÓN]]-PROVEEDORES[[#This Row],[PLAZO Días]],0)</f>
        <v>-12</v>
      </c>
      <c r="T1385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86" spans="1:20" ht="21.9" customHeight="1" x14ac:dyDescent="0.3">
      <c r="A1386" s="113" t="str">
        <f>+IF(PROVEEDORES[[#This Row],[FECHA DE PAGO]]=PROVEEDORES[[#This Row],[FECHA DE FACTURACIÓN]],"DE CONTADO","CRÉDITO")</f>
        <v>CRÉDITO</v>
      </c>
      <c r="B1386" s="51" t="b">
        <f>+IF((PROVEEDORES[[#This Row],[FECHA DE PAGO]]-PROVEEDORES[[#This Row],[FECHA DE FACTURACIÓN]])&gt;PROVEEDORES[[#This Row],[PLAZO Días]],"PAGO VENCIDO")</f>
        <v>0</v>
      </c>
      <c r="C1386" s="25">
        <f>+VLOOKUP(PROVEEDORES[[#This Row],[PROVEEDOR]],TERCEROS_INFO[#All],2,FALSE)</f>
        <v>30</v>
      </c>
      <c r="D1386" s="30">
        <f>+SUMIFS(PROVEEDORES[Total],PROVEEDORES[PROVEEDOR],PROVEEDORES[[#This Row],[PROVEEDOR]],PROVEEDORES[FECHA DE PAGO],"")</f>
        <v>2719966.6375000002</v>
      </c>
      <c r="E1386" s="30"/>
      <c r="F1386" s="73" t="str">
        <f>+VLOOKUP(PROVEEDORES[[#This Row],[PROVEEDOR]],TERCEROS_INFO[[PROVEEDOR]:[CORREO]],5,FALSE)</f>
        <v>aleja-1305agudelo@hotmail.com;provecol@une.net.co;girlesa.ruiz@servipilas.com;joriescobar64@gmail.com</v>
      </c>
      <c r="H1386" s="31" t="s">
        <v>460</v>
      </c>
      <c r="I1386" s="111">
        <v>44650</v>
      </c>
      <c r="J1386" s="48" t="s">
        <v>1097</v>
      </c>
      <c r="K1386" s="26">
        <v>2285686.25</v>
      </c>
      <c r="L1386" s="26"/>
      <c r="M1386" s="27">
        <v>434280.38750000001</v>
      </c>
      <c r="N1386" s="28"/>
      <c r="O1386" s="27">
        <v>0</v>
      </c>
      <c r="P1386" s="28">
        <v>0</v>
      </c>
      <c r="Q1386" s="27">
        <v>0</v>
      </c>
      <c r="R1386" s="26">
        <v>2719966.6375000002</v>
      </c>
      <c r="S1386" s="115">
        <f ca="1">IF(PROVEEDORES[[#This Row],[FECHA DE PAGO]]=0,TODAY()-PROVEEDORES[[#This Row],[FECHA DE FACTURACIÓN]]-PROVEEDORES[[#This Row],[PLAZO Días]],0)</f>
        <v>-12</v>
      </c>
      <c r="T1386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87" spans="1:20" ht="21.9" customHeight="1" x14ac:dyDescent="0.3">
      <c r="A1387" s="113" t="str">
        <f>+IF(PROVEEDORES[[#This Row],[FECHA DE PAGO]]=PROVEEDORES[[#This Row],[FECHA DE FACTURACIÓN]],"DE CONTADO","CRÉDITO")</f>
        <v>CRÉDITO</v>
      </c>
      <c r="B1387" s="51" t="b">
        <f>+IF((PROVEEDORES[[#This Row],[FECHA DE PAGO]]-PROVEEDORES[[#This Row],[FECHA DE FACTURACIÓN]])&gt;PROVEEDORES[[#This Row],[PLAZO Días]],"PAGO VENCIDO")</f>
        <v>0</v>
      </c>
      <c r="C1387" s="25">
        <f>+VLOOKUP(PROVEEDORES[[#This Row],[PROVEEDOR]],TERCEROS_INFO[#All],2,FALSE)</f>
        <v>90</v>
      </c>
      <c r="D1387" s="30">
        <f>+SUMIFS(PROVEEDORES[Total],PROVEEDORES[PROVEEDOR],PROVEEDORES[[#This Row],[PROVEEDOR]],PROVEEDORES[FECHA DE PAGO],"")</f>
        <v>24974028.109999996</v>
      </c>
      <c r="E1387" s="30"/>
      <c r="F1387" s="73" t="str">
        <f>+VLOOKUP(PROVEEDORES[[#This Row],[PROVEEDOR]],TERCEROS_INFO[[PROVEEDOR]:[CORREO]],5,FALSE)</f>
        <v>criszapata1234@gmail.com;girlesa.ruiz@servipilas.com;joriescobar64@gmail.com</v>
      </c>
      <c r="H1387" s="31" t="s">
        <v>78</v>
      </c>
      <c r="I1387" s="111">
        <v>44651</v>
      </c>
      <c r="J1387" s="48" t="s">
        <v>1269</v>
      </c>
      <c r="K1387" s="26">
        <v>-1920170</v>
      </c>
      <c r="L1387" s="26"/>
      <c r="M1387" s="27">
        <f>(PROVEEDORES[[#This Row],[SUBTOTAL]]-PROVEEDORES[[#This Row],[descuento antes de IVA]])*VLOOKUP(PROVEEDORES[[#This Row],[PROVEEDOR]],TERCEROS_INFO[#All],3,FALSE)</f>
        <v>-364832.3</v>
      </c>
      <c r="N1387" s="28"/>
      <c r="O1387" s="27">
        <f>+PROVEEDORES[[#This Row],[Descuento sobre subtotal %]]*(PROVEEDORES[[#This Row],[SUBTOTAL]]-PROVEEDORES[[#This Row],[descuento antes de IVA]])</f>
        <v>0</v>
      </c>
      <c r="P1387" s="28">
        <v>2.5000000000000001E-2</v>
      </c>
      <c r="Q1387" s="27">
        <f>+(PROVEEDORES[[#This Row],[SUBTOTAL]]-PROVEEDORES[[#This Row],[descuento antes de IVA]])*PROVEEDORES[[#This Row],[Rete Fuente %]]</f>
        <v>-48004.25</v>
      </c>
      <c r="R1387" s="26">
        <f>+PROVEEDORES[[#This Row],[SUBTOTAL]]+PROVEEDORES[[#This Row],[IVA 19%]]-PROVEEDORES[[#This Row],[descuento antes de IVA]]-PROVEEDORES[[#This Row],[Descuento sobre subtotal $]]-PROVEEDORES[[#This Row],[Rete Fuente $]]</f>
        <v>-2236998.0499999998</v>
      </c>
      <c r="S1387" s="115">
        <f ca="1">IF(PROVEEDORES[[#This Row],[FECHA DE PAGO]]=0,TODAY()-PROVEEDORES[[#This Row],[FECHA DE FACTURACIÓN]]-PROVEEDORES[[#This Row],[PLAZO Días]],0)</f>
        <v>-73</v>
      </c>
      <c r="T1387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88" spans="1:20" ht="21.9" customHeight="1" x14ac:dyDescent="0.3">
      <c r="A1388" s="113" t="str">
        <f>+IF(PROVEEDORES[[#This Row],[FECHA DE PAGO]]=PROVEEDORES[[#This Row],[FECHA DE FACTURACIÓN]],"DE CONTADO","CRÉDITO")</f>
        <v>DE CONTADO</v>
      </c>
      <c r="B1388" s="51" t="b">
        <f>+IF((PROVEEDORES[[#This Row],[FECHA DE PAGO]]-PROVEEDORES[[#This Row],[FECHA DE FACTURACIÓN]])&gt;PROVEEDORES[[#This Row],[PLAZO Días]],"PAGO VENCIDO")</f>
        <v>0</v>
      </c>
      <c r="C1388" s="25">
        <f>+VLOOKUP(PROVEEDORES[[#This Row],[PROVEEDOR]],TERCEROS_INFO[#All],2,FALSE)</f>
        <v>30</v>
      </c>
      <c r="D1388" s="30">
        <f>+SUMIFS(PROVEEDORES[Total],PROVEEDORES[PROVEEDOR],PROVEEDORES[[#This Row],[PROVEEDOR]],PROVEEDORES[FECHA DE PAGO],"")</f>
        <v>0</v>
      </c>
      <c r="E1388" s="30"/>
      <c r="F1388" s="73" t="str">
        <f>+VLOOKUP(PROVEEDORES[[#This Row],[PROVEEDOR]],TERCEROS_INFO[[PROVEEDOR]:[CORREO]],5,FALSE)</f>
        <v/>
      </c>
      <c r="G1388" s="111">
        <v>44651</v>
      </c>
      <c r="H1388" s="31" t="s">
        <v>1016</v>
      </c>
      <c r="I1388" s="111">
        <v>44651</v>
      </c>
      <c r="J1388" s="48" t="s">
        <v>944</v>
      </c>
      <c r="K1388" s="26">
        <v>29400</v>
      </c>
      <c r="L1388" s="26"/>
      <c r="M1388" s="27">
        <v>0</v>
      </c>
      <c r="N1388" s="28"/>
      <c r="O1388" s="27">
        <v>0</v>
      </c>
      <c r="P1388" s="28">
        <v>0</v>
      </c>
      <c r="Q1388" s="27">
        <v>0</v>
      </c>
      <c r="R1388" s="26">
        <v>29400</v>
      </c>
      <c r="S1388" s="115">
        <f ca="1">IF(PROVEEDORES[[#This Row],[FECHA DE PAGO]]=0,TODAY()-PROVEEDORES[[#This Row],[FECHA DE FACTURACIÓN]]-PROVEEDORES[[#This Row],[PLAZO Días]],0)</f>
        <v>0</v>
      </c>
      <c r="T138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89" spans="1:20" ht="21.9" customHeight="1" x14ac:dyDescent="0.3">
      <c r="A1389" s="113" t="str">
        <f>+IF(PROVEEDORES[[#This Row],[FECHA DE PAGO]]=PROVEEDORES[[#This Row],[FECHA DE FACTURACIÓN]],"DE CONTADO","CRÉDITO")</f>
        <v>DE CONTADO</v>
      </c>
      <c r="B1389" s="51" t="b">
        <f>+IF((PROVEEDORES[[#This Row],[FECHA DE PAGO]]-PROVEEDORES[[#This Row],[FECHA DE FACTURACIÓN]])&gt;PROVEEDORES[[#This Row],[PLAZO Días]],"PAGO VENCIDO")</f>
        <v>0</v>
      </c>
      <c r="C1389" s="25">
        <f>+VLOOKUP(PROVEEDORES[[#This Row],[PROVEEDOR]],TERCEROS_INFO[#All],2,FALSE)</f>
        <v>30</v>
      </c>
      <c r="D1389" s="30">
        <f>+SUMIFS(PROVEEDORES[Total],PROVEEDORES[PROVEEDOR],PROVEEDORES[[#This Row],[PROVEEDOR]],PROVEEDORES[FECHA DE PAGO],"")</f>
        <v>0</v>
      </c>
      <c r="E1389" s="30"/>
      <c r="F1389" s="73" t="str">
        <f>+VLOOKUP(PROVEEDORES[[#This Row],[PROVEEDOR]],TERCEROS_INFO[[PROVEEDOR]:[CORREO]],5,FALSE)</f>
        <v/>
      </c>
      <c r="G1389" s="111">
        <v>44651</v>
      </c>
      <c r="H1389" s="31" t="s">
        <v>1016</v>
      </c>
      <c r="I1389" s="111">
        <v>44651</v>
      </c>
      <c r="J1389" s="48" t="s">
        <v>1017</v>
      </c>
      <c r="K1389" s="26">
        <v>38200</v>
      </c>
      <c r="L1389" s="26"/>
      <c r="M1389" s="27">
        <v>0</v>
      </c>
      <c r="N1389" s="28"/>
      <c r="O1389" s="27">
        <v>0</v>
      </c>
      <c r="P1389" s="28">
        <v>0</v>
      </c>
      <c r="Q1389" s="27">
        <v>0</v>
      </c>
      <c r="R1389" s="26">
        <v>38200</v>
      </c>
      <c r="S1389" s="115">
        <f ca="1">IF(PROVEEDORES[[#This Row],[FECHA DE PAGO]]=0,TODAY()-PROVEEDORES[[#This Row],[FECHA DE FACTURACIÓN]]-PROVEEDORES[[#This Row],[PLAZO Días]],0)</f>
        <v>0</v>
      </c>
      <c r="T138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0" spans="1:20" ht="21.9" customHeight="1" x14ac:dyDescent="0.3">
      <c r="A1390" s="113" t="str">
        <f>+IF(PROVEEDORES[[#This Row],[FECHA DE PAGO]]=PROVEEDORES[[#This Row],[FECHA DE FACTURACIÓN]],"DE CONTADO","CRÉDITO")</f>
        <v>DE CONTADO</v>
      </c>
      <c r="B1390" s="51" t="b">
        <f>+IF((PROVEEDORES[[#This Row],[FECHA DE PAGO]]-PROVEEDORES[[#This Row],[FECHA DE FACTURACIÓN]])&gt;PROVEEDORES[[#This Row],[PLAZO Días]],"PAGO VENCIDO")</f>
        <v>0</v>
      </c>
      <c r="C1390" s="25">
        <f>+VLOOKUP(PROVEEDORES[[#This Row],[PROVEEDOR]],TERCEROS_INFO[#All],2,FALSE)</f>
        <v>30</v>
      </c>
      <c r="D1390" s="30">
        <f>+SUMIFS(PROVEEDORES[Total],PROVEEDORES[PROVEEDOR],PROVEEDORES[[#This Row],[PROVEEDOR]],PROVEEDORES[FECHA DE PAGO],"")</f>
        <v>0</v>
      </c>
      <c r="E1390" s="30"/>
      <c r="F1390" s="73" t="str">
        <f>+VLOOKUP(PROVEEDORES[[#This Row],[PROVEEDOR]],TERCEROS_INFO[[PROVEEDOR]:[CORREO]],5,FALSE)</f>
        <v/>
      </c>
      <c r="G1390" s="111">
        <v>44651</v>
      </c>
      <c r="H1390" s="31" t="s">
        <v>1016</v>
      </c>
      <c r="I1390" s="111">
        <v>44651</v>
      </c>
      <c r="J1390" s="48" t="s">
        <v>946</v>
      </c>
      <c r="K1390" s="26">
        <v>190500</v>
      </c>
      <c r="L1390" s="26"/>
      <c r="M1390" s="27">
        <v>0</v>
      </c>
      <c r="N1390" s="28"/>
      <c r="O1390" s="27">
        <v>0</v>
      </c>
      <c r="P1390" s="28">
        <v>0</v>
      </c>
      <c r="Q1390" s="27">
        <v>0</v>
      </c>
      <c r="R1390" s="26">
        <v>190500</v>
      </c>
      <c r="S1390" s="115">
        <f ca="1">IF(PROVEEDORES[[#This Row],[FECHA DE PAGO]]=0,TODAY()-PROVEEDORES[[#This Row],[FECHA DE FACTURACIÓN]]-PROVEEDORES[[#This Row],[PLAZO Días]],0)</f>
        <v>0</v>
      </c>
      <c r="T139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1" spans="1:20" ht="21.9" customHeight="1" x14ac:dyDescent="0.3">
      <c r="A1391" s="113" t="str">
        <f>+IF(PROVEEDORES[[#This Row],[FECHA DE PAGO]]=PROVEEDORES[[#This Row],[FECHA DE FACTURACIÓN]],"DE CONTADO","CRÉDITO")</f>
        <v>DE CONTADO</v>
      </c>
      <c r="B1391" s="51" t="b">
        <f>+IF((PROVEEDORES[[#This Row],[FECHA DE PAGO]]-PROVEEDORES[[#This Row],[FECHA DE FACTURACIÓN]])&gt;PROVEEDORES[[#This Row],[PLAZO Días]],"PAGO VENCIDO")</f>
        <v>0</v>
      </c>
      <c r="C1391" s="25">
        <f>+VLOOKUP(PROVEEDORES[[#This Row],[PROVEEDOR]],TERCEROS_INFO[#All],2,FALSE)</f>
        <v>30</v>
      </c>
      <c r="D1391" s="30">
        <f>+SUMIFS(PROVEEDORES[Total],PROVEEDORES[PROVEEDOR],PROVEEDORES[[#This Row],[PROVEEDOR]],PROVEEDORES[FECHA DE PAGO],"")</f>
        <v>0</v>
      </c>
      <c r="E1391" s="30"/>
      <c r="F1391" s="73" t="str">
        <f>+VLOOKUP(PROVEEDORES[[#This Row],[PROVEEDOR]],TERCEROS_INFO[[PROVEEDOR]:[CORREO]],5,FALSE)</f>
        <v/>
      </c>
      <c r="G1391" s="111">
        <v>44651</v>
      </c>
      <c r="H1391" s="31" t="s">
        <v>1016</v>
      </c>
      <c r="I1391" s="111">
        <v>44651</v>
      </c>
      <c r="J1391" s="48" t="s">
        <v>945</v>
      </c>
      <c r="K1391" s="26">
        <v>747150</v>
      </c>
      <c r="L1391" s="26"/>
      <c r="M1391" s="27">
        <v>0</v>
      </c>
      <c r="N1391" s="28"/>
      <c r="O1391" s="27">
        <v>0</v>
      </c>
      <c r="P1391" s="28">
        <v>0</v>
      </c>
      <c r="Q1391" s="27">
        <v>0</v>
      </c>
      <c r="R1391" s="26">
        <v>747150</v>
      </c>
      <c r="S1391" s="115">
        <f ca="1">IF(PROVEEDORES[[#This Row],[FECHA DE PAGO]]=0,TODAY()-PROVEEDORES[[#This Row],[FECHA DE FACTURACIÓN]]-PROVEEDORES[[#This Row],[PLAZO Días]],0)</f>
        <v>0</v>
      </c>
      <c r="T139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2" spans="1:20" ht="21.9" customHeight="1" x14ac:dyDescent="0.3">
      <c r="A1392" s="113" t="str">
        <f>+IF(PROVEEDORES[[#This Row],[FECHA DE PAGO]]=PROVEEDORES[[#This Row],[FECHA DE FACTURACIÓN]],"DE CONTADO","CRÉDITO")</f>
        <v>DE CONTADO</v>
      </c>
      <c r="B1392" s="51" t="b">
        <f>+IF((PROVEEDORES[[#This Row],[FECHA DE PAGO]]-PROVEEDORES[[#This Row],[FECHA DE FACTURACIÓN]])&gt;PROVEEDORES[[#This Row],[PLAZO Días]],"PAGO VENCIDO")</f>
        <v>0</v>
      </c>
      <c r="C1392" s="25">
        <f>+VLOOKUP(PROVEEDORES[[#This Row],[PROVEEDOR]],TERCEROS_INFO[#All],2,FALSE)</f>
        <v>30</v>
      </c>
      <c r="D1392" s="30">
        <f>+SUMIFS(PROVEEDORES[Total],PROVEEDORES[PROVEEDOR],PROVEEDORES[[#This Row],[PROVEEDOR]],PROVEEDORES[FECHA DE PAGO],"")</f>
        <v>0</v>
      </c>
      <c r="E1392" s="30"/>
      <c r="F1392" s="73" t="str">
        <f>+VLOOKUP(PROVEEDORES[[#This Row],[PROVEEDOR]],TERCEROS_INFO[[PROVEEDOR]:[CORREO]],5,FALSE)</f>
        <v/>
      </c>
      <c r="G1392" s="111">
        <v>44651</v>
      </c>
      <c r="H1392" s="31" t="s">
        <v>1016</v>
      </c>
      <c r="I1392" s="111">
        <v>44651</v>
      </c>
      <c r="J1392" s="48" t="s">
        <v>182</v>
      </c>
      <c r="K1392" s="26">
        <v>807600</v>
      </c>
      <c r="L1392" s="26"/>
      <c r="M1392" s="27">
        <v>0</v>
      </c>
      <c r="N1392" s="28"/>
      <c r="O1392" s="27">
        <v>0</v>
      </c>
      <c r="P1392" s="28">
        <v>0</v>
      </c>
      <c r="Q1392" s="27">
        <v>0</v>
      </c>
      <c r="R1392" s="26">
        <v>807600</v>
      </c>
      <c r="S1392" s="115">
        <f ca="1">IF(PROVEEDORES[[#This Row],[FECHA DE PAGO]]=0,TODAY()-PROVEEDORES[[#This Row],[FECHA DE FACTURACIÓN]]-PROVEEDORES[[#This Row],[PLAZO Días]],0)</f>
        <v>0</v>
      </c>
      <c r="T139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3" spans="1:20" ht="21.9" customHeight="1" x14ac:dyDescent="0.3">
      <c r="A1393" s="113" t="str">
        <f>+IF(PROVEEDORES[[#This Row],[FECHA DE PAGO]]=PROVEEDORES[[#This Row],[FECHA DE FACTURACIÓN]],"DE CONTADO","CRÉDITO")</f>
        <v>DE CONTADO</v>
      </c>
      <c r="B1393" s="51" t="b">
        <f>+IF((PROVEEDORES[[#This Row],[FECHA DE PAGO]]-PROVEEDORES[[#This Row],[FECHA DE FACTURACIÓN]])&gt;PROVEEDORES[[#This Row],[PLAZO Días]],"PAGO VENCIDO")</f>
        <v>0</v>
      </c>
      <c r="C1393" s="25">
        <f>+VLOOKUP(PROVEEDORES[[#This Row],[PROVEEDOR]],TERCEROS_INFO[#All],2,FALSE)</f>
        <v>30</v>
      </c>
      <c r="D1393" s="30">
        <f>+SUMIFS(PROVEEDORES[Total],PROVEEDORES[PROVEEDOR],PROVEEDORES[[#This Row],[PROVEEDOR]],PROVEEDORES[FECHA DE PAGO],"")</f>
        <v>0</v>
      </c>
      <c r="E1393" s="30"/>
      <c r="F1393" s="73" t="str">
        <f>+VLOOKUP(PROVEEDORES[[#This Row],[PROVEEDOR]],TERCEROS_INFO[[PROVEEDOR]:[CORREO]],5,FALSE)</f>
        <v/>
      </c>
      <c r="G1393" s="111">
        <v>44651</v>
      </c>
      <c r="H1393" s="31" t="s">
        <v>1016</v>
      </c>
      <c r="I1393" s="111">
        <v>44651</v>
      </c>
      <c r="J1393" s="48" t="s">
        <v>943</v>
      </c>
      <c r="K1393" s="26">
        <v>3637200</v>
      </c>
      <c r="L1393" s="26"/>
      <c r="M1393" s="27">
        <v>0</v>
      </c>
      <c r="N1393" s="28"/>
      <c r="O1393" s="27">
        <v>0</v>
      </c>
      <c r="P1393" s="28">
        <v>0</v>
      </c>
      <c r="Q1393" s="27">
        <v>0</v>
      </c>
      <c r="R1393" s="26">
        <v>3637200</v>
      </c>
      <c r="S1393" s="115">
        <f ca="1">IF(PROVEEDORES[[#This Row],[FECHA DE PAGO]]=0,TODAY()-PROVEEDORES[[#This Row],[FECHA DE FACTURACIÓN]]-PROVEEDORES[[#This Row],[PLAZO Días]],0)</f>
        <v>0</v>
      </c>
      <c r="T139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4" spans="1:20" ht="21.9" customHeight="1" x14ac:dyDescent="0.3">
      <c r="A1394" s="113" t="str">
        <f>+IF(PROVEEDORES[[#This Row],[FECHA DE PAGO]]=PROVEEDORES[[#This Row],[FECHA DE FACTURACIÓN]],"DE CONTADO","CRÉDITO")</f>
        <v>CRÉDITO</v>
      </c>
      <c r="B1394" s="51" t="b">
        <f>+IF((PROVEEDORES[[#This Row],[FECHA DE PAGO]]-PROVEEDORES[[#This Row],[FECHA DE FACTURACIÓN]])&gt;PROVEEDORES[[#This Row],[PLAZO Días]],"PAGO VENCIDO")</f>
        <v>0</v>
      </c>
      <c r="C1394" s="25">
        <f>+VLOOKUP(PROVEEDORES[[#This Row],[PROVEEDOR]],TERCEROS_INFO[#All],2,FALSE)</f>
        <v>30</v>
      </c>
      <c r="D1394" s="30">
        <f>+SUMIFS(PROVEEDORES[Total],PROVEEDORES[PROVEEDOR],PROVEEDORES[[#This Row],[PROVEEDOR]],PROVEEDORES[FECHA DE PAGO],"")</f>
        <v>5060410.5999999996</v>
      </c>
      <c r="E1394" s="30"/>
      <c r="F1394" s="73" t="str">
        <f>+VLOOKUP(PROVEEDORES[[#This Row],[PROVEEDOR]],TERCEROS_INFO[[PROVEEDOR]:[CORREO]],5,FALSE)</f>
        <v>CBastidas@vyp.com.co;girlesa.ruiz@servipilas.com;joriescobar64@gmail.com</v>
      </c>
      <c r="H1394" s="31" t="s">
        <v>347</v>
      </c>
      <c r="I1394" s="111">
        <v>44652</v>
      </c>
      <c r="J1394" s="48" t="s">
        <v>1092</v>
      </c>
      <c r="K1394" s="26">
        <v>-47260</v>
      </c>
      <c r="L1394" s="26"/>
      <c r="M1394" s="27">
        <v>-8979.4</v>
      </c>
      <c r="N1394" s="28"/>
      <c r="O1394" s="27">
        <v>0</v>
      </c>
      <c r="P1394" s="28">
        <v>0</v>
      </c>
      <c r="Q1394" s="27">
        <v>0</v>
      </c>
      <c r="R1394" s="26">
        <v>-56239.4</v>
      </c>
      <c r="S1394" s="115">
        <f ca="1">IF(PROVEEDORES[[#This Row],[FECHA DE PAGO]]=0,TODAY()-PROVEEDORES[[#This Row],[FECHA DE FACTURACIÓN]]-PROVEEDORES[[#This Row],[PLAZO Días]],0)</f>
        <v>-14</v>
      </c>
      <c r="T1394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95" spans="1:20" ht="21.9" customHeight="1" x14ac:dyDescent="0.3">
      <c r="A1395" s="113" t="str">
        <f>+IF(PROVEEDORES[[#This Row],[FECHA DE PAGO]]=PROVEEDORES[[#This Row],[FECHA DE FACTURACIÓN]],"DE CONTADO","CRÉDITO")</f>
        <v>DE CONTADO</v>
      </c>
      <c r="B1395" s="51" t="b">
        <f>+IF((PROVEEDORES[[#This Row],[FECHA DE PAGO]]-PROVEEDORES[[#This Row],[FECHA DE FACTURACIÓN]])&gt;PROVEEDORES[[#This Row],[PLAZO Días]],"PAGO VENCIDO")</f>
        <v>0</v>
      </c>
      <c r="C1395" s="25">
        <f>+VLOOKUP(PROVEEDORES[[#This Row],[PROVEEDOR]],TERCEROS_INFO[#All],2,FALSE)</f>
        <v>30</v>
      </c>
      <c r="D1395" s="30">
        <f>+SUMIFS(PROVEEDORES[Total],PROVEEDORES[PROVEEDOR],PROVEEDORES[[#This Row],[PROVEEDOR]],PROVEEDORES[FECHA DE PAGO],"")</f>
        <v>0</v>
      </c>
      <c r="E1395" s="30"/>
      <c r="F1395" s="73" t="str">
        <f>+VLOOKUP(PROVEEDORES[[#This Row],[PROVEEDOR]],TERCEROS_INFO[[PROVEEDOR]:[CORREO]],5,FALSE)</f>
        <v/>
      </c>
      <c r="G1395" s="111">
        <v>44652</v>
      </c>
      <c r="H1395" s="31" t="s">
        <v>989</v>
      </c>
      <c r="I1395" s="111">
        <v>44652</v>
      </c>
      <c r="J1395" s="48" t="s">
        <v>1267</v>
      </c>
      <c r="K1395" s="26">
        <f>298000-180000</f>
        <v>118000</v>
      </c>
      <c r="L1395" s="26"/>
      <c r="M1395" s="27">
        <f>(PROVEEDORES[[#This Row],[SUBTOTAL]]-PROVEEDORES[[#This Row],[descuento antes de IVA]])*VLOOKUP(PROVEEDORES[[#This Row],[PROVEEDOR]],TERCEROS_INFO[#All],3,FALSE)</f>
        <v>0</v>
      </c>
      <c r="N1395" s="28"/>
      <c r="O1395" s="27">
        <f>+PROVEEDORES[[#This Row],[Descuento sobre subtotal %]]*(PROVEEDORES[[#This Row],[SUBTOTAL]]-PROVEEDORES[[#This Row],[descuento antes de IVA]])</f>
        <v>0</v>
      </c>
      <c r="P1395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395" s="27">
        <f>+(PROVEEDORES[[#This Row],[SUBTOTAL]]-PROVEEDORES[[#This Row],[descuento antes de IVA]])*PROVEEDORES[[#This Row],[Rete Fuente %]]</f>
        <v>0</v>
      </c>
      <c r="R1395" s="26">
        <f>+PROVEEDORES[[#This Row],[SUBTOTAL]]+PROVEEDORES[[#This Row],[IVA 19%]]-PROVEEDORES[[#This Row],[descuento antes de IVA]]-PROVEEDORES[[#This Row],[Descuento sobre subtotal $]]-PROVEEDORES[[#This Row],[Rete Fuente $]]</f>
        <v>118000</v>
      </c>
      <c r="S1395" s="115">
        <f ca="1">IF(PROVEEDORES[[#This Row],[FECHA DE PAGO]]=0,TODAY()-PROVEEDORES[[#This Row],[FECHA DE FACTURACIÓN]]-PROVEEDORES[[#This Row],[PLAZO Días]],0)</f>
        <v>0</v>
      </c>
      <c r="T1395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6" spans="1:20" ht="21.9" customHeight="1" x14ac:dyDescent="0.3">
      <c r="A1396" s="113" t="str">
        <f>+IF(PROVEEDORES[[#This Row],[FECHA DE PAGO]]=PROVEEDORES[[#This Row],[FECHA DE FACTURACIÓN]],"DE CONTADO","CRÉDITO")</f>
        <v>CRÉDITO</v>
      </c>
      <c r="B1396" s="51" t="b">
        <f>+IF((PROVEEDORES[[#This Row],[FECHA DE PAGO]]-PROVEEDORES[[#This Row],[FECHA DE FACTURACIÓN]])&gt;PROVEEDORES[[#This Row],[PLAZO Días]],"PAGO VENCIDO")</f>
        <v>0</v>
      </c>
      <c r="C1396" s="25">
        <f>+VLOOKUP(PROVEEDORES[[#This Row],[PROVEEDOR]],TERCEROS_INFO[#All],2,FALSE)</f>
        <v>30</v>
      </c>
      <c r="D1396" s="30">
        <f>+SUMIFS(PROVEEDORES[Total],PROVEEDORES[PROVEEDOR],PROVEEDORES[[#This Row],[PROVEEDOR]],PROVEEDORES[FECHA DE PAGO],"")</f>
        <v>0</v>
      </c>
      <c r="E1396" s="30"/>
      <c r="F1396" s="73" t="str">
        <f>+VLOOKUP(PROVEEDORES[[#This Row],[PROVEEDOR]],TERCEROS_INFO[[PROVEEDOR]:[CORREO]],5,FALSE)</f>
        <v>PSE</v>
      </c>
      <c r="G1396" s="111">
        <v>44663</v>
      </c>
      <c r="H1396" s="31" t="s">
        <v>353</v>
      </c>
      <c r="I1396" s="111">
        <v>44652</v>
      </c>
      <c r="J1396" s="48" t="s">
        <v>1264</v>
      </c>
      <c r="K1396" s="26">
        <f>59583+68166</f>
        <v>127749</v>
      </c>
      <c r="L1396" s="26"/>
      <c r="M1396" s="27">
        <f>(PROVEEDORES[[#This Row],[SUBTOTAL]]-PROVEEDORES[[#This Row],[descuento antes de IVA]])*VLOOKUP(PROVEEDORES[[#This Row],[PROVEEDOR]],TERCEROS_INFO[#All],3,FALSE)</f>
        <v>0</v>
      </c>
      <c r="N1396" s="28"/>
      <c r="O1396" s="27">
        <f>+PROVEEDORES[[#This Row],[Descuento sobre subtotal %]]*(PROVEEDORES[[#This Row],[SUBTOTAL]]-PROVEEDORES[[#This Row],[descuento antes de IVA]])</f>
        <v>0</v>
      </c>
      <c r="P1396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396" s="27">
        <f>+(PROVEEDORES[[#This Row],[SUBTOTAL]]-PROVEEDORES[[#This Row],[descuento antes de IVA]])*PROVEEDORES[[#This Row],[Rete Fuente %]]</f>
        <v>0</v>
      </c>
      <c r="R1396" s="26">
        <f>+PROVEEDORES[[#This Row],[SUBTOTAL]]+PROVEEDORES[[#This Row],[IVA 19%]]-PROVEEDORES[[#This Row],[descuento antes de IVA]]-PROVEEDORES[[#This Row],[Descuento sobre subtotal $]]-PROVEEDORES[[#This Row],[Rete Fuente $]]</f>
        <v>127749</v>
      </c>
      <c r="S1396" s="115">
        <f ca="1">IF(PROVEEDORES[[#This Row],[FECHA DE PAGO]]=0,TODAY()-PROVEEDORES[[#This Row],[FECHA DE FACTURACIÓN]]-PROVEEDORES[[#This Row],[PLAZO Días]],0)</f>
        <v>0</v>
      </c>
      <c r="T139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7" spans="1:20" ht="21.9" customHeight="1" x14ac:dyDescent="0.3">
      <c r="A1397" s="113" t="str">
        <f>+IF(PROVEEDORES[[#This Row],[FECHA DE PAGO]]=PROVEEDORES[[#This Row],[FECHA DE FACTURACIÓN]],"DE CONTADO","CRÉDITO")</f>
        <v>CRÉDITO</v>
      </c>
      <c r="B1397" s="51" t="b">
        <f>+IF((PROVEEDORES[[#This Row],[FECHA DE PAGO]]-PROVEEDORES[[#This Row],[FECHA DE FACTURACIÓN]])&gt;PROVEEDORES[[#This Row],[PLAZO Días]],"PAGO VENCIDO")</f>
        <v>0</v>
      </c>
      <c r="C1397" s="25">
        <f>+VLOOKUP(PROVEEDORES[[#This Row],[PROVEEDOR]],TERCEROS_INFO[#All],2,FALSE)</f>
        <v>30</v>
      </c>
      <c r="D1397" s="30">
        <f>+SUMIFS(PROVEEDORES[Total],PROVEEDORES[PROVEEDOR],PROVEEDORES[[#This Row],[PROVEEDOR]],PROVEEDORES[FECHA DE PAGO],"")</f>
        <v>248736.18000000002</v>
      </c>
      <c r="E1397" s="30"/>
      <c r="F1397" s="73" t="str">
        <f>+VLOOKUP(PROVEEDORES[[#This Row],[PROVEEDOR]],TERCEROS_INFO[[PROVEEDOR]:[CORREO]],5,FALSE)</f>
        <v>administracion@sapian.com.co;girlesa.ruiz@servipilas.com;joriescobar64@gmail.com</v>
      </c>
      <c r="H1397" s="31" t="s">
        <v>346</v>
      </c>
      <c r="I1397" s="111">
        <v>44652</v>
      </c>
      <c r="J1397" s="48">
        <v>4651</v>
      </c>
      <c r="K1397" s="26">
        <v>215356</v>
      </c>
      <c r="L1397" s="26"/>
      <c r="M1397" s="27">
        <v>40917.64</v>
      </c>
      <c r="N1397" s="28"/>
      <c r="O1397" s="27">
        <v>0</v>
      </c>
      <c r="P1397" s="28">
        <v>3.5000000000000003E-2</v>
      </c>
      <c r="Q1397" s="27">
        <v>7537.4600000000009</v>
      </c>
      <c r="R1397" s="26">
        <v>248736.18000000002</v>
      </c>
      <c r="S1397" s="115">
        <f ca="1">IF(PROVEEDORES[[#This Row],[FECHA DE PAGO]]=0,TODAY()-PROVEEDORES[[#This Row],[FECHA DE FACTURACIÓN]]-PROVEEDORES[[#This Row],[PLAZO Días]],0)</f>
        <v>-14</v>
      </c>
      <c r="T1397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398" spans="1:20" ht="21.9" customHeight="1" x14ac:dyDescent="0.3">
      <c r="A1398" s="113" t="str">
        <f>+IF(PROVEEDORES[[#This Row],[FECHA DE PAGO]]=PROVEEDORES[[#This Row],[FECHA DE FACTURACIÓN]],"DE CONTADO","CRÉDITO")</f>
        <v>CRÉDITO</v>
      </c>
      <c r="B1398" s="51" t="b">
        <f>+IF((PROVEEDORES[[#This Row],[FECHA DE PAGO]]-PROVEEDORES[[#This Row],[FECHA DE FACTURACIÓN]])&gt;PROVEEDORES[[#This Row],[PLAZO Días]],"PAGO VENCIDO")</f>
        <v>0</v>
      </c>
      <c r="C1398" s="25">
        <f>+VLOOKUP(PROVEEDORES[[#This Row],[PROVEEDOR]],TERCEROS_INFO[#All],2,FALSE)</f>
        <v>30</v>
      </c>
      <c r="D1398" s="30">
        <f>+SUMIFS(PROVEEDORES[Total],PROVEEDORES[PROVEEDOR],PROVEEDORES[[#This Row],[PROVEEDOR]],PROVEEDORES[FECHA DE PAGO],"")</f>
        <v>0</v>
      </c>
      <c r="E1398" s="30"/>
      <c r="F1398" s="73" t="str">
        <f>+VLOOKUP(PROVEEDORES[[#This Row],[PROVEEDOR]],TERCEROS_INFO[[PROVEEDOR]:[CORREO]],5,FALSE)</f>
        <v>facturacion@losmolinos.com.co</v>
      </c>
      <c r="G1398" s="111">
        <v>44663</v>
      </c>
      <c r="H1398" s="31" t="s">
        <v>345</v>
      </c>
      <c r="I1398" s="111">
        <v>44652</v>
      </c>
      <c r="J1398" s="48">
        <v>66928</v>
      </c>
      <c r="K1398" s="26">
        <v>284467</v>
      </c>
      <c r="L1398" s="26"/>
      <c r="M1398" s="27">
        <v>0</v>
      </c>
      <c r="N1398" s="28"/>
      <c r="O1398" s="27">
        <v>8522.67</v>
      </c>
      <c r="P1398" s="28">
        <v>0</v>
      </c>
      <c r="Q1398" s="27">
        <v>0</v>
      </c>
      <c r="R1398" s="26">
        <v>275944.33</v>
      </c>
      <c r="S1398" s="115">
        <f ca="1">IF(PROVEEDORES[[#This Row],[FECHA DE PAGO]]=0,TODAY()-PROVEEDORES[[#This Row],[FECHA DE FACTURACIÓN]]-PROVEEDORES[[#This Row],[PLAZO Días]],0)</f>
        <v>0</v>
      </c>
      <c r="T139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399" spans="1:20" ht="21.9" customHeight="1" x14ac:dyDescent="0.3">
      <c r="A1399" s="113" t="str">
        <f>+IF(PROVEEDORES[[#This Row],[FECHA DE PAGO]]=PROVEEDORES[[#This Row],[FECHA DE FACTURACIÓN]],"DE CONTADO","CRÉDITO")</f>
        <v>CRÉDITO</v>
      </c>
      <c r="B1399" s="51" t="b">
        <f>+IF((PROVEEDORES[[#This Row],[FECHA DE PAGO]]-PROVEEDORES[[#This Row],[FECHA DE FACTURACIÓN]])&gt;PROVEEDORES[[#This Row],[PLAZO Días]],"PAGO VENCIDO")</f>
        <v>0</v>
      </c>
      <c r="C1399" s="25">
        <f>+VLOOKUP(PROVEEDORES[[#This Row],[PROVEEDOR]],TERCEROS_INFO[#All],2,FALSE)</f>
        <v>13</v>
      </c>
      <c r="D1399" s="30">
        <f>+SUMIFS(PROVEEDORES[Total],PROVEEDORES[PROVEEDOR],PROVEEDORES[[#This Row],[PROVEEDOR]],PROVEEDORES[FECHA DE PAGO],"")</f>
        <v>0</v>
      </c>
      <c r="E1399" s="30"/>
      <c r="F1399" s="73">
        <f>+VLOOKUP(PROVEEDORES[[#This Row],[PROVEEDOR]],TERCEROS_INFO[[PROVEEDOR]:[CORREO]],5,FALSE)</f>
        <v>0</v>
      </c>
      <c r="G1399" s="111">
        <v>44663</v>
      </c>
      <c r="H1399" s="31" t="s">
        <v>329</v>
      </c>
      <c r="I1399" s="111">
        <v>44652</v>
      </c>
      <c r="J1399" s="48"/>
      <c r="K1399" s="26">
        <v>342453</v>
      </c>
      <c r="L1399" s="26"/>
      <c r="M1399" s="27">
        <v>0</v>
      </c>
      <c r="N1399" s="28"/>
      <c r="O1399" s="27">
        <v>0</v>
      </c>
      <c r="P1399" s="28">
        <v>0</v>
      </c>
      <c r="Q1399" s="27">
        <v>0</v>
      </c>
      <c r="R1399" s="26">
        <v>342453</v>
      </c>
      <c r="S1399" s="115">
        <f ca="1">IF(PROVEEDORES[[#This Row],[FECHA DE PAGO]]=0,TODAY()-PROVEEDORES[[#This Row],[FECHA DE FACTURACIÓN]]-PROVEEDORES[[#This Row],[PLAZO Días]],0)</f>
        <v>0</v>
      </c>
      <c r="T1399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00" spans="1:20" ht="21.9" customHeight="1" x14ac:dyDescent="0.3">
      <c r="A1400" s="113" t="str">
        <f>+IF(PROVEEDORES[[#This Row],[FECHA DE PAGO]]=PROVEEDORES[[#This Row],[FECHA DE FACTURACIÓN]],"DE CONTADO","CRÉDITO")</f>
        <v>CRÉDITO</v>
      </c>
      <c r="B1400" s="51" t="b">
        <f>+IF((PROVEEDORES[[#This Row],[FECHA DE PAGO]]-PROVEEDORES[[#This Row],[FECHA DE FACTURACIÓN]])&gt;PROVEEDORES[[#This Row],[PLAZO Días]],"PAGO VENCIDO")</f>
        <v>0</v>
      </c>
      <c r="C1400" s="25">
        <f>+VLOOKUP(PROVEEDORES[[#This Row],[PROVEEDOR]],TERCEROS_INFO[#All],2,FALSE)</f>
        <v>30</v>
      </c>
      <c r="D1400" s="30">
        <f>+SUMIFS(PROVEEDORES[Total],PROVEEDORES[PROVEEDOR],PROVEEDORES[[#This Row],[PROVEEDOR]],PROVEEDORES[FECHA DE PAGO],"")</f>
        <v>4862586.33</v>
      </c>
      <c r="E1400" s="30"/>
      <c r="F1400" s="73" t="str">
        <f>+VLOOKUP(PROVEEDORES[[#This Row],[PROVEEDOR]],TERCEROS_INFO[[PROVEEDOR]:[CORREO]],5,FALSE)</f>
        <v>cartera@conbienes.com;girlesa.ruiz@servipilas.com;joriescobar64@gmail.com</v>
      </c>
      <c r="H1400" s="31" t="s">
        <v>348</v>
      </c>
      <c r="I1400" s="111">
        <v>44652</v>
      </c>
      <c r="J1400" s="48" t="s">
        <v>1023</v>
      </c>
      <c r="K1400" s="26">
        <v>791781</v>
      </c>
      <c r="L1400" s="26"/>
      <c r="M1400" s="27">
        <v>150438.39000000001</v>
      </c>
      <c r="N1400" s="28"/>
      <c r="O1400" s="27">
        <v>0</v>
      </c>
      <c r="P1400" s="28">
        <v>0</v>
      </c>
      <c r="Q1400" s="27">
        <v>0</v>
      </c>
      <c r="R1400" s="26">
        <v>942219.39</v>
      </c>
      <c r="S1400" s="115">
        <f ca="1">IF(PROVEEDORES[[#This Row],[FECHA DE PAGO]]=0,TODAY()-PROVEEDORES[[#This Row],[FECHA DE FACTURACIÓN]]-PROVEEDORES[[#This Row],[PLAZO Días]],0)</f>
        <v>-14</v>
      </c>
      <c r="T1400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401" spans="1:20" ht="21.9" customHeight="1" x14ac:dyDescent="0.3">
      <c r="A1401" s="113" t="str">
        <f>+IF(PROVEEDORES[[#This Row],[FECHA DE PAGO]]=PROVEEDORES[[#This Row],[FECHA DE FACTURACIÓN]],"DE CONTADO","CRÉDITO")</f>
        <v>CRÉDITO</v>
      </c>
      <c r="B1401" s="51" t="b">
        <f>+IF((PROVEEDORES[[#This Row],[FECHA DE PAGO]]-PROVEEDORES[[#This Row],[FECHA DE FACTURACIÓN]])&gt;PROVEEDORES[[#This Row],[PLAZO Días]],"PAGO VENCIDO")</f>
        <v>0</v>
      </c>
      <c r="C1401" s="25">
        <f>+VLOOKUP(PROVEEDORES[[#This Row],[PROVEEDOR]],TERCEROS_INFO[#All],2,FALSE)</f>
        <v>30</v>
      </c>
      <c r="D1401" s="30">
        <f>+SUMIFS(PROVEEDORES[Total],PROVEEDORES[PROVEEDOR],PROVEEDORES[[#This Row],[PROVEEDOR]],PROVEEDORES[FECHA DE PAGO],"")</f>
        <v>0</v>
      </c>
      <c r="E1401" s="30"/>
      <c r="F1401" s="73" t="str">
        <f>+VLOOKUP(PROVEEDORES[[#This Row],[PROVEEDOR]],TERCEROS_INFO[[PROVEEDOR]:[CORREO]],5,FALSE)</f>
        <v>PSE</v>
      </c>
      <c r="G1401" s="111">
        <v>44663</v>
      </c>
      <c r="H1401" s="31" t="s">
        <v>353</v>
      </c>
      <c r="I1401" s="111">
        <v>44652</v>
      </c>
      <c r="J1401" s="48" t="s">
        <v>355</v>
      </c>
      <c r="K1401" s="26">
        <v>818874</v>
      </c>
      <c r="L1401" s="26"/>
      <c r="M1401" s="27">
        <v>0</v>
      </c>
      <c r="N1401" s="28"/>
      <c r="O1401" s="27">
        <v>0</v>
      </c>
      <c r="P1401" s="28">
        <v>0</v>
      </c>
      <c r="Q1401" s="27">
        <v>0</v>
      </c>
      <c r="R1401" s="26">
        <v>818874</v>
      </c>
      <c r="S1401" s="115">
        <f ca="1">IF(PROVEEDORES[[#This Row],[FECHA DE PAGO]]=0,TODAY()-PROVEEDORES[[#This Row],[FECHA DE FACTURACIÓN]]-PROVEEDORES[[#This Row],[PLAZO Días]],0)</f>
        <v>0</v>
      </c>
      <c r="T1401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02" spans="1:20" ht="21.9" customHeight="1" x14ac:dyDescent="0.3">
      <c r="A1402" s="113" t="str">
        <f>+IF(PROVEEDORES[[#This Row],[FECHA DE PAGO]]=PROVEEDORES[[#This Row],[FECHA DE FACTURACIÓN]],"DE CONTADO","CRÉDITO")</f>
        <v>CRÉDITO</v>
      </c>
      <c r="B1402" s="51" t="b">
        <f>+IF((PROVEEDORES[[#This Row],[FECHA DE PAGO]]-PROVEEDORES[[#This Row],[FECHA DE FACTURACIÓN]])&gt;PROVEEDORES[[#This Row],[PLAZO Días]],"PAGO VENCIDO")</f>
        <v>0</v>
      </c>
      <c r="C1402" s="25">
        <f>+VLOOKUP(PROVEEDORES[[#This Row],[PROVEEDOR]],TERCEROS_INFO[#All],2,FALSE)</f>
        <v>30</v>
      </c>
      <c r="D1402" s="30">
        <f>+SUMIFS(PROVEEDORES[Total],PROVEEDORES[PROVEEDOR],PROVEEDORES[[#This Row],[PROVEEDOR]],PROVEEDORES[FECHA DE PAGO],"")</f>
        <v>0</v>
      </c>
      <c r="E1402" s="30"/>
      <c r="F1402" s="73" t="str">
        <f>+VLOOKUP(PROVEEDORES[[#This Row],[PROVEEDOR]],TERCEROS_INFO[[PROVEEDOR]:[CORREO]],5,FALSE)</f>
        <v>PSE</v>
      </c>
      <c r="G1402" s="111">
        <v>44663</v>
      </c>
      <c r="H1402" s="31" t="s">
        <v>353</v>
      </c>
      <c r="I1402" s="111">
        <v>44652</v>
      </c>
      <c r="J1402" s="48" t="s">
        <v>354</v>
      </c>
      <c r="K1402" s="26">
        <v>825349</v>
      </c>
      <c r="L1402" s="26"/>
      <c r="M1402" s="27">
        <v>0</v>
      </c>
      <c r="N1402" s="28"/>
      <c r="O1402" s="27">
        <v>0</v>
      </c>
      <c r="P1402" s="28">
        <v>0</v>
      </c>
      <c r="Q1402" s="27">
        <v>0</v>
      </c>
      <c r="R1402" s="26">
        <v>825349</v>
      </c>
      <c r="S1402" s="115">
        <f ca="1">IF(PROVEEDORES[[#This Row],[FECHA DE PAGO]]=0,TODAY()-PROVEEDORES[[#This Row],[FECHA DE FACTURACIÓN]]-PROVEEDORES[[#This Row],[PLAZO Días]],0)</f>
        <v>0</v>
      </c>
      <c r="T1402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03" spans="1:20" ht="21.9" customHeight="1" x14ac:dyDescent="0.3">
      <c r="A1403" s="113" t="str">
        <f>+IF(PROVEEDORES[[#This Row],[FECHA DE PAGO]]=PROVEEDORES[[#This Row],[FECHA DE FACTURACIÓN]],"DE CONTADO","CRÉDITO")</f>
        <v>CRÉDITO</v>
      </c>
      <c r="B1403" s="51" t="b">
        <f>+IF((PROVEEDORES[[#This Row],[FECHA DE PAGO]]-PROVEEDORES[[#This Row],[FECHA DE FACTURACIÓN]])&gt;PROVEEDORES[[#This Row],[PLAZO Días]],"PAGO VENCIDO")</f>
        <v>0</v>
      </c>
      <c r="C1403" s="25">
        <f>+VLOOKUP(PROVEEDORES[[#This Row],[PROVEEDOR]],TERCEROS_INFO[#All],2,FALSE)</f>
        <v>30</v>
      </c>
      <c r="D1403" s="30">
        <f>+SUMIFS(PROVEEDORES[Total],PROVEEDORES[PROVEEDOR],PROVEEDORES[[#This Row],[PROVEEDOR]],PROVEEDORES[FECHA DE PAGO],"")</f>
        <v>0</v>
      </c>
      <c r="E1403" s="30"/>
      <c r="F1403" s="73">
        <f>+VLOOKUP(PROVEEDORES[[#This Row],[PROVEEDOR]],TERCEROS_INFO[[PROVEEDOR]:[CORREO]],5,FALSE)</f>
        <v>0</v>
      </c>
      <c r="G1403" s="111">
        <v>44658</v>
      </c>
      <c r="H1403" s="31" t="s">
        <v>1086</v>
      </c>
      <c r="I1403" s="111">
        <v>44652</v>
      </c>
      <c r="J1403" s="48" t="s">
        <v>1268</v>
      </c>
      <c r="K1403" s="26">
        <v>856000</v>
      </c>
      <c r="L1403" s="26"/>
      <c r="M1403" s="27">
        <f>(PROVEEDORES[[#This Row],[SUBTOTAL]]-PROVEEDORES[[#This Row],[descuento antes de IVA]])*VLOOKUP(PROVEEDORES[[#This Row],[PROVEEDOR]],TERCEROS_INFO[#All],3,FALSE)</f>
        <v>0</v>
      </c>
      <c r="N1403" s="28"/>
      <c r="O1403" s="27">
        <f>+PROVEEDORES[[#This Row],[Descuento sobre subtotal %]]*(PROVEEDORES[[#This Row],[SUBTOTAL]]-PROVEEDORES[[#This Row],[descuento antes de IVA]])</f>
        <v>0</v>
      </c>
      <c r="P1403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03" s="27">
        <f>+(PROVEEDORES[[#This Row],[SUBTOTAL]]-PROVEEDORES[[#This Row],[descuento antes de IVA]])*PROVEEDORES[[#This Row],[Rete Fuente %]]</f>
        <v>0</v>
      </c>
      <c r="R1403" s="26">
        <f>+PROVEEDORES[[#This Row],[SUBTOTAL]]+PROVEEDORES[[#This Row],[IVA 19%]]-PROVEEDORES[[#This Row],[descuento antes de IVA]]-PROVEEDORES[[#This Row],[Descuento sobre subtotal $]]-PROVEEDORES[[#This Row],[Rete Fuente $]]</f>
        <v>856000</v>
      </c>
      <c r="S1403" s="115">
        <f ca="1">IF(PROVEEDORES[[#This Row],[FECHA DE PAGO]]=0,TODAY()-PROVEEDORES[[#This Row],[FECHA DE FACTURACIÓN]]-PROVEEDORES[[#This Row],[PLAZO Días]],0)</f>
        <v>0</v>
      </c>
      <c r="T140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04" spans="1:20" ht="21.9" customHeight="1" x14ac:dyDescent="0.3">
      <c r="A1404" s="113" t="str">
        <f>+IF(PROVEEDORES[[#This Row],[FECHA DE PAGO]]=PROVEEDORES[[#This Row],[FECHA DE FACTURACIÓN]],"DE CONTADO","CRÉDITO")</f>
        <v>CRÉDITO</v>
      </c>
      <c r="B1404" s="51" t="b">
        <f>+IF((PROVEEDORES[[#This Row],[FECHA DE PAGO]]-PROVEEDORES[[#This Row],[FECHA DE FACTURACIÓN]])&gt;PROVEEDORES[[#This Row],[PLAZO Días]],"PAGO VENCIDO")</f>
        <v>0</v>
      </c>
      <c r="C1404" s="25">
        <f>+VLOOKUP(PROVEEDORES[[#This Row],[PROVEEDOR]],TERCEROS_INFO[#All],2,FALSE)</f>
        <v>20</v>
      </c>
      <c r="D1404" s="30">
        <f>+SUMIFS(PROVEEDORES[Total],PROVEEDORES[PROVEEDOR],PROVEEDORES[[#This Row],[PROVEEDOR]],PROVEEDORES[FECHA DE PAGO],"")</f>
        <v>0</v>
      </c>
      <c r="E1404" s="30"/>
      <c r="F1404" s="73" t="str">
        <f>+VLOOKUP(PROVEEDORES[[#This Row],[PROVEEDOR]],TERCEROS_INFO[[PROVEEDOR]:[CORREO]],5,FALSE)</f>
        <v>pse</v>
      </c>
      <c r="G1404" s="111">
        <v>44663</v>
      </c>
      <c r="H1404" s="31" t="s">
        <v>374</v>
      </c>
      <c r="I1404" s="111">
        <v>44652</v>
      </c>
      <c r="J1404" s="48"/>
      <c r="K1404" s="26">
        <v>948924</v>
      </c>
      <c r="L1404" s="26"/>
      <c r="M1404" s="27">
        <f>(PROVEEDORES[[#This Row],[SUBTOTAL]]-PROVEEDORES[[#This Row],[descuento antes de IVA]])*VLOOKUP(PROVEEDORES[[#This Row],[PROVEEDOR]],TERCEROS_INFO[#All],3,FALSE)</f>
        <v>0</v>
      </c>
      <c r="N1404" s="28"/>
      <c r="O1404" s="27">
        <f>+PROVEEDORES[[#This Row],[Descuento sobre subtotal %]]*(PROVEEDORES[[#This Row],[SUBTOTAL]]-PROVEEDORES[[#This Row],[descuento antes de IVA]])</f>
        <v>0</v>
      </c>
      <c r="P1404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04" s="27">
        <f>+(PROVEEDORES[[#This Row],[SUBTOTAL]]-PROVEEDORES[[#This Row],[descuento antes de IVA]])*PROVEEDORES[[#This Row],[Rete Fuente %]]</f>
        <v>0</v>
      </c>
      <c r="R1404" s="26">
        <f>+PROVEEDORES[[#This Row],[SUBTOTAL]]+PROVEEDORES[[#This Row],[IVA 19%]]-PROVEEDORES[[#This Row],[descuento antes de IVA]]-PROVEEDORES[[#This Row],[Descuento sobre subtotal $]]-PROVEEDORES[[#This Row],[Rete Fuente $]]</f>
        <v>948924</v>
      </c>
      <c r="S1404" s="115">
        <f ca="1">IF(PROVEEDORES[[#This Row],[FECHA DE PAGO]]=0,TODAY()-PROVEEDORES[[#This Row],[FECHA DE FACTURACIÓN]]-PROVEEDORES[[#This Row],[PLAZO Días]],0)</f>
        <v>0</v>
      </c>
      <c r="T140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05" spans="1:20" ht="21.9" customHeight="1" x14ac:dyDescent="0.3">
      <c r="A1405" s="113" t="str">
        <f>+IF(PROVEEDORES[[#This Row],[FECHA DE PAGO]]=PROVEEDORES[[#This Row],[FECHA DE FACTURACIÓN]],"DE CONTADO","CRÉDITO")</f>
        <v>CRÉDITO</v>
      </c>
      <c r="B1405" s="51" t="b">
        <f>+IF((PROVEEDORES[[#This Row],[FECHA DE PAGO]]-PROVEEDORES[[#This Row],[FECHA DE FACTURACIÓN]])&gt;PROVEEDORES[[#This Row],[PLAZO Días]],"PAGO VENCIDO")</f>
        <v>0</v>
      </c>
      <c r="C1405" s="25">
        <f>+VLOOKUP(PROVEEDORES[[#This Row],[PROVEEDOR]],TERCEROS_INFO[#All],2,FALSE)</f>
        <v>30</v>
      </c>
      <c r="D1405" s="30">
        <f>+SUMIFS(PROVEEDORES[Total],PROVEEDORES[PROVEEDOR],PROVEEDORES[[#This Row],[PROVEEDOR]],PROVEEDORES[FECHA DE PAGO],"")</f>
        <v>1296896</v>
      </c>
      <c r="E1405" s="30"/>
      <c r="F1405" s="73" t="str">
        <f>+VLOOKUP(PROVEEDORES[[#This Row],[PROVEEDOR]],TERCEROS_INFO[[PROVEEDOR]:[CORREO]],5,FALSE)</f>
        <v>tesoreria@lacentral.com.co;girlesa.ruiz@servipilas.com;joriescobar64@gmail.com</v>
      </c>
      <c r="H1405" s="31" t="s">
        <v>335</v>
      </c>
      <c r="I1405" s="111">
        <v>44652</v>
      </c>
      <c r="J1405" s="48">
        <v>10316</v>
      </c>
      <c r="K1405" s="26">
        <v>1922190</v>
      </c>
      <c r="L1405" s="26"/>
      <c r="M1405" s="27">
        <v>0</v>
      </c>
      <c r="N1405" s="28"/>
      <c r="O1405" s="27">
        <v>352963</v>
      </c>
      <c r="P1405" s="28">
        <v>0</v>
      </c>
      <c r="Q1405" s="27">
        <v>0</v>
      </c>
      <c r="R1405" s="26">
        <v>1569227</v>
      </c>
      <c r="S1405" s="115">
        <f ca="1">IF(PROVEEDORES[[#This Row],[FECHA DE PAGO]]=0,TODAY()-PROVEEDORES[[#This Row],[FECHA DE FACTURACIÓN]]-PROVEEDORES[[#This Row],[PLAZO Días]],0)</f>
        <v>-14</v>
      </c>
      <c r="T1405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406" spans="1:20" ht="21.9" customHeight="1" x14ac:dyDescent="0.3">
      <c r="A1406" s="113" t="str">
        <f>+IF(PROVEEDORES[[#This Row],[FECHA DE PAGO]]=PROVEEDORES[[#This Row],[FECHA DE FACTURACIÓN]],"DE CONTADO","CRÉDITO")</f>
        <v>CRÉDITO</v>
      </c>
      <c r="B1406" s="51" t="b">
        <f>+IF((PROVEEDORES[[#This Row],[FECHA DE PAGO]]-PROVEEDORES[[#This Row],[FECHA DE FACTURACIÓN]])&gt;PROVEEDORES[[#This Row],[PLAZO Días]],"PAGO VENCIDO")</f>
        <v>0</v>
      </c>
      <c r="C1406" s="25">
        <f>+VLOOKUP(PROVEEDORES[[#This Row],[PROVEEDOR]],TERCEROS_INFO[#All],2,FALSE)</f>
        <v>30</v>
      </c>
      <c r="D1406" s="30">
        <f>+SUMIFS(PROVEEDORES[Total],PROVEEDORES[PROVEEDOR],PROVEEDORES[[#This Row],[PROVEEDOR]],PROVEEDORES[FECHA DE PAGO],"")</f>
        <v>4862586.33</v>
      </c>
      <c r="E1406" s="30"/>
      <c r="F1406" s="73" t="str">
        <f>+VLOOKUP(PROVEEDORES[[#This Row],[PROVEEDOR]],TERCEROS_INFO[[PROVEEDOR]:[CORREO]],5,FALSE)</f>
        <v>cartera@conbienes.com;girlesa.ruiz@servipilas.com;joriescobar64@gmail.com</v>
      </c>
      <c r="H1406" s="31" t="s">
        <v>348</v>
      </c>
      <c r="I1406" s="111">
        <v>44652</v>
      </c>
      <c r="J1406" s="48" t="s">
        <v>1050</v>
      </c>
      <c r="K1406" s="26">
        <v>3294426</v>
      </c>
      <c r="L1406" s="26"/>
      <c r="M1406" s="27">
        <v>625940.94000000006</v>
      </c>
      <c r="N1406" s="28"/>
      <c r="O1406" s="27">
        <v>0</v>
      </c>
      <c r="P1406" s="28">
        <v>0</v>
      </c>
      <c r="Q1406" s="27">
        <v>0</v>
      </c>
      <c r="R1406" s="26">
        <v>3920366.94</v>
      </c>
      <c r="S1406" s="115">
        <f ca="1">IF(PROVEEDORES[[#This Row],[FECHA DE PAGO]]=0,TODAY()-PROVEEDORES[[#This Row],[FECHA DE FACTURACIÓN]]-PROVEEDORES[[#This Row],[PLAZO Días]],0)</f>
        <v>-14</v>
      </c>
      <c r="T1406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407" spans="1:20" ht="21.9" customHeight="1" x14ac:dyDescent="0.3">
      <c r="A1407" s="113" t="str">
        <f>+IF(PROVEEDORES[[#This Row],[FECHA DE PAGO]]=PROVEEDORES[[#This Row],[FECHA DE FACTURACIÓN]],"DE CONTADO","CRÉDITO")</f>
        <v>CRÉDITO</v>
      </c>
      <c r="B1407" s="51" t="b">
        <f>+IF((PROVEEDORES[[#This Row],[FECHA DE PAGO]]-PROVEEDORES[[#This Row],[FECHA DE FACTURACIÓN]])&gt;PROVEEDORES[[#This Row],[PLAZO Días]],"PAGO VENCIDO")</f>
        <v>0</v>
      </c>
      <c r="C1407" s="25">
        <f>+VLOOKUP(PROVEEDORES[[#This Row],[PROVEEDOR]],TERCEROS_INFO[#All],2,FALSE)</f>
        <v>30</v>
      </c>
      <c r="D1407" s="30">
        <f>+SUMIFS(PROVEEDORES[Total],PROVEEDORES[PROVEEDOR],PROVEEDORES[[#This Row],[PROVEEDOR]],PROVEEDORES[FECHA DE PAGO],"")</f>
        <v>5060410.5999999996</v>
      </c>
      <c r="E1407" s="30"/>
      <c r="F1407" s="73" t="str">
        <f>+VLOOKUP(PROVEEDORES[[#This Row],[PROVEEDOR]],TERCEROS_INFO[[PROVEEDOR]:[CORREO]],5,FALSE)</f>
        <v>CBastidas@vyp.com.co;girlesa.ruiz@servipilas.com;joriescobar64@gmail.com</v>
      </c>
      <c r="H1407" s="31" t="s">
        <v>347</v>
      </c>
      <c r="I1407" s="111">
        <v>44652</v>
      </c>
      <c r="J1407" s="48">
        <v>42651</v>
      </c>
      <c r="K1407" s="26">
        <v>4430000</v>
      </c>
      <c r="L1407" s="26"/>
      <c r="M1407" s="27">
        <v>841700</v>
      </c>
      <c r="N1407" s="28"/>
      <c r="O1407" s="27">
        <v>0</v>
      </c>
      <c r="P1407" s="28">
        <v>3.5000000000000003E-2</v>
      </c>
      <c r="Q1407" s="27">
        <v>155050.00000000003</v>
      </c>
      <c r="R1407" s="26">
        <v>5116650</v>
      </c>
      <c r="S1407" s="115">
        <f ca="1">IF(PROVEEDORES[[#This Row],[FECHA DE PAGO]]=0,TODAY()-PROVEEDORES[[#This Row],[FECHA DE FACTURACIÓN]]-PROVEEDORES[[#This Row],[PLAZO Días]],0)</f>
        <v>-14</v>
      </c>
      <c r="T1407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408" spans="1:20" ht="21.9" customHeight="1" x14ac:dyDescent="0.3">
      <c r="A1408" s="113" t="str">
        <f>+IF(PROVEEDORES[[#This Row],[FECHA DE PAGO]]=PROVEEDORES[[#This Row],[FECHA DE FACTURACIÓN]],"DE CONTADO","CRÉDITO")</f>
        <v>DE CONTADO</v>
      </c>
      <c r="B1408" s="51" t="b">
        <f>+IF((PROVEEDORES[[#This Row],[FECHA DE PAGO]]-PROVEEDORES[[#This Row],[FECHA DE FACTURACIÓN]])&gt;PROVEEDORES[[#This Row],[PLAZO Días]],"PAGO VENCIDO")</f>
        <v>0</v>
      </c>
      <c r="C1408" s="25">
        <f>+VLOOKUP(PROVEEDORES[[#This Row],[PROVEEDOR]],TERCEROS_INFO[#All],2,FALSE)</f>
        <v>30</v>
      </c>
      <c r="D1408" s="30">
        <f>+SUMIFS(PROVEEDORES[Total],PROVEEDORES[PROVEEDOR],PROVEEDORES[[#This Row],[PROVEEDOR]],PROVEEDORES[FECHA DE PAGO],"")</f>
        <v>0</v>
      </c>
      <c r="E1408" s="30"/>
      <c r="F1408" s="73" t="str">
        <f>+VLOOKUP(PROVEEDORES[[#This Row],[PROVEEDOR]],TERCEROS_INFO[[PROVEEDOR]:[CORREO]],5,FALSE)</f>
        <v/>
      </c>
      <c r="G1408" s="111">
        <v>44653</v>
      </c>
      <c r="H1408" s="31" t="s">
        <v>1037</v>
      </c>
      <c r="I1408" s="111">
        <v>44653</v>
      </c>
      <c r="J1408" s="48" t="s">
        <v>1266</v>
      </c>
      <c r="K1408" s="26">
        <v>640000</v>
      </c>
      <c r="L1408" s="26"/>
      <c r="M1408" s="27">
        <f>(PROVEEDORES[[#This Row],[SUBTOTAL]]-PROVEEDORES[[#This Row],[descuento antes de IVA]])*VLOOKUP(PROVEEDORES[[#This Row],[PROVEEDOR]],TERCEROS_INFO[#All],3,FALSE)</f>
        <v>0</v>
      </c>
      <c r="N1408" s="28"/>
      <c r="O1408" s="27">
        <f>+PROVEEDORES[[#This Row],[Descuento sobre subtotal %]]*(PROVEEDORES[[#This Row],[SUBTOTAL]]-PROVEEDORES[[#This Row],[descuento antes de IVA]])</f>
        <v>0</v>
      </c>
      <c r="P1408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08" s="27">
        <f>+(PROVEEDORES[[#This Row],[SUBTOTAL]]-PROVEEDORES[[#This Row],[descuento antes de IVA]])*PROVEEDORES[[#This Row],[Rete Fuente %]]</f>
        <v>0</v>
      </c>
      <c r="R1408" s="26">
        <f>+PROVEEDORES[[#This Row],[SUBTOTAL]]+PROVEEDORES[[#This Row],[IVA 19%]]-PROVEEDORES[[#This Row],[descuento antes de IVA]]-PROVEEDORES[[#This Row],[Descuento sobre subtotal $]]-PROVEEDORES[[#This Row],[Rete Fuente $]]</f>
        <v>640000</v>
      </c>
      <c r="S1408" s="115">
        <f ca="1">IF(PROVEEDORES[[#This Row],[FECHA DE PAGO]]=0,TODAY()-PROVEEDORES[[#This Row],[FECHA DE FACTURACIÓN]]-PROVEEDORES[[#This Row],[PLAZO Días]],0)</f>
        <v>0</v>
      </c>
      <c r="T1408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09" spans="1:20" ht="21.9" customHeight="1" x14ac:dyDescent="0.3">
      <c r="A1409" s="113" t="str">
        <f>+IF(PROVEEDORES[[#This Row],[FECHA DE PAGO]]=PROVEEDORES[[#This Row],[FECHA DE FACTURACIÓN]],"DE CONTADO","CRÉDITO")</f>
        <v>CRÉDITO</v>
      </c>
      <c r="B1409" s="51" t="b">
        <f>+IF((PROVEEDORES[[#This Row],[FECHA DE PAGO]]-PROVEEDORES[[#This Row],[FECHA DE FACTURACIÓN]])&gt;PROVEEDORES[[#This Row],[PLAZO Días]],"PAGO VENCIDO")</f>
        <v>0</v>
      </c>
      <c r="C1409" s="25">
        <f>+VLOOKUP(PROVEEDORES[[#This Row],[PROVEEDOR]],TERCEROS_INFO[#All],2,FALSE)</f>
        <v>30</v>
      </c>
      <c r="D1409" s="30">
        <f>+SUMIFS(PROVEEDORES[Total],PROVEEDORES[PROVEEDOR],PROVEEDORES[[#This Row],[PROVEEDOR]],PROVEEDORES[FECHA DE PAGO],"")</f>
        <v>3406</v>
      </c>
      <c r="E1409" s="30"/>
      <c r="F1409" s="73" t="str">
        <f>+VLOOKUP(PROVEEDORES[[#This Row],[PROVEEDOR]],TERCEROS_INFO[[PROVEEDOR]:[CORREO]],5,FALSE)</f>
        <v>ventas@ismartsas.com;girlesa.ruiz@servipilas.com;joriescobar64@gmail.com</v>
      </c>
      <c r="H1409" s="31" t="s">
        <v>48</v>
      </c>
      <c r="I1409" s="111">
        <v>44655</v>
      </c>
      <c r="J1409" s="48" t="s">
        <v>1013</v>
      </c>
      <c r="K1409" s="26">
        <v>3406</v>
      </c>
      <c r="L1409" s="26"/>
      <c r="M1409" s="27">
        <v>0</v>
      </c>
      <c r="N1409" s="28"/>
      <c r="O1409" s="27">
        <v>0</v>
      </c>
      <c r="P1409" s="28">
        <v>0</v>
      </c>
      <c r="Q1409" s="27">
        <v>0</v>
      </c>
      <c r="R1409" s="26">
        <v>3406</v>
      </c>
      <c r="S1409" s="115">
        <f ca="1">IF(PROVEEDORES[[#This Row],[FECHA DE PAGO]]=0,TODAY()-PROVEEDORES[[#This Row],[FECHA DE FACTURACIÓN]]-PROVEEDORES[[#This Row],[PLAZO Días]],0)</f>
        <v>-17</v>
      </c>
      <c r="T1409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410" spans="1:20" ht="21.9" customHeight="1" x14ac:dyDescent="0.3">
      <c r="A1410" s="113" t="str">
        <f>+IF(PROVEEDORES[[#This Row],[FECHA DE PAGO]]=PROVEEDORES[[#This Row],[FECHA DE FACTURACIÓN]],"DE CONTADO","CRÉDITO")</f>
        <v>CRÉDITO</v>
      </c>
      <c r="B1410" s="51" t="b">
        <f>+IF((PROVEEDORES[[#This Row],[FECHA DE PAGO]]-PROVEEDORES[[#This Row],[FECHA DE FACTURACIÓN]])&gt;PROVEEDORES[[#This Row],[PLAZO Días]],"PAGO VENCIDO")</f>
        <v>0</v>
      </c>
      <c r="C1410" s="25">
        <f>+VLOOKUP(PROVEEDORES[[#This Row],[PROVEEDOR]],TERCEROS_INFO[#All],2,FALSE)</f>
        <v>30</v>
      </c>
      <c r="D1410" s="30">
        <f>+SUMIFS(PROVEEDORES[Total],PROVEEDORES[PROVEEDOR],PROVEEDORES[[#This Row],[PROVEEDOR]],PROVEEDORES[FECHA DE PAGO],"")</f>
        <v>1856492</v>
      </c>
      <c r="E1410" s="30"/>
      <c r="F1410" s="73" t="str">
        <f>+VLOOKUP(PROVEEDORES[[#This Row],[PROVEEDOR]],TERCEROS_INFO[[PROVEEDOR]:[CORREO]],5,FALSE)</f>
        <v>PSE</v>
      </c>
      <c r="H1410" s="31" t="s">
        <v>337</v>
      </c>
      <c r="I1410" s="111">
        <v>44655</v>
      </c>
      <c r="J1410" s="48" t="s">
        <v>322</v>
      </c>
      <c r="K1410" s="26">
        <v>264114</v>
      </c>
      <c r="L1410" s="26"/>
      <c r="M1410" s="27">
        <f>(PROVEEDORES[[#This Row],[SUBTOTAL]]-PROVEEDORES[[#This Row],[descuento antes de IVA]])*VLOOKUP(PROVEEDORES[[#This Row],[PROVEEDOR]],TERCEROS_INFO[#All],3,FALSE)</f>
        <v>0</v>
      </c>
      <c r="N1410" s="28"/>
      <c r="O1410" s="27">
        <f>+PROVEEDORES[[#This Row],[Descuento sobre subtotal %]]*(PROVEEDORES[[#This Row],[SUBTOTAL]]-PROVEEDORES[[#This Row],[descuento antes de IVA]])</f>
        <v>0</v>
      </c>
      <c r="P1410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10" s="27">
        <f>+(PROVEEDORES[[#This Row],[SUBTOTAL]]-PROVEEDORES[[#This Row],[descuento antes de IVA]])*PROVEEDORES[[#This Row],[Rete Fuente %]]</f>
        <v>0</v>
      </c>
      <c r="R1410" s="26">
        <f>+PROVEEDORES[[#This Row],[SUBTOTAL]]+PROVEEDORES[[#This Row],[IVA 19%]]-PROVEEDORES[[#This Row],[descuento antes de IVA]]-PROVEEDORES[[#This Row],[Descuento sobre subtotal $]]-PROVEEDORES[[#This Row],[Rete Fuente $]]</f>
        <v>264114</v>
      </c>
      <c r="S1410" s="115">
        <f ca="1">IF(PROVEEDORES[[#This Row],[FECHA DE PAGO]]=0,TODAY()-PROVEEDORES[[#This Row],[FECHA DE FACTURACIÓN]]-PROVEEDORES[[#This Row],[PLAZO Días]],0)</f>
        <v>-17</v>
      </c>
      <c r="T1410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411" spans="1:20" ht="21.9" customHeight="1" x14ac:dyDescent="0.3">
      <c r="A1411" s="113" t="str">
        <f>+IF(PROVEEDORES[[#This Row],[FECHA DE PAGO]]=PROVEEDORES[[#This Row],[FECHA DE FACTURACIÓN]],"DE CONTADO","CRÉDITO")</f>
        <v>CRÉDITO</v>
      </c>
      <c r="B1411" s="51" t="b">
        <f>+IF((PROVEEDORES[[#This Row],[FECHA DE PAGO]]-PROVEEDORES[[#This Row],[FECHA DE FACTURACIÓN]])&gt;PROVEEDORES[[#This Row],[PLAZO Días]],"PAGO VENCIDO")</f>
        <v>0</v>
      </c>
      <c r="C1411" s="25">
        <f>+VLOOKUP(PROVEEDORES[[#This Row],[PROVEEDOR]],TERCEROS_INFO[#All],2,FALSE)</f>
        <v>30</v>
      </c>
      <c r="D1411" s="30">
        <f>+SUMIFS(PROVEEDORES[Total],PROVEEDORES[PROVEEDOR],PROVEEDORES[[#This Row],[PROVEEDOR]],PROVEEDORES[FECHA DE PAGO],"")</f>
        <v>1856492</v>
      </c>
      <c r="E1411" s="30"/>
      <c r="F1411" s="73" t="str">
        <f>+VLOOKUP(PROVEEDORES[[#This Row],[PROVEEDOR]],TERCEROS_INFO[[PROVEEDOR]:[CORREO]],5,FALSE)</f>
        <v>PSE</v>
      </c>
      <c r="H1411" s="31" t="s">
        <v>337</v>
      </c>
      <c r="I1411" s="111">
        <v>44655</v>
      </c>
      <c r="J1411" s="48" t="s">
        <v>321</v>
      </c>
      <c r="K1411" s="26">
        <v>1592378</v>
      </c>
      <c r="L1411" s="26"/>
      <c r="M1411" s="27">
        <f>(PROVEEDORES[[#This Row],[SUBTOTAL]]-PROVEEDORES[[#This Row],[descuento antes de IVA]])*VLOOKUP(PROVEEDORES[[#This Row],[PROVEEDOR]],TERCEROS_INFO[#All],3,FALSE)</f>
        <v>0</v>
      </c>
      <c r="N1411" s="28"/>
      <c r="O1411" s="27">
        <f>+PROVEEDORES[[#This Row],[Descuento sobre subtotal %]]*(PROVEEDORES[[#This Row],[SUBTOTAL]]-PROVEEDORES[[#This Row],[descuento antes de IVA]])</f>
        <v>0</v>
      </c>
      <c r="P1411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11" s="27">
        <f>+(PROVEEDORES[[#This Row],[SUBTOTAL]]-PROVEEDORES[[#This Row],[descuento antes de IVA]])*PROVEEDORES[[#This Row],[Rete Fuente %]]</f>
        <v>0</v>
      </c>
      <c r="R1411" s="26">
        <f>+PROVEEDORES[[#This Row],[SUBTOTAL]]+PROVEEDORES[[#This Row],[IVA 19%]]-PROVEEDORES[[#This Row],[descuento antes de IVA]]-PROVEEDORES[[#This Row],[Descuento sobre subtotal $]]-PROVEEDORES[[#This Row],[Rete Fuente $]]</f>
        <v>1592378</v>
      </c>
      <c r="S1411" s="115">
        <f ca="1">IF(PROVEEDORES[[#This Row],[FECHA DE PAGO]]=0,TODAY()-PROVEEDORES[[#This Row],[FECHA DE FACTURACIÓN]]-PROVEEDORES[[#This Row],[PLAZO Días]],0)</f>
        <v>-17</v>
      </c>
      <c r="T1411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412" spans="1:20" ht="21.9" customHeight="1" x14ac:dyDescent="0.3">
      <c r="A1412" s="113" t="str">
        <f>+IF(PROVEEDORES[[#This Row],[FECHA DE PAGO]]=PROVEEDORES[[#This Row],[FECHA DE FACTURACIÓN]],"DE CONTADO","CRÉDITO")</f>
        <v>CRÉDITO</v>
      </c>
      <c r="B1412" s="51" t="b">
        <f>+IF((PROVEEDORES[[#This Row],[FECHA DE PAGO]]-PROVEEDORES[[#This Row],[FECHA DE FACTURACIÓN]])&gt;PROVEEDORES[[#This Row],[PLAZO Días]],"PAGO VENCIDO")</f>
        <v>0</v>
      </c>
      <c r="C1412" s="25">
        <f>+VLOOKUP(PROVEEDORES[[#This Row],[PROVEEDOR]],TERCEROS_INFO[#All],2,FALSE)</f>
        <v>45</v>
      </c>
      <c r="D1412" s="30">
        <f>+SUMIFS(PROVEEDORES[Total],PROVEEDORES[PROVEEDOR],PROVEEDORES[[#This Row],[PROVEEDOR]],PROVEEDORES[FECHA DE PAGO],"")</f>
        <v>1328100</v>
      </c>
      <c r="E1412" s="30"/>
      <c r="F1412" s="73" t="str">
        <f>+VLOOKUP(PROVEEDORES[[#This Row],[PROVEEDOR]],TERCEROS_INFO[[PROVEEDOR]:[CORREO]],5,FALSE)</f>
        <v>jessica.barios.com@carpainternacional;girlesa.ruiz@servipilas.com;joriescobar64@gmail.com</v>
      </c>
      <c r="H1412" s="31" t="s">
        <v>609</v>
      </c>
      <c r="I1412" s="111">
        <v>44656</v>
      </c>
      <c r="J1412" s="48" t="s">
        <v>999</v>
      </c>
      <c r="K1412" s="26">
        <v>1328100</v>
      </c>
      <c r="L1412" s="26"/>
      <c r="M1412" s="27">
        <v>0</v>
      </c>
      <c r="N1412" s="28"/>
      <c r="O1412" s="27">
        <v>0</v>
      </c>
      <c r="P1412" s="28">
        <v>0</v>
      </c>
      <c r="Q1412" s="27">
        <v>0</v>
      </c>
      <c r="R1412" s="26">
        <v>1328100</v>
      </c>
      <c r="S1412" s="115">
        <f ca="1">IF(PROVEEDORES[[#This Row],[FECHA DE PAGO]]=0,TODAY()-PROVEEDORES[[#This Row],[FECHA DE FACTURACIÓN]]-PROVEEDORES[[#This Row],[PLAZO Días]],0)</f>
        <v>-33</v>
      </c>
      <c r="T1412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413" spans="1:20" ht="21.9" customHeight="1" x14ac:dyDescent="0.3">
      <c r="A1413" s="113" t="str">
        <f>+IF(PROVEEDORES[[#This Row],[FECHA DE PAGO]]=PROVEEDORES[[#This Row],[FECHA DE FACTURACIÓN]],"DE CONTADO","CRÉDITO")</f>
        <v>CRÉDITO</v>
      </c>
      <c r="B1413" s="51" t="b">
        <f>+IF((PROVEEDORES[[#This Row],[FECHA DE PAGO]]-PROVEEDORES[[#This Row],[FECHA DE FACTURACIÓN]])&gt;PROVEEDORES[[#This Row],[PLAZO Días]],"PAGO VENCIDO")</f>
        <v>0</v>
      </c>
      <c r="C1413" s="25">
        <f>+VLOOKUP(PROVEEDORES[[#This Row],[PROVEEDOR]],TERCEROS_INFO[#All],2,FALSE)</f>
        <v>30</v>
      </c>
      <c r="D1413" s="30">
        <f>+SUMIFS(PROVEEDORES[Total],PROVEEDORES[PROVEEDOR],PROVEEDORES[[#This Row],[PROVEEDOR]],PROVEEDORES[FECHA DE PAGO],"")</f>
        <v>264406</v>
      </c>
      <c r="E1413" s="30"/>
      <c r="F1413" s="73" t="str">
        <f>+VLOOKUP(PROVEEDORES[[#This Row],[PROVEEDOR]],TERCEROS_INFO[[PROVEEDOR]:[CORREO]],5,FALSE)</f>
        <v>oswaldo.alvarez@logimexsas.com;girlesa.ruiz@servipilas.com;joriescobar64@gmail.com</v>
      </c>
      <c r="G1413" s="111">
        <v>44657</v>
      </c>
      <c r="H1413" s="31" t="s">
        <v>393</v>
      </c>
      <c r="I1413" s="111">
        <v>44656</v>
      </c>
      <c r="J1413" s="48" t="s">
        <v>1180</v>
      </c>
      <c r="K1413" s="26">
        <v>1821000</v>
      </c>
      <c r="L1413" s="26"/>
      <c r="M1413" s="27">
        <v>0</v>
      </c>
      <c r="N1413" s="28"/>
      <c r="O1413" s="27">
        <v>0</v>
      </c>
      <c r="P1413" s="28">
        <v>0</v>
      </c>
      <c r="Q1413" s="27">
        <v>0</v>
      </c>
      <c r="R1413" s="26">
        <v>1821000</v>
      </c>
      <c r="S1413" s="115">
        <f ca="1">IF(PROVEEDORES[[#This Row],[FECHA DE PAGO]]=0,TODAY()-PROVEEDORES[[#This Row],[FECHA DE FACTURACIÓN]]-PROVEEDORES[[#This Row],[PLAZO Días]],0)</f>
        <v>0</v>
      </c>
      <c r="T1413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14" spans="1:20" ht="21.9" customHeight="1" x14ac:dyDescent="0.3">
      <c r="A1414" s="113" t="str">
        <f>+IF(PROVEEDORES[[#This Row],[FECHA DE PAGO]]=PROVEEDORES[[#This Row],[FECHA DE FACTURACIÓN]],"DE CONTADO","CRÉDITO")</f>
        <v>CRÉDITO</v>
      </c>
      <c r="B1414" s="51" t="b">
        <f>+IF((PROVEEDORES[[#This Row],[FECHA DE PAGO]]-PROVEEDORES[[#This Row],[FECHA DE FACTURACIÓN]])&gt;PROVEEDORES[[#This Row],[PLAZO Días]],"PAGO VENCIDO")</f>
        <v>0</v>
      </c>
      <c r="C1414" s="25">
        <f>+VLOOKUP(PROVEEDORES[[#This Row],[PROVEEDOR]],TERCEROS_INFO[#All],2,FALSE)</f>
        <v>30</v>
      </c>
      <c r="D1414" s="30">
        <f>+SUMIFS(PROVEEDORES[Total],PROVEEDORES[PROVEEDOR],PROVEEDORES[[#This Row],[PROVEEDOR]],PROVEEDORES[FECHA DE PAGO],"")</f>
        <v>0</v>
      </c>
      <c r="E1414" s="30"/>
      <c r="F1414" s="73" t="str">
        <f>+VLOOKUP(PROVEEDORES[[#This Row],[PROVEEDOR]],TERCEROS_INFO[[PROVEEDOR]:[CORREO]],5,FALSE)</f>
        <v/>
      </c>
      <c r="G1414" s="111">
        <v>44657</v>
      </c>
      <c r="H1414" s="31" t="s">
        <v>54</v>
      </c>
      <c r="I1414" s="111">
        <v>44656</v>
      </c>
      <c r="J1414" s="48">
        <v>289692</v>
      </c>
      <c r="K1414" s="26">
        <v>3918000</v>
      </c>
      <c r="L1414" s="26"/>
      <c r="M1414" s="27">
        <v>0</v>
      </c>
      <c r="N1414" s="28"/>
      <c r="O1414" s="27">
        <v>0</v>
      </c>
      <c r="P1414" s="28">
        <v>0</v>
      </c>
      <c r="Q1414" s="27">
        <v>0</v>
      </c>
      <c r="R1414" s="26">
        <v>3918000</v>
      </c>
      <c r="S1414" s="115">
        <f ca="1">IF(PROVEEDORES[[#This Row],[FECHA DE PAGO]]=0,TODAY()-PROVEEDORES[[#This Row],[FECHA DE FACTURACIÓN]]-PROVEEDORES[[#This Row],[PLAZO Días]],0)</f>
        <v>0</v>
      </c>
      <c r="T1414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15" spans="1:20" ht="21.9" customHeight="1" x14ac:dyDescent="0.3">
      <c r="A1415" s="113" t="str">
        <f>+IF(PROVEEDORES[[#This Row],[FECHA DE PAGO]]=PROVEEDORES[[#This Row],[FECHA DE FACTURACIÓN]],"DE CONTADO","CRÉDITO")</f>
        <v>CRÉDITO</v>
      </c>
      <c r="B1415" s="51" t="b">
        <f>+IF((PROVEEDORES[[#This Row],[FECHA DE PAGO]]-PROVEEDORES[[#This Row],[FECHA DE FACTURACIÓN]])&gt;PROVEEDORES[[#This Row],[PLAZO Días]],"PAGO VENCIDO")</f>
        <v>0</v>
      </c>
      <c r="C1415" s="25">
        <f>+VLOOKUP(PROVEEDORES[[#This Row],[PROVEEDOR]],TERCEROS_INFO[#All],2,FALSE)</f>
        <v>45</v>
      </c>
      <c r="D1415" s="30">
        <f>+SUMIFS(PROVEEDORES[Total],PROVEEDORES[PROVEEDOR],PROVEEDORES[[#This Row],[PROVEEDOR]],PROVEEDORES[FECHA DE PAGO],"")</f>
        <v>1070024.2</v>
      </c>
      <c r="E1415" s="30"/>
      <c r="F1415" s="73" t="str">
        <f>+VLOOKUP(PROVEEDORES[[#This Row],[PROVEEDOR]],TERCEROS_INFO[[PROVEEDOR]:[CORREO]],5,FALSE)</f>
        <v>libardopineda@tronex.com;girlesa.ruiz@servipilas.com;joriescobar64@gmail.com</v>
      </c>
      <c r="H1415" s="31" t="s">
        <v>10</v>
      </c>
      <c r="I1415" s="111">
        <v>44657</v>
      </c>
      <c r="J1415" s="48" t="s">
        <v>1272</v>
      </c>
      <c r="K1415" s="26">
        <v>516000</v>
      </c>
      <c r="L1415" s="26"/>
      <c r="M1415" s="27">
        <f>(PROVEEDORES[[#This Row],[SUBTOTAL]]-PROVEEDORES[[#This Row],[descuento antes de IVA]])*VLOOKUP(PROVEEDORES[[#This Row],[PROVEEDOR]],TERCEROS_INFO[#All],3,FALSE)</f>
        <v>98040</v>
      </c>
      <c r="N1415" s="28"/>
      <c r="O1415" s="27">
        <f>+PROVEEDORES[[#This Row],[Descuento sobre subtotal %]]*(PROVEEDORES[[#This Row],[SUBTOTAL]]-PROVEEDORES[[#This Row],[descuento antes de IVA]])</f>
        <v>0</v>
      </c>
      <c r="P1415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15" s="27">
        <f>+(PROVEEDORES[[#This Row],[SUBTOTAL]]-PROVEEDORES[[#This Row],[descuento antes de IVA]])*PROVEEDORES[[#This Row],[Rete Fuente %]]</f>
        <v>0</v>
      </c>
      <c r="R1415" s="26">
        <f>+PROVEEDORES[[#This Row],[SUBTOTAL]]+PROVEEDORES[[#This Row],[IVA 19%]]-PROVEEDORES[[#This Row],[descuento antes de IVA]]-PROVEEDORES[[#This Row],[Descuento sobre subtotal $]]-PROVEEDORES[[#This Row],[Rete Fuente $]]</f>
        <v>614040</v>
      </c>
      <c r="S1415" s="115">
        <f ca="1">IF(PROVEEDORES[[#This Row],[FECHA DE PAGO]]=0,TODAY()-PROVEEDORES[[#This Row],[FECHA DE FACTURACIÓN]]-PROVEEDORES[[#This Row],[PLAZO Días]],0)</f>
        <v>-34</v>
      </c>
      <c r="T1415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416" spans="1:20" ht="21.9" customHeight="1" x14ac:dyDescent="0.3">
      <c r="A1416" s="113" t="str">
        <f>+IF(PROVEEDORES[[#This Row],[FECHA DE PAGO]]=PROVEEDORES[[#This Row],[FECHA DE FACTURACIÓN]],"DE CONTADO","CRÉDITO")</f>
        <v>DE CONTADO</v>
      </c>
      <c r="B1416" s="51" t="b">
        <f>+IF((PROVEEDORES[[#This Row],[FECHA DE PAGO]]-PROVEEDORES[[#This Row],[FECHA DE FACTURACIÓN]])&gt;PROVEEDORES[[#This Row],[PLAZO Días]],"PAGO VENCIDO")</f>
        <v>0</v>
      </c>
      <c r="C1416" s="25">
        <f>+VLOOKUP(PROVEEDORES[[#This Row],[PROVEEDOR]],TERCEROS_INFO[#All],2,FALSE)</f>
        <v>30</v>
      </c>
      <c r="D1416" s="30">
        <f>+SUMIFS(PROVEEDORES[Total],PROVEEDORES[PROVEEDOR],PROVEEDORES[[#This Row],[PROVEEDOR]],PROVEEDORES[FECHA DE PAGO],"")</f>
        <v>0</v>
      </c>
      <c r="E1416" s="30"/>
      <c r="F1416" s="73" t="str">
        <f>+VLOOKUP(PROVEEDORES[[#This Row],[PROVEEDOR]],TERCEROS_INFO[[PROVEEDOR]:[CORREO]],5,FALSE)</f>
        <v/>
      </c>
      <c r="G1416" s="111">
        <v>44657</v>
      </c>
      <c r="H1416" s="31" t="s">
        <v>1052</v>
      </c>
      <c r="I1416" s="111">
        <v>44657</v>
      </c>
      <c r="J1416" s="48"/>
      <c r="K1416" s="26">
        <v>1000000</v>
      </c>
      <c r="L1416" s="26"/>
      <c r="M1416" s="27">
        <v>0</v>
      </c>
      <c r="N1416" s="28"/>
      <c r="O1416" s="27">
        <v>0</v>
      </c>
      <c r="P1416" s="28">
        <v>0</v>
      </c>
      <c r="Q1416" s="27">
        <v>0</v>
      </c>
      <c r="R1416" s="26">
        <v>1000000</v>
      </c>
      <c r="S1416" s="115">
        <f ca="1">IF(PROVEEDORES[[#This Row],[FECHA DE PAGO]]=0,TODAY()-PROVEEDORES[[#This Row],[FECHA DE FACTURACIÓN]]-PROVEEDORES[[#This Row],[PLAZO Días]],0)</f>
        <v>0</v>
      </c>
      <c r="T1416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17" spans="1:20" ht="21.9" customHeight="1" x14ac:dyDescent="0.3">
      <c r="A1417" s="113" t="str">
        <f>+IF(PROVEEDORES[[#This Row],[FECHA DE PAGO]]=PROVEEDORES[[#This Row],[FECHA DE FACTURACIÓN]],"DE CONTADO","CRÉDITO")</f>
        <v>CRÉDITO</v>
      </c>
      <c r="B1417" s="51" t="b">
        <f>+IF((PROVEEDORES[[#This Row],[FECHA DE PAGO]]-PROVEEDORES[[#This Row],[FECHA DE FACTURACIÓN]])&gt;PROVEEDORES[[#This Row],[PLAZO Días]],"PAGO VENCIDO")</f>
        <v>0</v>
      </c>
      <c r="C1417" s="25">
        <f>+VLOOKUP(PROVEEDORES[[#This Row],[PROVEEDOR]],TERCEROS_INFO[#All],2,FALSE)</f>
        <v>30</v>
      </c>
      <c r="D1417" s="30">
        <f>+SUMIFS(PROVEEDORES[Total],PROVEEDORES[PROVEEDOR],PROVEEDORES[[#This Row],[PROVEEDOR]],PROVEEDORES[FECHA DE PAGO],"")</f>
        <v>10764600</v>
      </c>
      <c r="E1417" s="30"/>
      <c r="F1417" s="73" t="str">
        <f>+VLOOKUP(PROVEEDORES[[#This Row],[PROVEEDOR]],TERCEROS_INFO[[PROVEEDOR]:[CORREO]],5,FALSE)</f>
        <v>apresupuesto@widexcolombia.com;girlesa.ruiz@servipilas.com;joriescobar64@gmail.com</v>
      </c>
      <c r="H1417" s="31" t="s">
        <v>11</v>
      </c>
      <c r="I1417" s="111">
        <v>44657</v>
      </c>
      <c r="J1417" s="48" t="s">
        <v>1273</v>
      </c>
      <c r="K1417" s="26">
        <v>5280000</v>
      </c>
      <c r="L1417" s="26"/>
      <c r="M1417" s="27">
        <f>(PROVEEDORES[[#This Row],[SUBTOTAL]]-PROVEEDORES[[#This Row],[descuento antes de IVA]])*VLOOKUP(PROVEEDORES[[#This Row],[PROVEEDOR]],TERCEROS_INFO[#All],3,FALSE)</f>
        <v>1003200</v>
      </c>
      <c r="N1417" s="28"/>
      <c r="O1417" s="27">
        <f>+PROVEEDORES[[#This Row],[Descuento sobre subtotal %]]*(PROVEEDORES[[#This Row],[SUBTOTAL]]-PROVEEDORES[[#This Row],[descuento antes de IVA]])</f>
        <v>0</v>
      </c>
      <c r="P1417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2.5000000000000001E-2</v>
      </c>
      <c r="Q1417" s="27">
        <f>+(PROVEEDORES[[#This Row],[SUBTOTAL]]-PROVEEDORES[[#This Row],[descuento antes de IVA]])*PROVEEDORES[[#This Row],[Rete Fuente %]]</f>
        <v>132000</v>
      </c>
      <c r="R1417" s="26">
        <f>+PROVEEDORES[[#This Row],[SUBTOTAL]]+PROVEEDORES[[#This Row],[IVA 19%]]-PROVEEDORES[[#This Row],[descuento antes de IVA]]-PROVEEDORES[[#This Row],[Descuento sobre subtotal $]]-PROVEEDORES[[#This Row],[Rete Fuente $]]</f>
        <v>6151200</v>
      </c>
      <c r="S1417" s="115">
        <f ca="1">IF(PROVEEDORES[[#This Row],[FECHA DE PAGO]]=0,TODAY()-PROVEEDORES[[#This Row],[FECHA DE FACTURACIÓN]]-PROVEEDORES[[#This Row],[PLAZO Días]],0)</f>
        <v>-19</v>
      </c>
      <c r="T1417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418" spans="1:20" ht="21.9" customHeight="1" x14ac:dyDescent="0.3">
      <c r="A1418" s="113" t="str">
        <f>+IF(PROVEEDORES[[#This Row],[FECHA DE PAGO]]=PROVEEDORES[[#This Row],[FECHA DE FACTURACIÓN]],"DE CONTADO","CRÉDITO")</f>
        <v>CRÉDITO</v>
      </c>
      <c r="B1418" s="51" t="b">
        <f>+IF((PROVEEDORES[[#This Row],[FECHA DE PAGO]]-PROVEEDORES[[#This Row],[FECHA DE FACTURACIÓN]])&gt;PROVEEDORES[[#This Row],[PLAZO Días]],"PAGO VENCIDO")</f>
        <v>0</v>
      </c>
      <c r="C1418" s="25">
        <f>+VLOOKUP(PROVEEDORES[[#This Row],[PROVEEDOR]],TERCEROS_INFO[#All],2,FALSE)</f>
        <v>30</v>
      </c>
      <c r="D1418" s="30">
        <f>+SUMIFS(PROVEEDORES[Total],PROVEEDORES[PROVEEDOR],PROVEEDORES[[#This Row],[PROVEEDOR]],PROVEEDORES[FECHA DE PAGO],"")</f>
        <v>452687.9</v>
      </c>
      <c r="E1418" s="30"/>
      <c r="F1418" s="73" t="str">
        <f>+VLOOKUP(PROVEEDORES[[#This Row],[PROVEEDOR]],TERCEROS_INFO[[PROVEEDOR]:[CORREO]],5,FALSE)</f>
        <v>soluenergiacentro@une.net.co;girlesa.ruiz@servipilas.com;joriescobar64@gmail.com</v>
      </c>
      <c r="H1418" s="31" t="s">
        <v>39</v>
      </c>
      <c r="I1418" s="111">
        <v>44658</v>
      </c>
      <c r="J1418" s="48">
        <v>1218</v>
      </c>
      <c r="K1418" s="26">
        <v>380410</v>
      </c>
      <c r="L1418" s="26"/>
      <c r="M1418" s="27">
        <f>(PROVEEDORES[[#This Row],[SUBTOTAL]]-PROVEEDORES[[#This Row],[descuento antes de IVA]])*VLOOKUP(PROVEEDORES[[#This Row],[PROVEEDOR]],TERCEROS_INFO[#All],3,FALSE)</f>
        <v>72277.899999999994</v>
      </c>
      <c r="N1418" s="28"/>
      <c r="O1418" s="27">
        <f>+PROVEEDORES[[#This Row],[Descuento sobre subtotal %]]*(PROVEEDORES[[#This Row],[SUBTOTAL]]-PROVEEDORES[[#This Row],[descuento antes de IVA]])</f>
        <v>0</v>
      </c>
      <c r="P1418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18" s="27">
        <f>+(PROVEEDORES[[#This Row],[SUBTOTAL]]-PROVEEDORES[[#This Row],[descuento antes de IVA]])*PROVEEDORES[[#This Row],[Rete Fuente %]]</f>
        <v>0</v>
      </c>
      <c r="R1418" s="26">
        <f>+PROVEEDORES[[#This Row],[SUBTOTAL]]+PROVEEDORES[[#This Row],[IVA 19%]]-PROVEEDORES[[#This Row],[descuento antes de IVA]]-PROVEEDORES[[#This Row],[Descuento sobre subtotal $]]-PROVEEDORES[[#This Row],[Rete Fuente $]]</f>
        <v>452687.9</v>
      </c>
      <c r="S1418" s="115">
        <f ca="1">IF(PROVEEDORES[[#This Row],[FECHA DE PAGO]]=0,TODAY()-PROVEEDORES[[#This Row],[FECHA DE FACTURACIÓN]]-PROVEEDORES[[#This Row],[PLAZO Días]],0)</f>
        <v>-20</v>
      </c>
      <c r="T1418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419" spans="1:20" ht="21.9" customHeight="1" x14ac:dyDescent="0.3">
      <c r="A1419" s="113" t="str">
        <f>+IF(PROVEEDORES[[#This Row],[FECHA DE PAGO]]=PROVEEDORES[[#This Row],[FECHA DE FACTURACIÓN]],"DE CONTADO","CRÉDITO")</f>
        <v>CRÉDITO</v>
      </c>
      <c r="B1419" s="51" t="b">
        <f>+IF((PROVEEDORES[[#This Row],[FECHA DE PAGO]]-PROVEEDORES[[#This Row],[FECHA DE FACTURACIÓN]])&gt;PROVEEDORES[[#This Row],[PLAZO Días]],"PAGO VENCIDO")</f>
        <v>0</v>
      </c>
      <c r="C1419" s="25">
        <f>+VLOOKUP(PROVEEDORES[[#This Row],[PROVEEDOR]],TERCEROS_INFO[#All],2,FALSE)</f>
        <v>45</v>
      </c>
      <c r="D1419" s="30">
        <f>+SUMIFS(PROVEEDORES[Total],PROVEEDORES[PROVEEDOR],PROVEEDORES[[#This Row],[PROVEEDOR]],PROVEEDORES[FECHA DE PAGO],"")</f>
        <v>17760678.600000001</v>
      </c>
      <c r="E1419" s="30"/>
      <c r="F1419" s="73" t="str">
        <f>+VLOOKUP(PROVEEDORES[[#This Row],[PROVEEDOR]],TERCEROS_INFO[[PROVEEDOR]:[CORREO]],5,FALSE)</f>
        <v>zully.florez@powest.com;girlesa.ruiz@servipilas.com;joriescobar64@gmail.com</v>
      </c>
      <c r="H1419" s="31" t="s">
        <v>19</v>
      </c>
      <c r="I1419" s="111">
        <v>44658</v>
      </c>
      <c r="J1419" s="48" t="s">
        <v>1271</v>
      </c>
      <c r="K1419" s="26">
        <v>1503180</v>
      </c>
      <c r="L1419" s="26"/>
      <c r="M1419" s="27">
        <f>(PROVEEDORES[[#This Row],[SUBTOTAL]]-PROVEEDORES[[#This Row],[descuento antes de IVA]])*VLOOKUP(PROVEEDORES[[#This Row],[PROVEEDOR]],TERCEROS_INFO[#All],3,FALSE)</f>
        <v>285604.2</v>
      </c>
      <c r="N1419" s="28"/>
      <c r="O1419" s="27">
        <f>+PROVEEDORES[[#This Row],[Descuento sobre subtotal %]]*(PROVEEDORES[[#This Row],[SUBTOTAL]]-PROVEEDORES[[#This Row],[descuento antes de IVA]])</f>
        <v>0</v>
      </c>
      <c r="P1419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19" s="27">
        <f>+(PROVEEDORES[[#This Row],[SUBTOTAL]]-PROVEEDORES[[#This Row],[descuento antes de IVA]])*PROVEEDORES[[#This Row],[Rete Fuente %]]</f>
        <v>0</v>
      </c>
      <c r="R1419" s="26">
        <f>+PROVEEDORES[[#This Row],[SUBTOTAL]]+PROVEEDORES[[#This Row],[IVA 19%]]-PROVEEDORES[[#This Row],[descuento antes de IVA]]-PROVEEDORES[[#This Row],[Descuento sobre subtotal $]]-PROVEEDORES[[#This Row],[Rete Fuente $]]</f>
        <v>1788784.2</v>
      </c>
      <c r="S1419" s="115">
        <f ca="1">IF(PROVEEDORES[[#This Row],[FECHA DE PAGO]]=0,TODAY()-PROVEEDORES[[#This Row],[FECHA DE FACTURACIÓN]]-PROVEEDORES[[#This Row],[PLAZO Días]],0)</f>
        <v>-35</v>
      </c>
      <c r="T1419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420" spans="1:20" ht="21.9" customHeight="1" x14ac:dyDescent="0.3">
      <c r="A1420" s="113" t="str">
        <f>+IF(PROVEEDORES[[#This Row],[FECHA DE PAGO]]=PROVEEDORES[[#This Row],[FECHA DE FACTURACIÓN]],"DE CONTADO","CRÉDITO")</f>
        <v>DE CONTADO</v>
      </c>
      <c r="B1420" s="51" t="b">
        <f>+IF((PROVEEDORES[[#This Row],[FECHA DE PAGO]]-PROVEEDORES[[#This Row],[FECHA DE FACTURACIÓN]])&gt;PROVEEDORES[[#This Row],[PLAZO Días]],"PAGO VENCIDO")</f>
        <v>0</v>
      </c>
      <c r="C1420" s="25">
        <f>+VLOOKUP(PROVEEDORES[[#This Row],[PROVEEDOR]],TERCEROS_INFO[#All],2,FALSE)</f>
        <v>30</v>
      </c>
      <c r="D1420" s="30">
        <f>+SUMIFS(PROVEEDORES[Total],PROVEEDORES[PROVEEDOR],PROVEEDORES[[#This Row],[PROVEEDOR]],PROVEEDORES[FECHA DE PAGO],"")</f>
        <v>0</v>
      </c>
      <c r="E1420" s="30"/>
      <c r="F1420" s="73" t="str">
        <f>+VLOOKUP(PROVEEDORES[[#This Row],[PROVEEDOR]],TERCEROS_INFO[[PROVEEDOR]:[CORREO]],5,FALSE)</f>
        <v/>
      </c>
      <c r="G1420" s="111">
        <v>44660</v>
      </c>
      <c r="H1420" s="31" t="s">
        <v>1037</v>
      </c>
      <c r="I1420" s="111">
        <v>44660</v>
      </c>
      <c r="J1420" s="48" t="s">
        <v>1265</v>
      </c>
      <c r="K1420" s="26">
        <v>150000</v>
      </c>
      <c r="L1420" s="26"/>
      <c r="M1420" s="27">
        <f>(PROVEEDORES[[#This Row],[SUBTOTAL]]-PROVEEDORES[[#This Row],[descuento antes de IVA]])*VLOOKUP(PROVEEDORES[[#This Row],[PROVEEDOR]],TERCEROS_INFO[#All],3,FALSE)</f>
        <v>0</v>
      </c>
      <c r="N1420" s="28"/>
      <c r="O1420" s="27">
        <f>+PROVEEDORES[[#This Row],[Descuento sobre subtotal %]]*(PROVEEDORES[[#This Row],[SUBTOTAL]]-PROVEEDORES[[#This Row],[descuento antes de IVA]])</f>
        <v>0</v>
      </c>
      <c r="P1420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20" s="27">
        <f>+(PROVEEDORES[[#This Row],[SUBTOTAL]]-PROVEEDORES[[#This Row],[descuento antes de IVA]])*PROVEEDORES[[#This Row],[Rete Fuente %]]</f>
        <v>0</v>
      </c>
      <c r="R1420" s="26">
        <f>+PROVEEDORES[[#This Row],[SUBTOTAL]]+PROVEEDORES[[#This Row],[IVA 19%]]-PROVEEDORES[[#This Row],[descuento antes de IVA]]-PROVEEDORES[[#This Row],[Descuento sobre subtotal $]]-PROVEEDORES[[#This Row],[Rete Fuente $]]</f>
        <v>150000</v>
      </c>
      <c r="S1420" s="115">
        <f ca="1">IF(PROVEEDORES[[#This Row],[FECHA DE PAGO]]=0,TODAY()-PROVEEDORES[[#This Row],[FECHA DE FACTURACIÓN]]-PROVEEDORES[[#This Row],[PLAZO Días]],0)</f>
        <v>0</v>
      </c>
      <c r="T1420" s="1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</row>
    <row r="1421" spans="1:20" ht="21.9" customHeight="1" x14ac:dyDescent="0.3">
      <c r="A1421" s="113" t="str">
        <f>+IF(PROVEEDORES[[#This Row],[FECHA DE PAGO]]=PROVEEDORES[[#This Row],[FECHA DE FACTURACIÓN]],"DE CONTADO","CRÉDITO")</f>
        <v>CRÉDITO</v>
      </c>
      <c r="B1421" s="51" t="b">
        <f>+IF((PROVEEDORES[[#This Row],[FECHA DE PAGO]]-PROVEEDORES[[#This Row],[FECHA DE FACTURACIÓN]])&gt;PROVEEDORES[[#This Row],[PLAZO Días]],"PAGO VENCIDO")</f>
        <v>0</v>
      </c>
      <c r="C1421" s="25">
        <f>+VLOOKUP(PROVEEDORES[[#This Row],[PROVEEDOR]],TERCEROS_INFO[#All],2,FALSE)</f>
        <v>30</v>
      </c>
      <c r="D1421" s="30">
        <f>+SUMIFS(PROVEEDORES[Total],PROVEEDORES[PROVEEDOR],PROVEEDORES[[#This Row],[PROVEEDOR]],PROVEEDORES[FECHA DE PAGO],"")</f>
        <v>1205709.19</v>
      </c>
      <c r="E1421" s="30"/>
      <c r="F1421" s="73" t="str">
        <f>+VLOOKUP(PROVEEDORES[[#This Row],[PROVEEDOR]],TERCEROS_INFO[[PROVEEDOR]:[CORREO]],5,FALSE)</f>
        <v>avelinacomer@gmail.com;girlesa.ruiz@servipilas.com;joriescobar64@gmail.com</v>
      </c>
      <c r="H1421" s="148" t="s">
        <v>1275</v>
      </c>
      <c r="I1421" s="111">
        <v>44663</v>
      </c>
      <c r="J1421" s="48" t="s">
        <v>1277</v>
      </c>
      <c r="K1421" s="26">
        <v>1013201</v>
      </c>
      <c r="L1421" s="26"/>
      <c r="M1421" s="27">
        <f>(PROVEEDORES[[#This Row],[SUBTOTAL]]-PROVEEDORES[[#This Row],[descuento antes de IVA]])*VLOOKUP(PROVEEDORES[[#This Row],[PROVEEDOR]],TERCEROS_INFO[#All],3,FALSE)</f>
        <v>192508.19</v>
      </c>
      <c r="N1421" s="28"/>
      <c r="O1421" s="27">
        <f>+PROVEEDORES[[#This Row],[Descuento sobre subtotal %]]*(PROVEEDORES[[#This Row],[SUBTOTAL]]-PROVEEDORES[[#This Row],[descuento antes de IVA]])</f>
        <v>0</v>
      </c>
      <c r="P1421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21" s="27">
        <f>+(PROVEEDORES[[#This Row],[SUBTOTAL]]-PROVEEDORES[[#This Row],[descuento antes de IVA]])*PROVEEDORES[[#This Row],[Rete Fuente %]]</f>
        <v>0</v>
      </c>
      <c r="R1421" s="26">
        <f>+PROVEEDORES[[#This Row],[SUBTOTAL]]+PROVEEDORES[[#This Row],[IVA 19%]]-PROVEEDORES[[#This Row],[descuento antes de IVA]]-PROVEEDORES[[#This Row],[Descuento sobre subtotal $]]-PROVEEDORES[[#This Row],[Rete Fuente $]]</f>
        <v>1205709.19</v>
      </c>
      <c r="S1421" s="115">
        <f ca="1">IF(PROVEEDORES[[#This Row],[FECHA DE PAGO]]=0,TODAY()-PROVEEDORES[[#This Row],[FECHA DE FACTURACIÓN]]-PROVEEDORES[[#This Row],[PLAZO Días]],0)</f>
        <v>-25</v>
      </c>
      <c r="T1421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  <row r="1422" spans="1:20" ht="21.9" customHeight="1" x14ac:dyDescent="0.3">
      <c r="A1422" s="113" t="str">
        <f>+IF(PROVEEDORES[[#This Row],[FECHA DE PAGO]]=PROVEEDORES[[#This Row],[FECHA DE FACTURACIÓN]],"DE CONTADO","CRÉDITO")</f>
        <v>CRÉDITO</v>
      </c>
      <c r="B1422" s="51" t="b">
        <f>+IF((PROVEEDORES[[#This Row],[FECHA DE PAGO]]-PROVEEDORES[[#This Row],[FECHA DE FACTURACIÓN]])&gt;PROVEEDORES[[#This Row],[PLAZO Días]],"PAGO VENCIDO")</f>
        <v>0</v>
      </c>
      <c r="C1422" s="25">
        <f>+VLOOKUP(PROVEEDORES[[#This Row],[PROVEEDOR]],TERCEROS_INFO[#All],2,FALSE)</f>
        <v>30</v>
      </c>
      <c r="D1422" s="30">
        <f>+SUMIFS(PROVEEDORES[Total],PROVEEDORES[PROVEEDOR],PROVEEDORES[[#This Row],[PROVEEDOR]],PROVEEDORES[FECHA DE PAGO],"")</f>
        <v>264406</v>
      </c>
      <c r="E1422" s="30"/>
      <c r="F1422" s="73" t="str">
        <f>+VLOOKUP(PROVEEDORES[[#This Row],[PROVEEDOR]],TERCEROS_INFO[[PROVEEDOR]:[CORREO]],5,FALSE)</f>
        <v>oswaldo.alvarez@logimexsas.com;girlesa.ruiz@servipilas.com;joriescobar64@gmail.com</v>
      </c>
      <c r="H1422" s="31" t="s">
        <v>393</v>
      </c>
      <c r="I1422" s="111">
        <v>44665</v>
      </c>
      <c r="J1422" s="48" t="s">
        <v>1274</v>
      </c>
      <c r="K1422" s="26">
        <v>264406</v>
      </c>
      <c r="L1422" s="26"/>
      <c r="M1422" s="27">
        <f>(PROVEEDORES[[#This Row],[SUBTOTAL]]-PROVEEDORES[[#This Row],[descuento antes de IVA]])*VLOOKUP(PROVEEDORES[[#This Row],[PROVEEDOR]],TERCEROS_INFO[#All],3,FALSE)</f>
        <v>0</v>
      </c>
      <c r="N1422" s="28"/>
      <c r="O1422" s="27">
        <f>+PROVEEDORES[[#This Row],[Descuento sobre subtotal %]]*(PROVEEDORES[[#This Row],[SUBTOTAL]]-PROVEEDORES[[#This Row],[descuento antes de IVA]])</f>
        <v>0</v>
      </c>
      <c r="P1422" s="28">
        <f>+
IF(AND(VLOOKUP(PROVEEDORES[[#This Row],[PROVEEDOR]],TERCEROS_INFO[#All],4,FALSE)=1%,(PROVEEDORES[[#This Row],[SUBTOTAL]]-PROVEEDORES[[#This Row],[descuento antes de IVA]])&gt;=145000),1%,
IF(AND(VLOOKUP(PROVEEDORES[[#This Row],[PROVEEDOR]],TERCEROS_INFO[#All],4,FALSE)=2.5%,(PROVEEDORES[[#This Row],[SUBTOTAL]]-PROVEEDORES[[#This Row],[descuento antes de IVA]])&gt;=980000),2.5%,
IF(AND(VLOOKUP(PROVEEDORES[[#This Row],[PROVEEDOR]],TERCEROS_INFO[#All],4,FALSE)=3.5%,(PROVEEDORES[[#This Row],[SUBTOTAL]]-PROVEEDORES[[#This Row],[descuento antes de IVA]])&gt;=980000),3.5%,
0)))</f>
        <v>0</v>
      </c>
      <c r="Q1422" s="27">
        <f>+(PROVEEDORES[[#This Row],[SUBTOTAL]]-PROVEEDORES[[#This Row],[descuento antes de IVA]])*PROVEEDORES[[#This Row],[Rete Fuente %]]</f>
        <v>0</v>
      </c>
      <c r="R1422" s="26">
        <f>+PROVEEDORES[[#This Row],[SUBTOTAL]]+PROVEEDORES[[#This Row],[IVA 19%]]-PROVEEDORES[[#This Row],[descuento antes de IVA]]-PROVEEDORES[[#This Row],[Descuento sobre subtotal $]]-PROVEEDORES[[#This Row],[Rete Fuente $]]</f>
        <v>264406</v>
      </c>
      <c r="S1422" s="115">
        <f ca="1">IF(PROVEEDORES[[#This Row],[FECHA DE PAGO]]=0,TODAY()-PROVEEDORES[[#This Row],[FECHA DE FACTURACIÓN]]-PROVEEDORES[[#This Row],[PLAZO Días]],0)</f>
        <v>-27</v>
      </c>
      <c r="T1422" s="113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A2:T1422">
    <cfRule type="expression" dxfId="122" priority="46" stopIfTrue="1">
      <formula>$T2="Por pagar"</formula>
    </cfRule>
    <cfRule type="expression" dxfId="121" priority="47" stopIfTrue="1">
      <formula>$T2="Vencida"</formula>
    </cfRule>
    <cfRule type="expression" dxfId="120" priority="48" stopIfTrue="1">
      <formula>$T2="Pagada"</formula>
    </cfRule>
  </conditionalFormatting>
  <conditionalFormatting sqref="H1408">
    <cfRule type="expression" dxfId="119" priority="37" stopIfTrue="1">
      <formula>$T1408="Por pagar"</formula>
    </cfRule>
    <cfRule type="expression" dxfId="118" priority="38" stopIfTrue="1">
      <formula>$T1408="Vencida"</formula>
    </cfRule>
    <cfRule type="expression" dxfId="117" priority="39" stopIfTrue="1">
      <formula>$T1408="Pagada"</formula>
    </cfRule>
  </conditionalFormatting>
  <conditionalFormatting sqref="H1409:H1410">
    <cfRule type="expression" dxfId="116" priority="34" stopIfTrue="1">
      <formula>$T1409="Por pagar"</formula>
    </cfRule>
    <cfRule type="expression" dxfId="115" priority="35" stopIfTrue="1">
      <formula>$T1409="Vencida"</formula>
    </cfRule>
    <cfRule type="expression" dxfId="114" priority="36" stopIfTrue="1">
      <formula>$T1409="Pagada"</formula>
    </cfRule>
  </conditionalFormatting>
  <conditionalFormatting sqref="H1411">
    <cfRule type="expression" dxfId="113" priority="31" stopIfTrue="1">
      <formula>$T1411="Por pagar"</formula>
    </cfRule>
    <cfRule type="expression" dxfId="112" priority="32" stopIfTrue="1">
      <formula>$T1411="Vencida"</formula>
    </cfRule>
    <cfRule type="expression" dxfId="111" priority="33" stopIfTrue="1">
      <formula>$T1411="Pagada"</formula>
    </cfRule>
  </conditionalFormatting>
  <conditionalFormatting sqref="H1412">
    <cfRule type="expression" dxfId="110" priority="28" stopIfTrue="1">
      <formula>$T1412="Por pagar"</formula>
    </cfRule>
    <cfRule type="expression" dxfId="109" priority="29" stopIfTrue="1">
      <formula>$T1412="Vencida"</formula>
    </cfRule>
    <cfRule type="expression" dxfId="108" priority="30" stopIfTrue="1">
      <formula>$T1412="Pagada"</formula>
    </cfRule>
  </conditionalFormatting>
  <conditionalFormatting sqref="H1413">
    <cfRule type="expression" dxfId="107" priority="25" stopIfTrue="1">
      <formula>$T1413="Por pagar"</formula>
    </cfRule>
    <cfRule type="expression" dxfId="106" priority="26" stopIfTrue="1">
      <formula>$T1413="Vencida"</formula>
    </cfRule>
    <cfRule type="expression" dxfId="105" priority="27" stopIfTrue="1">
      <formula>$T1413="Pagada"</formula>
    </cfRule>
  </conditionalFormatting>
  <conditionalFormatting sqref="H1414">
    <cfRule type="expression" dxfId="104" priority="22" stopIfTrue="1">
      <formula>$T1414="Por pagar"</formula>
    </cfRule>
    <cfRule type="expression" dxfId="103" priority="23" stopIfTrue="1">
      <formula>$T1414="Vencida"</formula>
    </cfRule>
    <cfRule type="expression" dxfId="102" priority="24" stopIfTrue="1">
      <formula>$T1414="Pagada"</formula>
    </cfRule>
  </conditionalFormatting>
  <conditionalFormatting sqref="H1415">
    <cfRule type="expression" dxfId="101" priority="19" stopIfTrue="1">
      <formula>$T1415="Por pagar"</formula>
    </cfRule>
    <cfRule type="expression" dxfId="100" priority="20" stopIfTrue="1">
      <formula>$T1415="Vencida"</formula>
    </cfRule>
    <cfRule type="expression" dxfId="99" priority="21" stopIfTrue="1">
      <formula>$T1415="Pagada"</formula>
    </cfRule>
  </conditionalFormatting>
  <conditionalFormatting sqref="H1416">
    <cfRule type="expression" dxfId="98" priority="16" stopIfTrue="1">
      <formula>$T1416="Por pagar"</formula>
    </cfRule>
    <cfRule type="expression" dxfId="97" priority="17" stopIfTrue="1">
      <formula>$T1416="Vencida"</formula>
    </cfRule>
    <cfRule type="expression" dxfId="96" priority="18" stopIfTrue="1">
      <formula>$T1416="Pagada"</formula>
    </cfRule>
  </conditionalFormatting>
  <conditionalFormatting sqref="H1419:J1419">
    <cfRule type="expression" dxfId="95" priority="13" stopIfTrue="1">
      <formula>$T1419="Por pagar"</formula>
    </cfRule>
    <cfRule type="expression" dxfId="94" priority="14" stopIfTrue="1">
      <formula>$T1419="Vencida"</formula>
    </cfRule>
    <cfRule type="expression" dxfId="93" priority="15" stopIfTrue="1">
      <formula>$T1419="Pagada"</formula>
    </cfRule>
  </conditionalFormatting>
  <conditionalFormatting sqref="H1419">
    <cfRule type="expression" dxfId="92" priority="10" stopIfTrue="1">
      <formula>$T1419="Por pagar"</formula>
    </cfRule>
    <cfRule type="expression" dxfId="91" priority="11" stopIfTrue="1">
      <formula>$T1419="Vencida"</formula>
    </cfRule>
    <cfRule type="expression" dxfId="90" priority="12" stopIfTrue="1">
      <formula>$T1419="Pagada"</formula>
    </cfRule>
  </conditionalFormatting>
  <conditionalFormatting sqref="J1420:J1421">
    <cfRule type="expression" dxfId="89" priority="7" stopIfTrue="1">
      <formula>$T1420="Por pagar"</formula>
    </cfRule>
    <cfRule type="expression" dxfId="88" priority="8" stopIfTrue="1">
      <formula>$T1420="Vencida"</formula>
    </cfRule>
    <cfRule type="expression" dxfId="87" priority="9" stopIfTrue="1">
      <formula>$T1420="Pagada"</formula>
    </cfRule>
  </conditionalFormatting>
  <conditionalFormatting sqref="H1422">
    <cfRule type="expression" dxfId="86" priority="1">
      <formula>$S1422="Por pagar"</formula>
    </cfRule>
    <cfRule type="expression" dxfId="85" priority="2">
      <formula>$S1422="Vencida"</formula>
    </cfRule>
    <cfRule type="expression" dxfId="84" priority="3">
      <formula>$S1422="Pagada"</formula>
    </cfRule>
  </conditionalFormatting>
  <pageMargins left="1.085" right="0.7" top="0.75" bottom="0.75" header="0.3" footer="0.3"/>
  <pageSetup scale="39" orientation="portrait" r:id="rId1"/>
  <colBreaks count="1" manualBreakCount="1">
    <brk id="21" max="1048575" man="1"/>
  </colBreak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Primero crea el proveedor en la hoja &quot;Proveedores&quot;." xr:uid="{59BD0DFA-B100-4C67-97D4-F5C71F503F06}">
          <x14:formula1>
            <xm:f>Terceros!$A:$A</xm:f>
          </x14:formula1>
          <xm:sqref>H1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03CC-5A0C-4916-99A0-2E4C399E9485}">
  <dimension ref="A1:AJ29"/>
  <sheetViews>
    <sheetView topLeftCell="C7" zoomScaleNormal="100" workbookViewId="0">
      <selection activeCell="D21" sqref="D21"/>
    </sheetView>
  </sheetViews>
  <sheetFormatPr baseColWidth="10" defaultColWidth="0" defaultRowHeight="21.9" customHeight="1" x14ac:dyDescent="0.3"/>
  <cols>
    <col min="1" max="1" width="10" style="139" hidden="1" customWidth="1"/>
    <col min="2" max="2" width="15.5546875" style="126" hidden="1" customWidth="1"/>
    <col min="3" max="3" width="9.5546875" style="140" customWidth="1"/>
    <col min="4" max="4" width="13.88671875" style="128" customWidth="1"/>
    <col min="5" max="5" width="39.33203125" style="140" customWidth="1"/>
    <col min="6" max="6" width="13.88671875" style="141" customWidth="1"/>
    <col min="7" max="7" width="17.33203125" style="141" customWidth="1"/>
    <col min="8" max="8" width="17.88671875" style="141" customWidth="1"/>
    <col min="9" max="9" width="12.44140625" style="142" customWidth="1"/>
    <col min="10" max="10" width="15.88671875" style="136" hidden="1" customWidth="1"/>
    <col min="11" max="11" width="14.109375" style="136" hidden="1" customWidth="1"/>
    <col min="12" max="12" width="11.44140625" hidden="1" customWidth="1"/>
    <col min="13" max="13" width="11.44140625" style="124" hidden="1" customWidth="1"/>
    <col min="14" max="14" width="11.44140625" hidden="1" customWidth="1"/>
    <col min="15" max="16" width="11.44140625" style="134" hidden="1" customWidth="1"/>
    <col min="17" max="17" width="13.5546875" style="136" hidden="1" customWidth="1"/>
    <col min="18" max="18" width="11.44140625" style="135" hidden="1" customWidth="1"/>
    <col min="19" max="19" width="14.88671875" style="135" hidden="1" customWidth="1"/>
    <col min="20" max="20" width="23.6640625" style="135" hidden="1" customWidth="1"/>
    <col min="21" max="21" width="11.5546875" style="135" hidden="1" customWidth="1"/>
    <col min="22" max="22" width="12.44140625" style="136" hidden="1" customWidth="1"/>
    <col min="23" max="23" width="17.109375" style="137" hidden="1" customWidth="1"/>
    <col min="24" max="24" width="11.44140625" style="135" hidden="1" customWidth="1"/>
    <col min="25" max="26" width="17.109375" style="135" hidden="1" customWidth="1"/>
    <col min="27" max="27" width="11.44140625" style="135" hidden="1" customWidth="1"/>
    <col min="28" max="30" width="17.109375" style="135" hidden="1" customWidth="1"/>
    <col min="31" max="31" width="11.44140625" style="135" hidden="1" customWidth="1"/>
    <col min="32" max="33" width="17.109375" style="135" hidden="1" customWidth="1"/>
    <col min="34" max="34" width="11.44140625" style="135" hidden="1" customWidth="1"/>
    <col min="35" max="36" width="17.109375" style="135" hidden="1" customWidth="1"/>
    <col min="37" max="16384" width="11.44140625" style="135" hidden="1"/>
  </cols>
  <sheetData>
    <row r="1" spans="1:23" s="123" customFormat="1" ht="62.25" customHeight="1" x14ac:dyDescent="0.3">
      <c r="A1" s="117" t="s">
        <v>8</v>
      </c>
      <c r="B1" s="117" t="s">
        <v>193</v>
      </c>
      <c r="C1" s="118" t="s">
        <v>128</v>
      </c>
      <c r="D1" s="119" t="s">
        <v>6</v>
      </c>
      <c r="E1" s="119" t="s">
        <v>3</v>
      </c>
      <c r="F1" s="120" t="s">
        <v>1</v>
      </c>
      <c r="G1" s="121" t="s">
        <v>2</v>
      </c>
      <c r="H1" s="119" t="s">
        <v>1219</v>
      </c>
      <c r="I1" s="122" t="s">
        <v>1263</v>
      </c>
      <c r="K1" s="124"/>
    </row>
    <row r="2" spans="1:23" ht="21.9" hidden="1" customHeight="1" x14ac:dyDescent="0.3">
      <c r="A2" s="125" t="str">
        <f>+IF(PROVEEDORES3[[#This Row],[FECHA DE PAGO]]=PROVEEDORES3[[#This Row],[FECHA DE FACTURACIÓN]],"DE CONTADO","CRÉDITO")</f>
        <v>CRÉDITO</v>
      </c>
      <c r="B2" s="126" t="e">
        <f>+IF((PROVEEDORES3[[#This Row],[FECHA DE PAGO]]-PROVEEDORES3[[#This Row],[FECHA DE FACTURACIÓN]])&gt;#REF!,"PAGO VENCIDO")</f>
        <v>#REF!</v>
      </c>
      <c r="C2" s="127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2" s="128">
        <v>44357</v>
      </c>
      <c r="E2" s="129" t="s">
        <v>38</v>
      </c>
      <c r="F2" s="130">
        <v>44257</v>
      </c>
      <c r="G2" s="131" t="s">
        <v>296</v>
      </c>
      <c r="H2" s="132">
        <f>2578.4</f>
        <v>2578.4</v>
      </c>
      <c r="I2" s="133"/>
      <c r="J2" s="134"/>
      <c r="K2" s="124"/>
      <c r="L2" s="135"/>
      <c r="M2" s="135"/>
      <c r="N2" s="135"/>
      <c r="O2" s="135"/>
      <c r="P2" s="136"/>
      <c r="Q2" s="137"/>
      <c r="V2" s="135"/>
      <c r="W2" s="135"/>
    </row>
    <row r="3" spans="1:23" ht="21.9" customHeight="1" x14ac:dyDescent="0.3">
      <c r="A3" s="125" t="str">
        <f>+IF(PROVEEDORES3[[#This Row],[FECHA DE PAGO]]=PROVEEDORES3[[#This Row],[FECHA DE FACTURACIÓN]],"DE CONTADO","CRÉDITO")</f>
        <v>CRÉDITO</v>
      </c>
      <c r="B3" s="126" t="e">
        <f>+IF((PROVEEDORES3[[#This Row],[FECHA DE PAGO]]-PROVEEDORES3[[#This Row],[FECHA DE FACTURACIÓN]])&gt;#REF!,"PAGO VENCIDO")</f>
        <v>#REF!</v>
      </c>
      <c r="C3" s="127" t="str">
        <f>+VLOOKUP(PROVEEDORES3[[#This Row],[PROVEEDOR]],TERCEROS_INFO[[PROVEEDOR]:[CORREO]],5,FALSE)</f>
        <v>jessica.barios.com@carpainternacional;girlesa.ruiz@servipilas.com;joriescobar64@gmail.com</v>
      </c>
      <c r="D3" s="128">
        <v>44503</v>
      </c>
      <c r="E3" s="138" t="s">
        <v>607</v>
      </c>
      <c r="F3" s="130">
        <v>44470</v>
      </c>
      <c r="G3" s="131" t="s">
        <v>578</v>
      </c>
      <c r="H3" s="132">
        <f>48</f>
        <v>48</v>
      </c>
      <c r="I3" s="133"/>
      <c r="J3" s="134"/>
      <c r="K3" s="124"/>
      <c r="L3" s="135"/>
      <c r="M3" s="135"/>
      <c r="N3" s="135"/>
      <c r="O3" s="135"/>
      <c r="P3" s="136"/>
      <c r="Q3" s="137"/>
      <c r="V3" s="135"/>
      <c r="W3" s="135"/>
    </row>
    <row r="4" spans="1:23" ht="21.9" customHeight="1" x14ac:dyDescent="0.3">
      <c r="A4" s="125" t="str">
        <f>+IF(PROVEEDORES3[[#This Row],[FECHA DE PAGO]]=PROVEEDORES3[[#This Row],[FECHA DE FACTURACIÓN]],"DE CONTADO","CRÉDITO")</f>
        <v>CRÉDITO</v>
      </c>
      <c r="B4" s="126" t="e">
        <f>+IF((PROVEEDORES3[[#This Row],[FECHA DE PAGO]]-PROVEEDORES3[[#This Row],[FECHA DE FACTURACIÓN]])&gt;#REF!,"PAGO VENCIDO")</f>
        <v>#REF!</v>
      </c>
      <c r="C4" s="127" t="str">
        <f>+VLOOKUP(PROVEEDORES3[[#This Row],[PROVEEDOR]],TERCEROS_INFO[[PROVEEDOR]:[CORREO]],5,FALSE)</f>
        <v>jessica.barios.com@carpainternacional;girlesa.ruiz@servipilas.com;joriescobar64@gmail.com</v>
      </c>
      <c r="D4" s="128">
        <v>44503</v>
      </c>
      <c r="E4" s="129" t="s">
        <v>609</v>
      </c>
      <c r="F4" s="130">
        <v>44490</v>
      </c>
      <c r="G4" s="131" t="s">
        <v>563</v>
      </c>
      <c r="H4" s="132">
        <f>425.14</f>
        <v>425.14</v>
      </c>
      <c r="I4" s="133"/>
      <c r="J4" s="134"/>
      <c r="K4" s="124"/>
      <c r="L4" s="135"/>
      <c r="M4" s="135"/>
      <c r="N4" s="135"/>
      <c r="O4" s="135"/>
      <c r="P4" s="136"/>
      <c r="Q4" s="137"/>
      <c r="V4" s="135"/>
      <c r="W4" s="135"/>
    </row>
    <row r="5" spans="1:23" ht="21.9" customHeight="1" x14ac:dyDescent="0.3">
      <c r="A5" s="125" t="str">
        <f>+IF(PROVEEDORES3[[#This Row],[FECHA DE PAGO]]=PROVEEDORES3[[#This Row],[FECHA DE FACTURACIÓN]],"DE CONTADO","CRÉDITO")</f>
        <v>CRÉDITO</v>
      </c>
      <c r="B5" s="126" t="e">
        <f>+IF((PROVEEDORES3[[#This Row],[FECHA DE PAGO]]-PROVEEDORES3[[#This Row],[FECHA DE FACTURACIÓN]])&gt;#REF!,"PAGO VENCIDO")</f>
        <v>#REF!</v>
      </c>
      <c r="C5" s="127" t="str">
        <f>+VLOOKUP(PROVEEDORES3[[#This Row],[PROVEEDOR]],TERCEROS_INFO[[PROVEEDOR]:[CORREO]],5,FALSE)</f>
        <v>jessica.barios.com@carpainternacional;girlesa.ruiz@servipilas.com;joriescobar64@gmail.com</v>
      </c>
      <c r="D5" s="128">
        <v>44503</v>
      </c>
      <c r="E5" s="129" t="s">
        <v>609</v>
      </c>
      <c r="F5" s="130">
        <v>44495</v>
      </c>
      <c r="G5" s="131" t="s">
        <v>567</v>
      </c>
      <c r="H5" s="132">
        <f>630</f>
        <v>630</v>
      </c>
      <c r="I5" s="133"/>
      <c r="J5" s="134"/>
      <c r="K5" s="124"/>
      <c r="L5" s="135"/>
      <c r="M5" s="135"/>
      <c r="N5" s="135"/>
      <c r="O5" s="135"/>
      <c r="P5" s="136"/>
      <c r="Q5" s="137"/>
      <c r="V5" s="135"/>
      <c r="W5" s="135"/>
    </row>
    <row r="6" spans="1:23" ht="21.9" customHeight="1" x14ac:dyDescent="0.3">
      <c r="A6" s="125" t="str">
        <f>+IF(PROVEEDORES3[[#This Row],[FECHA DE PAGO]]=PROVEEDORES3[[#This Row],[FECHA DE FACTURACIÓN]],"DE CONTADO","CRÉDITO")</f>
        <v>CRÉDITO</v>
      </c>
      <c r="B6" s="126" t="e">
        <f>+IF((PROVEEDORES3[[#This Row],[FECHA DE PAGO]]-PROVEEDORES3[[#This Row],[FECHA DE FACTURACIÓN]])&gt;#REF!,"PAGO VENCIDO")</f>
        <v>#REF!</v>
      </c>
      <c r="C6" s="127" t="str">
        <f>+VLOOKUP(PROVEEDORES3[[#This Row],[PROVEEDOR]],TERCEROS_INFO[[PROVEEDOR]:[CORREO]],5,FALSE)</f>
        <v>jessica.barios.com@carpainternacional;girlesa.ruiz@servipilas.com;joriescobar64@gmail.com</v>
      </c>
      <c r="D6" s="128">
        <v>44503</v>
      </c>
      <c r="E6" s="129" t="s">
        <v>607</v>
      </c>
      <c r="F6" s="130">
        <v>44500</v>
      </c>
      <c r="G6" s="131" t="s">
        <v>577</v>
      </c>
      <c r="H6" s="132">
        <f>148.6</f>
        <v>148.6</v>
      </c>
      <c r="I6" s="133"/>
      <c r="J6" s="134"/>
      <c r="K6" s="124"/>
      <c r="L6" s="135"/>
      <c r="M6" s="135"/>
      <c r="N6" s="135"/>
      <c r="O6" s="135"/>
      <c r="P6" s="136"/>
      <c r="Q6" s="137"/>
      <c r="V6" s="135"/>
      <c r="W6" s="135"/>
    </row>
    <row r="7" spans="1:23" ht="21.9" customHeight="1" x14ac:dyDescent="0.3">
      <c r="A7" s="125" t="str">
        <f>+IF(PROVEEDORES3[[#This Row],[FECHA DE PAGO]]=PROVEEDORES3[[#This Row],[FECHA DE FACTURACIÓN]],"DE CONTADO","CRÉDITO")</f>
        <v>CRÉDITO</v>
      </c>
      <c r="B7" s="126" t="e">
        <f>+IF((PROVEEDORES3[[#This Row],[FECHA DE PAGO]]-PROVEEDORES3[[#This Row],[FECHA DE FACTURACIÓN]])&gt;#REF!,"PAGO VENCIDO")</f>
        <v>#REF!</v>
      </c>
      <c r="C7" s="127" t="str">
        <f>+VLOOKUP(PROVEEDORES3[[#This Row],[PROVEEDOR]],TERCEROS_INFO[[PROVEEDOR]:[CORREO]],5,FALSE)</f>
        <v>jessica.barios.com@carpainternacional;girlesa.ruiz@servipilas.com;joriescobar64@gmail.com</v>
      </c>
      <c r="D7" s="128">
        <v>44586</v>
      </c>
      <c r="E7" s="129" t="s">
        <v>607</v>
      </c>
      <c r="F7" s="130">
        <v>44501</v>
      </c>
      <c r="G7" s="131" t="s">
        <v>871</v>
      </c>
      <c r="H7" s="132">
        <f>56</f>
        <v>56</v>
      </c>
      <c r="I7" s="133"/>
      <c r="J7" s="134"/>
      <c r="K7" s="124"/>
      <c r="L7" s="135"/>
      <c r="M7" s="135"/>
      <c r="N7" s="135"/>
      <c r="O7" s="135"/>
      <c r="P7" s="136"/>
      <c r="Q7" s="137"/>
      <c r="V7" s="135"/>
      <c r="W7" s="135"/>
    </row>
    <row r="8" spans="1:23" ht="21.9" customHeight="1" x14ac:dyDescent="0.3">
      <c r="A8" s="125" t="str">
        <f>+IF(PROVEEDORES3[[#This Row],[FECHA DE PAGO]]=PROVEEDORES3[[#This Row],[FECHA DE FACTURACIÓN]],"DE CONTADO","CRÉDITO")</f>
        <v>CRÉDITO</v>
      </c>
      <c r="B8" s="126" t="e">
        <f>+IF((PROVEEDORES3[[#This Row],[FECHA DE PAGO]]-PROVEEDORES3[[#This Row],[FECHA DE FACTURACIÓN]])&gt;#REF!,"PAGO VENCIDO")</f>
        <v>#REF!</v>
      </c>
      <c r="C8" s="127" t="str">
        <f>+VLOOKUP(PROVEEDORES3[[#This Row],[PROVEEDOR]],TERCEROS_INFO[[PROVEEDOR]:[CORREO]],5,FALSE)</f>
        <v>jessica.barios.com@carpainternacional;girlesa.ruiz@servipilas.com;joriescobar64@gmail.com</v>
      </c>
      <c r="D8" s="128">
        <v>44586</v>
      </c>
      <c r="E8" s="129" t="s">
        <v>607</v>
      </c>
      <c r="F8" s="130">
        <v>44510</v>
      </c>
      <c r="G8" s="131" t="s">
        <v>604</v>
      </c>
      <c r="H8" s="132">
        <f>68</f>
        <v>68</v>
      </c>
      <c r="I8" s="133"/>
      <c r="J8" s="134"/>
      <c r="K8" s="124"/>
      <c r="L8" s="135"/>
      <c r="M8" s="135"/>
      <c r="N8" s="135"/>
      <c r="O8" s="135"/>
      <c r="P8" s="136"/>
      <c r="Q8" s="137"/>
      <c r="V8" s="135"/>
      <c r="W8" s="135"/>
    </row>
    <row r="9" spans="1:23" ht="21.9" hidden="1" customHeight="1" x14ac:dyDescent="0.3">
      <c r="A9" s="125" t="str">
        <f>+IF(PROVEEDORES3[[#This Row],[FECHA DE PAGO]]=PROVEEDORES3[[#This Row],[FECHA DE FACTURACIÓN]],"DE CONTADO","CRÉDITO")</f>
        <v>CRÉDITO</v>
      </c>
      <c r="B9" s="126" t="e">
        <f>+IF((PROVEEDORES3[[#This Row],[FECHA DE PAGO]]-PROVEEDORES3[[#This Row],[FECHA DE FACTURACIÓN]])&gt;#REF!,"PAGO VENCIDO")</f>
        <v>#REF!</v>
      </c>
      <c r="C9" s="127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9" s="128">
        <v>44572</v>
      </c>
      <c r="E9" s="129" t="s">
        <v>38</v>
      </c>
      <c r="F9" s="130">
        <v>44531</v>
      </c>
      <c r="G9" s="131" t="s">
        <v>921</v>
      </c>
      <c r="H9" s="132">
        <f>1269.6</f>
        <v>1269.5999999999999</v>
      </c>
      <c r="I9" s="133"/>
      <c r="J9" s="134"/>
      <c r="K9" s="124"/>
      <c r="L9" s="135"/>
      <c r="M9" s="135"/>
      <c r="N9" s="135"/>
      <c r="O9" s="135"/>
      <c r="P9" s="136"/>
      <c r="Q9" s="137"/>
      <c r="V9" s="135"/>
      <c r="W9" s="135"/>
    </row>
    <row r="10" spans="1:23" ht="21.9" hidden="1" customHeight="1" x14ac:dyDescent="0.3">
      <c r="A10" s="125" t="str">
        <f>+IF(PROVEEDORES3[[#This Row],[FECHA DE PAGO]]=PROVEEDORES3[[#This Row],[FECHA DE FACTURACIÓN]],"DE CONTADO","CRÉDITO")</f>
        <v>CRÉDITO</v>
      </c>
      <c r="B10" s="126" t="e">
        <f>+IF((PROVEEDORES3[[#This Row],[FECHA DE PAGO]]-PROVEEDORES3[[#This Row],[FECHA DE FACTURACIÓN]])&gt;#REF!,"PAGO VENCIDO")</f>
        <v>#REF!</v>
      </c>
      <c r="C10" s="127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10" s="128">
        <v>44572</v>
      </c>
      <c r="E10" s="129" t="s">
        <v>38</v>
      </c>
      <c r="F10" s="130">
        <v>44531</v>
      </c>
      <c r="G10" s="131" t="s">
        <v>922</v>
      </c>
      <c r="H10" s="132">
        <f>5507.2</f>
        <v>5507.2</v>
      </c>
      <c r="I10" s="133"/>
      <c r="J10" s="134"/>
      <c r="K10" s="124"/>
      <c r="L10" s="135"/>
      <c r="M10" s="135"/>
      <c r="N10" s="135"/>
      <c r="O10" s="135"/>
      <c r="P10" s="136"/>
      <c r="Q10" s="137"/>
      <c r="V10" s="135"/>
      <c r="W10" s="135"/>
    </row>
    <row r="11" spans="1:23" ht="21.9" customHeight="1" x14ac:dyDescent="0.3">
      <c r="A11" s="125" t="str">
        <f>+IF(PROVEEDORES3[[#This Row],[FECHA DE PAGO]]=PROVEEDORES3[[#This Row],[FECHA DE FACTURACIÓN]],"DE CONTADO","CRÉDITO")</f>
        <v>CRÉDITO</v>
      </c>
      <c r="B11" s="126" t="e">
        <f>+IF((PROVEEDORES3[[#This Row],[FECHA DE PAGO]]-PROVEEDORES3[[#This Row],[FECHA DE FACTURACIÓN]])&gt;#REF!,"PAGO VENCIDO")</f>
        <v>#REF!</v>
      </c>
      <c r="C11" s="127" t="str">
        <f>+VLOOKUP(PROVEEDORES3[[#This Row],[PROVEEDOR]],TERCEROS_INFO[[PROVEEDOR]:[CORREO]],5,FALSE)</f>
        <v>jessica.barios.com@carpainternacional;girlesa.ruiz@servipilas.com;joriescobar64@gmail.com</v>
      </c>
      <c r="D11" s="128">
        <v>44586</v>
      </c>
      <c r="E11" s="129" t="s">
        <v>607</v>
      </c>
      <c r="F11" s="130">
        <v>44533</v>
      </c>
      <c r="G11" s="131" t="s">
        <v>892</v>
      </c>
      <c r="H11" s="132">
        <f>116</f>
        <v>116</v>
      </c>
      <c r="I11" s="133"/>
      <c r="J11" s="134"/>
      <c r="K11" s="124"/>
      <c r="L11" s="135"/>
      <c r="M11" s="135"/>
      <c r="N11" s="135"/>
      <c r="O11" s="135"/>
      <c r="P11" s="136"/>
      <c r="Q11" s="137"/>
      <c r="V11" s="135"/>
      <c r="W11" s="135"/>
    </row>
    <row r="12" spans="1:23" ht="21.9" customHeight="1" x14ac:dyDescent="0.3">
      <c r="A12" s="125" t="str">
        <f>+IF(PROVEEDORES3[[#This Row],[FECHA DE PAGO]]=PROVEEDORES3[[#This Row],[FECHA DE FACTURACIÓN]],"DE CONTADO","CRÉDITO")</f>
        <v>CRÉDITO</v>
      </c>
      <c r="B12" s="126" t="e">
        <f>+IF((PROVEEDORES3[[#This Row],[FECHA DE PAGO]]-PROVEEDORES3[[#This Row],[FECHA DE FACTURACIÓN]])&gt;#REF!,"PAGO VENCIDO")</f>
        <v>#REF!</v>
      </c>
      <c r="C12" s="127" t="str">
        <f>+VLOOKUP(PROVEEDORES3[[#This Row],[PROVEEDOR]],TERCEROS_INFO[[PROVEEDOR]:[CORREO]],5,FALSE)</f>
        <v>jessica.barios.com@carpainternacional;girlesa.ruiz@servipilas.com;joriescobar64@gmail.com</v>
      </c>
      <c r="D12" s="128">
        <v>44586</v>
      </c>
      <c r="E12" s="129" t="s">
        <v>607</v>
      </c>
      <c r="F12" s="130">
        <v>44533</v>
      </c>
      <c r="G12" s="131" t="s">
        <v>891</v>
      </c>
      <c r="H12" s="132">
        <f>48</f>
        <v>48</v>
      </c>
      <c r="I12" s="133"/>
      <c r="J12" s="134"/>
      <c r="K12" s="124"/>
      <c r="L12" s="135"/>
      <c r="M12" s="135"/>
      <c r="N12" s="135"/>
      <c r="O12" s="135"/>
      <c r="P12" s="136"/>
      <c r="Q12" s="137"/>
      <c r="V12" s="135"/>
      <c r="W12" s="135"/>
    </row>
    <row r="13" spans="1:23" ht="21.9" customHeight="1" x14ac:dyDescent="0.3">
      <c r="A13" s="125" t="str">
        <f>+IF(PROVEEDORES3[[#This Row],[FECHA DE PAGO]]=PROVEEDORES3[[#This Row],[FECHA DE FACTURACIÓN]],"DE CONTADO","CRÉDITO")</f>
        <v>CRÉDITO</v>
      </c>
      <c r="B13" s="126" t="e">
        <f>+IF((PROVEEDORES3[[#This Row],[FECHA DE PAGO]]-PROVEEDORES3[[#This Row],[FECHA DE FACTURACIÓN]])&gt;#REF!,"PAGO VENCIDO")</f>
        <v>#REF!</v>
      </c>
      <c r="C13" s="127" t="str">
        <f>+VLOOKUP(PROVEEDORES3[[#This Row],[PROVEEDOR]],TERCEROS_INFO[[PROVEEDOR]:[CORREO]],5,FALSE)</f>
        <v>jessica.barios.com@carpainternacional;girlesa.ruiz@servipilas.com;joriescobar64@gmail.com</v>
      </c>
      <c r="D13" s="128">
        <v>44586</v>
      </c>
      <c r="E13" s="129" t="s">
        <v>607</v>
      </c>
      <c r="F13" s="130">
        <v>44537</v>
      </c>
      <c r="G13" s="131" t="s">
        <v>895</v>
      </c>
      <c r="H13" s="132">
        <f>60</f>
        <v>60</v>
      </c>
      <c r="I13" s="133"/>
      <c r="J13" s="134"/>
      <c r="K13" s="124"/>
      <c r="L13" s="135"/>
      <c r="M13" s="135"/>
      <c r="N13" s="135"/>
      <c r="O13" s="135"/>
      <c r="P13" s="136"/>
      <c r="Q13" s="137"/>
      <c r="V13" s="135"/>
      <c r="W13" s="135"/>
    </row>
    <row r="14" spans="1:23" ht="21.9" customHeight="1" x14ac:dyDescent="0.3">
      <c r="A14" s="125" t="str">
        <f>+IF(PROVEEDORES3[[#This Row],[FECHA DE PAGO]]=PROVEEDORES3[[#This Row],[FECHA DE FACTURACIÓN]],"DE CONTADO","CRÉDITO")</f>
        <v>CRÉDITO</v>
      </c>
      <c r="B14" s="126" t="e">
        <f>+IF((PROVEEDORES3[[#This Row],[FECHA DE PAGO]]-PROVEEDORES3[[#This Row],[FECHA DE FACTURACIÓN]])&gt;#REF!,"PAGO VENCIDO")</f>
        <v>#REF!</v>
      </c>
      <c r="C14" s="127" t="str">
        <f>+VLOOKUP(PROVEEDORES3[[#This Row],[PROVEEDOR]],TERCEROS_INFO[[PROVEEDOR]:[CORREO]],5,FALSE)</f>
        <v>jessica.barios.com@carpainternacional;girlesa.ruiz@servipilas.com;joriescobar64@gmail.com</v>
      </c>
      <c r="D14" s="128">
        <v>44586</v>
      </c>
      <c r="E14" s="129" t="s">
        <v>609</v>
      </c>
      <c r="F14" s="130">
        <v>44539</v>
      </c>
      <c r="G14" s="131" t="s">
        <v>658</v>
      </c>
      <c r="H14" s="132">
        <f>560</f>
        <v>560</v>
      </c>
      <c r="I14" s="133"/>
      <c r="J14" s="134"/>
      <c r="K14" s="124"/>
      <c r="L14" s="135"/>
      <c r="M14" s="135"/>
      <c r="N14" s="135"/>
      <c r="O14" s="135"/>
      <c r="P14" s="136"/>
      <c r="Q14" s="137"/>
      <c r="V14" s="135"/>
      <c r="W14" s="135"/>
    </row>
    <row r="15" spans="1:23" ht="21.9" customHeight="1" x14ac:dyDescent="0.3">
      <c r="A15" s="125" t="str">
        <f>+IF(PROVEEDORES3[[#This Row],[FECHA DE PAGO]]=PROVEEDORES3[[#This Row],[FECHA DE FACTURACIÓN]],"DE CONTADO","CRÉDITO")</f>
        <v>CRÉDITO</v>
      </c>
      <c r="B15" s="126" t="e">
        <f>+IF((PROVEEDORES3[[#This Row],[FECHA DE PAGO]]-PROVEEDORES3[[#This Row],[FECHA DE FACTURACIÓN]])&gt;#REF!,"PAGO VENCIDO")</f>
        <v>#REF!</v>
      </c>
      <c r="C15" s="127" t="str">
        <f>+VLOOKUP(PROVEEDORES3[[#This Row],[PROVEEDOR]],TERCEROS_INFO[[PROVEEDOR]:[CORREO]],5,FALSE)</f>
        <v>jessica.barios.com@carpainternacional;girlesa.ruiz@servipilas.com;joriescobar64@gmail.com</v>
      </c>
      <c r="D15" s="128">
        <v>44623</v>
      </c>
      <c r="E15" s="129" t="s">
        <v>607</v>
      </c>
      <c r="F15" s="130">
        <v>44552</v>
      </c>
      <c r="G15" s="131" t="s">
        <v>916</v>
      </c>
      <c r="H15" s="132">
        <v>76</v>
      </c>
      <c r="I15" s="133">
        <f>+PROVEEDORES3[[#This Row],[Total USD]]*3828.5</f>
        <v>290966</v>
      </c>
      <c r="J15" s="134"/>
      <c r="K15" s="124"/>
      <c r="L15" s="135"/>
      <c r="M15" s="135"/>
      <c r="N15" s="135"/>
      <c r="O15" s="135"/>
      <c r="P15" s="136"/>
      <c r="Q15" s="137"/>
      <c r="V15" s="135"/>
      <c r="W15" s="135"/>
    </row>
    <row r="16" spans="1:23" ht="21.9" customHeight="1" x14ac:dyDescent="0.3">
      <c r="A16" s="125" t="str">
        <f>+IF(PROVEEDORES3[[#This Row],[FECHA DE PAGO]]=PROVEEDORES3[[#This Row],[FECHA DE FACTURACIÓN]],"DE CONTADO","CRÉDITO")</f>
        <v>CRÉDITO</v>
      </c>
      <c r="B16" s="126" t="e">
        <f>+IF((PROVEEDORES3[[#This Row],[FECHA DE PAGO]]-PROVEEDORES3[[#This Row],[FECHA DE FACTURACIÓN]])&gt;#REF!,"PAGO VENCIDO")</f>
        <v>#REF!</v>
      </c>
      <c r="C16" s="127" t="str">
        <f>+VLOOKUP(PROVEEDORES3[[#This Row],[PROVEEDOR]],TERCEROS_INFO[[PROVEEDOR]:[CORREO]],5,FALSE)</f>
        <v>jessica.barios.com@carpainternacional;girlesa.ruiz@servipilas.com;joriescobar64@gmail.com</v>
      </c>
      <c r="D16" s="128">
        <v>44623</v>
      </c>
      <c r="E16" s="138" t="s">
        <v>607</v>
      </c>
      <c r="F16" s="130">
        <v>44557</v>
      </c>
      <c r="G16" s="131">
        <v>1294</v>
      </c>
      <c r="H16" s="132">
        <f>60</f>
        <v>60</v>
      </c>
      <c r="I16" s="133">
        <f>+PROVEEDORES3[[#This Row],[Total USD]]*3828.5</f>
        <v>229710</v>
      </c>
      <c r="J16"/>
      <c r="K16" s="124"/>
      <c r="M16" s="134"/>
      <c r="N16" s="134"/>
      <c r="O16" s="136"/>
      <c r="P16" s="135"/>
      <c r="Q16" s="135"/>
      <c r="T16" s="136"/>
      <c r="U16" s="137"/>
      <c r="V16" s="135"/>
      <c r="W16" s="135"/>
    </row>
    <row r="17" spans="1:23" ht="21.9" customHeight="1" x14ac:dyDescent="0.3">
      <c r="A17" s="125" t="str">
        <f>+IF(PROVEEDORES3[[#This Row],[FECHA DE PAGO]]=PROVEEDORES3[[#This Row],[FECHA DE FACTURACIÓN]],"DE CONTADO","CRÉDITO")</f>
        <v>CRÉDITO</v>
      </c>
      <c r="B17" s="126" t="e">
        <f>+IF((PROVEEDORES3[[#This Row],[FECHA DE PAGO]]-PROVEEDORES3[[#This Row],[FECHA DE FACTURACIÓN]])&gt;#REF!,"PAGO VENCIDO")</f>
        <v>#REF!</v>
      </c>
      <c r="C17" s="127" t="str">
        <f>+VLOOKUP(PROVEEDORES3[[#This Row],[PROVEEDOR]],TERCEROS_INFO[[PROVEEDOR]:[CORREO]],5,FALSE)</f>
        <v>jessica.barios.com@carpainternacional;girlesa.ruiz@servipilas.com;joriescobar64@gmail.com</v>
      </c>
      <c r="D17" s="128">
        <v>44623</v>
      </c>
      <c r="E17" s="138" t="s">
        <v>607</v>
      </c>
      <c r="F17" s="130">
        <v>44557</v>
      </c>
      <c r="G17" s="131">
        <v>1293</v>
      </c>
      <c r="H17" s="132">
        <f>56</f>
        <v>56</v>
      </c>
      <c r="I17" s="133">
        <f>+PROVEEDORES3[[#This Row],[Total USD]]*3828.5</f>
        <v>214396</v>
      </c>
      <c r="J17"/>
      <c r="K17" s="124"/>
      <c r="M17" s="134"/>
      <c r="N17" s="134"/>
      <c r="O17" s="136"/>
      <c r="P17" s="135"/>
      <c r="Q17" s="135"/>
      <c r="T17" s="136"/>
      <c r="U17" s="137"/>
      <c r="V17" s="135"/>
      <c r="W17" s="135"/>
    </row>
    <row r="18" spans="1:23" ht="21.9" customHeight="1" x14ac:dyDescent="0.3">
      <c r="A18" s="125" t="str">
        <f>+IF(PROVEEDORES3[[#This Row],[FECHA DE PAGO]]=PROVEEDORES3[[#This Row],[FECHA DE FACTURACIÓN]],"DE CONTADO","CRÉDITO")</f>
        <v>CRÉDITO</v>
      </c>
      <c r="B18" s="126" t="e">
        <f>+IF((PROVEEDORES3[[#This Row],[FECHA DE PAGO]]-PROVEEDORES3[[#This Row],[FECHA DE FACTURACIÓN]])&gt;#REF!,"PAGO VENCIDO")</f>
        <v>#REF!</v>
      </c>
      <c r="C18" s="127" t="str">
        <f>+VLOOKUP(PROVEEDORES3[[#This Row],[PROVEEDOR]],TERCEROS_INFO[[PROVEEDOR]:[CORREO]],5,FALSE)</f>
        <v>jessica.barrios@carpainternacional;girlesa.ruiz@servipilas.com;joriescobar64@gmail.com</v>
      </c>
      <c r="D18" s="128">
        <v>44623</v>
      </c>
      <c r="E18" s="138" t="s">
        <v>947</v>
      </c>
      <c r="F18" s="130">
        <v>44557</v>
      </c>
      <c r="G18" s="131" t="s">
        <v>948</v>
      </c>
      <c r="H18" s="132">
        <f>695</f>
        <v>695</v>
      </c>
      <c r="I18" s="133">
        <f>+PROVEEDORES3[[#This Row],[Total USD]]*3828.5</f>
        <v>2660807.5</v>
      </c>
      <c r="J18"/>
      <c r="K18" s="124"/>
      <c r="M18" s="134"/>
      <c r="N18" s="134"/>
      <c r="O18" s="136"/>
      <c r="P18" s="135"/>
      <c r="Q18" s="135"/>
      <c r="T18" s="136"/>
      <c r="U18" s="137"/>
      <c r="V18" s="135"/>
      <c r="W18" s="135"/>
    </row>
    <row r="19" spans="1:23" ht="21.9" hidden="1" customHeight="1" x14ac:dyDescent="0.3">
      <c r="A19" s="125" t="str">
        <f>+IF(PROVEEDORES3[[#This Row],[FECHA DE PAGO]]=PROVEEDORES3[[#This Row],[FECHA DE FACTURACIÓN]],"DE CONTADO","CRÉDITO")</f>
        <v>CRÉDITO</v>
      </c>
      <c r="B19" s="126" t="e">
        <f>+IF((PROVEEDORES3[[#This Row],[FECHA DE PAGO]]-PROVEEDORES3[[#This Row],[FECHA DE FACTURACIÓN]])&gt;#REF!,"PAGO VENCIDO")</f>
        <v>#REF!</v>
      </c>
      <c r="C19" s="127" t="str">
        <f>+VLOOKUP(PROVEEDORES3[[#This Row],[PROVEEDOR]],TERCEROS_INFO[[PROVEEDOR]:[CORREO]],5,FALSE)</f>
        <v/>
      </c>
      <c r="D19" s="128">
        <v>44585</v>
      </c>
      <c r="E19" s="129" t="s">
        <v>27</v>
      </c>
      <c r="F19" s="130">
        <v>44580</v>
      </c>
      <c r="G19" s="131">
        <v>130713</v>
      </c>
      <c r="H19" s="132">
        <f>2216</f>
        <v>2216</v>
      </c>
      <c r="I19" s="133"/>
    </row>
    <row r="20" spans="1:23" ht="21.9" customHeight="1" x14ac:dyDescent="0.3">
      <c r="A20" s="125" t="str">
        <f>+IF(PROVEEDORES3[[#This Row],[FECHA DE PAGO]]=PROVEEDORES3[[#This Row],[FECHA DE FACTURACIÓN]],"DE CONTADO","CRÉDITO")</f>
        <v>CRÉDITO</v>
      </c>
      <c r="B20" s="126" t="e">
        <f>+IF((PROVEEDORES3[[#This Row],[FECHA DE PAGO]]-PROVEEDORES3[[#This Row],[FECHA DE FACTURACIÓN]])&gt;#REF!,"PAGO VENCIDO")</f>
        <v>#REF!</v>
      </c>
      <c r="C20" s="127" t="str">
        <f>+VLOOKUP(PROVEEDORES3[[#This Row],[PROVEEDOR]],TERCEROS_INFO[[PROVEEDOR]:[CORREO]],5,FALSE)</f>
        <v>jessica.barios.com@carpainternacional;girlesa.ruiz@servipilas.com;joriescobar64@gmail.com</v>
      </c>
      <c r="D20" s="128">
        <v>44623</v>
      </c>
      <c r="E20" s="129" t="s">
        <v>607</v>
      </c>
      <c r="F20" s="130">
        <v>44586</v>
      </c>
      <c r="G20" s="131" t="s">
        <v>1093</v>
      </c>
      <c r="H20" s="132">
        <v>44</v>
      </c>
      <c r="I20" s="133">
        <f>+PROVEEDORES3[[#This Row],[Total USD]]*3828.5</f>
        <v>168454</v>
      </c>
    </row>
    <row r="21" spans="1:23" ht="21.9" customHeight="1" x14ac:dyDescent="0.3">
      <c r="A21" s="125" t="str">
        <f>+IF(PROVEEDORES3[[#This Row],[FECHA DE PAGO]]=PROVEEDORES3[[#This Row],[FECHA DE FACTURACIÓN]],"DE CONTADO","CRÉDITO")</f>
        <v>CRÉDITO</v>
      </c>
      <c r="B21" s="126" t="e">
        <f>+IF((PROVEEDORES3[[#This Row],[FECHA DE PAGO]]-PROVEEDORES3[[#This Row],[FECHA DE FACTURACIÓN]])&gt;#REF!,"PAGO VENCIDO")</f>
        <v>#REF!</v>
      </c>
      <c r="C21" s="127" t="str">
        <f>+VLOOKUP(PROVEEDORES3[[#This Row],[PROVEEDOR]],TERCEROS_INFO[[PROVEEDOR]:[CORREO]],5,FALSE)</f>
        <v>jessica.barios.com@carpainternacional;girlesa.ruiz@servipilas.com;joriescobar64@gmail.com</v>
      </c>
      <c r="D21" s="128">
        <v>44623</v>
      </c>
      <c r="E21" s="129" t="s">
        <v>608</v>
      </c>
      <c r="F21" s="130">
        <v>44587</v>
      </c>
      <c r="G21" s="131" t="s">
        <v>1096</v>
      </c>
      <c r="H21" s="132">
        <v>660</v>
      </c>
      <c r="I21" s="133">
        <f>+PROVEEDORES3[[#This Row],[Total USD]]*3828.5</f>
        <v>2526810</v>
      </c>
    </row>
    <row r="22" spans="1:23" ht="21.9" customHeight="1" x14ac:dyDescent="0.3">
      <c r="A22" s="125" t="str">
        <f>+IF(PROVEEDORES3[[#This Row],[FECHA DE PAGO]]=PROVEEDORES3[[#This Row],[FECHA DE FACTURACIÓN]],"DE CONTADO","CRÉDITO")</f>
        <v>CRÉDITO</v>
      </c>
      <c r="B22" s="126" t="e">
        <f>+IF((PROVEEDORES3[[#This Row],[FECHA DE PAGO]]-PROVEEDORES3[[#This Row],[FECHA DE FACTURACIÓN]])&gt;#REF!,"PAGO VENCIDO")</f>
        <v>#REF!</v>
      </c>
      <c r="C22" s="127" t="str">
        <f>+VLOOKUP(PROVEEDORES3[[#This Row],[PROVEEDOR]],TERCEROS_INFO[[PROVEEDOR]:[CORREO]],5,FALSE)</f>
        <v>jessica.barios.com@carpainternacional;girlesa.ruiz@servipilas.com;joriescobar64@gmail.com</v>
      </c>
      <c r="E22" s="129" t="s">
        <v>607</v>
      </c>
      <c r="F22" s="130">
        <v>44607</v>
      </c>
      <c r="G22" s="131" t="s">
        <v>1162</v>
      </c>
      <c r="H22" s="132">
        <v>48</v>
      </c>
      <c r="I22" s="133">
        <f>+PROVEEDORES3[[#This Row],[Total USD]]*3828.5</f>
        <v>183768</v>
      </c>
    </row>
    <row r="23" spans="1:23" ht="21.9" customHeight="1" x14ac:dyDescent="0.3">
      <c r="A23" s="125" t="str">
        <f>+IF(PROVEEDORES3[[#This Row],[FECHA DE PAGO]]=PROVEEDORES3[[#This Row],[FECHA DE FACTURACIÓN]],"DE CONTADO","CRÉDITO")</f>
        <v>CRÉDITO</v>
      </c>
      <c r="B23" s="126" t="e">
        <f>+IF((PROVEEDORES3[[#This Row],[FECHA DE PAGO]]-PROVEEDORES3[[#This Row],[FECHA DE FACTURACIÓN]])&gt;#REF!,"PAGO VENCIDO")</f>
        <v>#REF!</v>
      </c>
      <c r="C23" s="127" t="str">
        <f>+VLOOKUP(PROVEEDORES3[[#This Row],[PROVEEDOR]],TERCEROS_INFO[[PROVEEDOR]:[CORREO]],5,FALSE)</f>
        <v>jessica.barios.com@carpainternacional;girlesa.ruiz@servipilas.com;joriescobar64@gmail.com</v>
      </c>
      <c r="E23" s="129" t="s">
        <v>607</v>
      </c>
      <c r="F23" s="130">
        <v>44617</v>
      </c>
      <c r="G23" s="131">
        <v>1342</v>
      </c>
      <c r="H23" s="132">
        <v>52</v>
      </c>
      <c r="I23" s="133">
        <f>+PROVEEDORES3[[#This Row],[Total USD]]*3828.5</f>
        <v>199082</v>
      </c>
    </row>
    <row r="24" spans="1:23" ht="21.9" customHeight="1" x14ac:dyDescent="0.3">
      <c r="A24" s="125" t="str">
        <f>+IF(PROVEEDORES3[[#This Row],[FECHA DE PAGO]]=PROVEEDORES3[[#This Row],[FECHA DE FACTURACIÓN]],"DE CONTADO","CRÉDITO")</f>
        <v>CRÉDITO</v>
      </c>
      <c r="B24" s="126" t="e">
        <f>+IF((PROVEEDORES3[[#This Row],[FECHA DE PAGO]]-PROVEEDORES3[[#This Row],[FECHA DE FACTURACIÓN]])&gt;#REF!,"PAGO VENCIDO")</f>
        <v>#REF!</v>
      </c>
      <c r="C24" s="127" t="str">
        <f>+VLOOKUP(PROVEEDORES3[[#This Row],[PROVEEDOR]],TERCEROS_INFO[[PROVEEDOR]:[CORREO]],5,FALSE)</f>
        <v>jessica.barios.com@carpainternacional;girlesa.ruiz@servipilas.com;joriescobar64@gmail.com</v>
      </c>
      <c r="E24" s="129" t="s">
        <v>607</v>
      </c>
      <c r="F24" s="130">
        <v>44539</v>
      </c>
      <c r="G24" s="131" t="s">
        <v>1220</v>
      </c>
      <c r="H24" s="132">
        <v>57</v>
      </c>
      <c r="I24" s="133">
        <f>+PROVEEDORES3[[#This Row],[Total USD]]*3828.5</f>
        <v>218224.5</v>
      </c>
    </row>
    <row r="25" spans="1:23" ht="21.9" customHeight="1" x14ac:dyDescent="0.3">
      <c r="A25" s="125" t="str">
        <f>+IF(PROVEEDORES3[[#This Row],[FECHA DE PAGO]]=PROVEEDORES3[[#This Row],[FECHA DE FACTURACIÓN]],"DE CONTADO","CRÉDITO")</f>
        <v>CRÉDITO</v>
      </c>
      <c r="B25" s="126" t="e">
        <f>+IF((PROVEEDORES3[[#This Row],[FECHA DE PAGO]]-PROVEEDORES3[[#This Row],[FECHA DE FACTURACIÓN]])&gt;#REF!,"PAGO VENCIDO")</f>
        <v>#REF!</v>
      </c>
      <c r="C25" s="127" t="str">
        <f>+VLOOKUP(PROVEEDORES3[[#This Row],[PROVEEDOR]],TERCEROS_INFO[[PROVEEDOR]:[CORREO]],5,FALSE)</f>
        <v>jessica.barrios@carpainternacional;girlesa.ruiz@servipilas.com;joriescobar64@gmail.com</v>
      </c>
      <c r="E25" s="138" t="s">
        <v>947</v>
      </c>
      <c r="F25" s="130">
        <v>44560</v>
      </c>
      <c r="G25" s="131" t="s">
        <v>1221</v>
      </c>
      <c r="H25" s="132">
        <v>0.5</v>
      </c>
      <c r="I25" s="133">
        <f>+PROVEEDORES3[[#This Row],[Total USD]]*3828.5</f>
        <v>1914.25</v>
      </c>
    </row>
    <row r="26" spans="1:23" ht="21.9" customHeight="1" x14ac:dyDescent="0.3">
      <c r="A26" s="125" t="str">
        <f>+IF(PROVEEDORES3[[#This Row],[FECHA DE PAGO]]=PROVEEDORES3[[#This Row],[FECHA DE FACTURACIÓN]],"DE CONTADO","CRÉDITO")</f>
        <v>CRÉDITO</v>
      </c>
      <c r="B26" s="126" t="e">
        <f>+IF((PROVEEDORES3[[#This Row],[FECHA DE PAGO]]-PROVEEDORES3[[#This Row],[FECHA DE FACTURACIÓN]])&gt;#REF!,"PAGO VENCIDO")</f>
        <v>#REF!</v>
      </c>
      <c r="C26" s="127" t="str">
        <f>+VLOOKUP(PROVEEDORES3[[#This Row],[PROVEEDOR]],TERCEROS_INFO[[PROVEEDOR]:[CORREO]],5,FALSE)</f>
        <v>jessica.barios.com@carpainternacional;girlesa.ruiz@servipilas.com;joriescobar64@gmail.com</v>
      </c>
      <c r="E26" s="129" t="s">
        <v>607</v>
      </c>
      <c r="F26" s="130">
        <v>44617</v>
      </c>
      <c r="G26" s="131" t="s">
        <v>1155</v>
      </c>
      <c r="H26" s="132">
        <v>52</v>
      </c>
      <c r="I26" s="133">
        <f>+PROVEEDORES3[[#This Row],[Total USD]]*3828.5</f>
        <v>199082</v>
      </c>
    </row>
    <row r="27" spans="1:23" ht="21.9" customHeight="1" x14ac:dyDescent="0.3">
      <c r="A27" s="125" t="str">
        <f>+IF(PROVEEDORES3[[#This Row],[FECHA DE PAGO]]=PROVEEDORES3[[#This Row],[FECHA DE FACTURACIÓN]],"DE CONTADO","CRÉDITO")</f>
        <v>CRÉDITO</v>
      </c>
      <c r="B27" s="126" t="e">
        <f>+IF((PROVEEDORES3[[#This Row],[FECHA DE PAGO]]-PROVEEDORES3[[#This Row],[FECHA DE FACTURACIÓN]])&gt;#REF!,"PAGO VENCIDO")</f>
        <v>#REF!</v>
      </c>
      <c r="C27" s="127" t="str">
        <f>+VLOOKUP(PROVEEDORES3[[#This Row],[PROVEEDOR]],TERCEROS_INFO[[PROVEEDOR]:[CORREO]],5,FALSE)</f>
        <v>jessica.barios.com@carpainternacional;girlesa.ruiz@servipilas.com;joriescobar64@gmail.com</v>
      </c>
      <c r="E27" s="129" t="s">
        <v>607</v>
      </c>
      <c r="F27" s="130">
        <v>44643</v>
      </c>
      <c r="G27" s="131" t="s">
        <v>1124</v>
      </c>
      <c r="H27" s="132">
        <v>112</v>
      </c>
      <c r="I27" s="133">
        <f>+PROVEEDORES3[[#This Row],[Total USD]]*3828.5</f>
        <v>428792</v>
      </c>
    </row>
    <row r="28" spans="1:23" ht="21.9" hidden="1" customHeight="1" x14ac:dyDescent="0.3">
      <c r="A28" s="125" t="str">
        <f>+IF(PROVEEDORES3[[#This Row],[FECHA DE PAGO]]=PROVEEDORES3[[#This Row],[FECHA DE FACTURACIÓN]],"DE CONTADO","CRÉDITO")</f>
        <v>CRÉDITO</v>
      </c>
      <c r="B28" s="126" t="e">
        <f>+IF((PROVEEDORES3[[#This Row],[FECHA DE PAGO]]-PROVEEDORES3[[#This Row],[FECHA DE FACTURACIÓN]])&gt;#REF!,"PAGO VENCIDO")</f>
        <v>#REF!</v>
      </c>
      <c r="C28" s="127" t="str">
        <f>+VLOOKUP(PROVEEDORES3[[#This Row],[PROVEEDOR]],TERCEROS_INFO[[PROVEEDOR]:[CORREO]],5,FALSE)</f>
        <v>mcastillo@kenextrading.com;agarcia@kenextrading.com;girlesa.ruiz@servipilas.com;joriescobar64@gmail.com</v>
      </c>
      <c r="E28" s="129" t="s">
        <v>31</v>
      </c>
      <c r="F28" s="130">
        <v>44629</v>
      </c>
      <c r="G28" s="131">
        <v>56143</v>
      </c>
      <c r="H28" s="132">
        <v>10278.61</v>
      </c>
      <c r="I28" s="133">
        <f>+PROVEEDORES3[[#This Row],[Total USD]]*3828.5</f>
        <v>39351658.385000005</v>
      </c>
    </row>
    <row r="29" spans="1:23" ht="21.9" customHeight="1" x14ac:dyDescent="0.3">
      <c r="A29" s="125" t="str">
        <f>+IF(PROVEEDORES3[[#This Row],[FECHA DE PAGO]]=PROVEEDORES3[[#This Row],[FECHA DE FACTURACIÓN]],"DE CONTADO","CRÉDITO")</f>
        <v>CRÉDITO</v>
      </c>
      <c r="B29" s="126" t="e">
        <f>+IF((PROVEEDORES3[[#This Row],[FECHA DE PAGO]]-PROVEEDORES3[[#This Row],[FECHA DE FACTURACIÓN]])&gt;#REF!,"PAGO VENCIDO")</f>
        <v>#REF!</v>
      </c>
      <c r="C29" s="127" t="str">
        <f>+VLOOKUP(PROVEEDORES3[[#This Row],[PROVEEDOR]],TERCEROS_INFO[[PROVEEDOR]:[CORREO]],5,FALSE)</f>
        <v>jessica.barios.com@carpainternacional;girlesa.ruiz@servipilas.com;joriescobar64@gmail.com</v>
      </c>
      <c r="E29" s="129" t="s">
        <v>609</v>
      </c>
      <c r="F29" s="130">
        <v>44656</v>
      </c>
      <c r="G29" s="131" t="s">
        <v>999</v>
      </c>
      <c r="H29" s="132">
        <v>349.5</v>
      </c>
      <c r="I29" s="133">
        <f>+PROVEEDORES3[[#This Row],[Total USD]]*3828.5</f>
        <v>1338060.75</v>
      </c>
    </row>
  </sheetData>
  <sheetProtection formatCells="0" formatColumns="0" formatRows="0" insertColumns="0" insertRows="0" insertHyperlinks="0" deleteColumns="0" deleteRows="0" sort="0" autoFilter="0" pivotTables="0"/>
  <conditionalFormatting sqref="E29 C1:I27">
    <cfRule type="expression" dxfId="60" priority="1">
      <formula>#REF!="Por pagar"</formula>
    </cfRule>
    <cfRule type="expression" dxfId="59" priority="2">
      <formula>#REF!="Vencida"</formula>
    </cfRule>
    <cfRule type="expression" dxfId="58" priority="3">
      <formula>#REF!="Pagada"</formula>
    </cfRule>
  </conditionalFormatting>
  <conditionalFormatting sqref="E26:F26 E27">
    <cfRule type="expression" dxfId="57" priority="4" stopIfTrue="1">
      <formula>#REF!="Por pagar"</formula>
    </cfRule>
    <cfRule type="expression" dxfId="56" priority="5" stopIfTrue="1">
      <formula>#REF!="Vencida"</formula>
    </cfRule>
    <cfRule type="expression" dxfId="55" priority="6" stopIfTrue="1">
      <formula>#REF!="Pagada"</formula>
    </cfRule>
  </conditionalFormatting>
  <pageMargins left="1.085" right="0.7" top="0.75" bottom="0.75" header="0.3" footer="0.3"/>
  <pageSetup scale="39" orientation="portrait" r:id="rId1"/>
  <colBreaks count="1" manualBreakCount="1">
    <brk id="10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AH970"/>
  <sheetViews>
    <sheetView workbookViewId="0">
      <selection activeCell="G971" sqref="G971"/>
    </sheetView>
  </sheetViews>
  <sheetFormatPr baseColWidth="10" defaultColWidth="0" defaultRowHeight="24" customHeight="1" x14ac:dyDescent="0.3"/>
  <cols>
    <col min="1" max="1" width="15.5546875" style="8" customWidth="1"/>
    <col min="2" max="2" width="35.6640625" style="64" customWidth="1"/>
    <col min="3" max="3" width="18.5546875" style="8" customWidth="1"/>
    <col min="4" max="4" width="16.44140625" style="8" customWidth="1"/>
    <col min="5" max="5" width="18.109375" style="8" customWidth="1"/>
    <col min="6" max="6" width="15.88671875" style="8" customWidth="1"/>
    <col min="7" max="7" width="13.6640625" style="68" customWidth="1"/>
    <col min="8" max="8" width="15.44140625" style="8" customWidth="1"/>
    <col min="9" max="9" width="18.109375" style="8" hidden="1" customWidth="1"/>
    <col min="10" max="10" width="26.109375" style="13" hidden="1" customWidth="1"/>
    <col min="11" max="11" width="43" style="8" hidden="1" customWidth="1"/>
    <col min="12" max="12" width="16.44140625" style="8" hidden="1" customWidth="1"/>
    <col min="13" max="13" width="13.5546875" style="8" hidden="1" customWidth="1"/>
    <col min="14" max="14" width="14.5546875" style="12" hidden="1" customWidth="1"/>
    <col min="15" max="15" width="28.6640625" style="11" hidden="1" customWidth="1"/>
    <col min="16" max="16" width="15.5546875" style="8" hidden="1" customWidth="1"/>
    <col min="17" max="17" width="14.33203125" style="8" hidden="1" customWidth="1"/>
    <col min="18" max="18" width="28" style="8" hidden="1" customWidth="1"/>
    <col min="19" max="19" width="12.33203125" style="8" hidden="1" customWidth="1"/>
    <col min="20" max="20" width="8.44140625" style="8" hidden="1" customWidth="1"/>
    <col min="21" max="21" width="28" style="8" hidden="1" customWidth="1"/>
    <col min="22" max="22" width="13.33203125" style="8" hidden="1" customWidth="1"/>
    <col min="23" max="23" width="18.33203125" style="8" hidden="1" customWidth="1"/>
    <col min="24" max="24" width="19.5546875" style="8" hidden="1" customWidth="1"/>
    <col min="25" max="25" width="5.33203125" style="8" hidden="1" customWidth="1"/>
    <col min="26" max="26" width="9.44140625" style="8" hidden="1" customWidth="1"/>
    <col min="27" max="27" width="14.33203125" style="8" hidden="1" customWidth="1"/>
    <col min="28" max="28" width="16.5546875" style="8" hidden="1" customWidth="1"/>
    <col min="29" max="29" width="9.88671875" style="8" hidden="1" customWidth="1"/>
    <col min="30" max="34" width="12.5546875" style="8" hidden="1" customWidth="1"/>
    <col min="35" max="16384" width="11.44140625" style="8" hidden="1"/>
  </cols>
  <sheetData>
    <row r="1" spans="1:15" ht="30.75" customHeight="1" x14ac:dyDescent="0.3">
      <c r="A1" s="6" t="s">
        <v>470</v>
      </c>
      <c r="B1" s="6" t="s">
        <v>217</v>
      </c>
      <c r="C1" s="6" t="s">
        <v>99</v>
      </c>
      <c r="D1" s="6" t="s">
        <v>36</v>
      </c>
      <c r="E1" s="6" t="s">
        <v>102</v>
      </c>
      <c r="F1" s="7" t="s">
        <v>100</v>
      </c>
      <c r="G1" s="6" t="s">
        <v>101</v>
      </c>
      <c r="H1" s="67" t="s">
        <v>40</v>
      </c>
      <c r="I1" s="42" t="s">
        <v>35</v>
      </c>
      <c r="J1" s="5" t="s">
        <v>41</v>
      </c>
      <c r="N1" s="8"/>
      <c r="O1" s="8"/>
    </row>
    <row r="2" spans="1:15" ht="24" hidden="1" customHeight="1" x14ac:dyDescent="0.3">
      <c r="A2" s="9">
        <v>43074</v>
      </c>
      <c r="B2" s="63" t="s">
        <v>1222</v>
      </c>
      <c r="C2" s="7">
        <v>-94935167</v>
      </c>
      <c r="D2" s="7"/>
      <c r="E2" s="7" t="s">
        <v>146</v>
      </c>
      <c r="F2" s="7">
        <v>-94935167</v>
      </c>
      <c r="G2" s="66"/>
      <c r="H2" s="10"/>
      <c r="I2" s="7" t="b">
        <f>IF(FINANCIACION[[#This Row],[$ CAPITAL]]&gt;0,FINANCIACION[[#This Row],[$ CAPITAL]])</f>
        <v>0</v>
      </c>
      <c r="J2" s="41">
        <f>IF(FINANCIACION[[#This Row],[$ CAPITAL]]&gt;=0,FINANCIACION[[#This Row],[$ CAPITAL]]+FINANCIACION[[#This Row],[$ INTERESES]],0)</f>
        <v>0</v>
      </c>
    </row>
    <row r="3" spans="1:15" ht="24" hidden="1" customHeight="1" x14ac:dyDescent="0.3">
      <c r="A3" s="9">
        <v>43084</v>
      </c>
      <c r="B3" s="63" t="s">
        <v>1223</v>
      </c>
      <c r="C3" s="7">
        <v>-61629154</v>
      </c>
      <c r="D3" s="7"/>
      <c r="E3" s="7" t="s">
        <v>146</v>
      </c>
      <c r="F3" s="7">
        <v>-61629154</v>
      </c>
      <c r="G3" s="66"/>
      <c r="H3" s="10"/>
      <c r="I3" s="7" t="b">
        <f>IF(FINANCIACION[[#This Row],[$ CAPITAL]]&gt;0,FINANCIACION[[#This Row],[$ CAPITAL]])</f>
        <v>0</v>
      </c>
      <c r="J3" s="41">
        <f>IF(FINANCIACION[[#This Row],[$ CAPITAL]]&gt;=0,FINANCIACION[[#This Row],[$ CAPITAL]]+FINANCIACION[[#This Row],[$ INTERESES]],0)</f>
        <v>0</v>
      </c>
    </row>
    <row r="4" spans="1:15" ht="24" hidden="1" customHeight="1" x14ac:dyDescent="0.3">
      <c r="A4" s="9">
        <v>43118</v>
      </c>
      <c r="B4" s="63" t="s">
        <v>1224</v>
      </c>
      <c r="C4" s="7">
        <v>-382491081</v>
      </c>
      <c r="D4" s="7"/>
      <c r="E4" s="7" t="s">
        <v>146</v>
      </c>
      <c r="F4" s="7">
        <v>-382491081</v>
      </c>
      <c r="G4" s="66"/>
      <c r="H4" s="10"/>
      <c r="I4" s="7" t="b">
        <f>IF(FINANCIACION[[#This Row],[$ CAPITAL]]&gt;0,FINANCIACION[[#This Row],[$ CAPITAL]])</f>
        <v>0</v>
      </c>
      <c r="J4" s="41">
        <f>IF(FINANCIACION[[#This Row],[$ CAPITAL]]&gt;=0,FINANCIACION[[#This Row],[$ CAPITAL]]+FINANCIACION[[#This Row],[$ INTERESES]],0)</f>
        <v>0</v>
      </c>
    </row>
    <row r="5" spans="1:15" ht="24" hidden="1" customHeight="1" x14ac:dyDescent="0.3">
      <c r="A5" s="9">
        <v>43346</v>
      </c>
      <c r="B5" s="63" t="s">
        <v>199</v>
      </c>
      <c r="C5" s="7">
        <v>-150000000</v>
      </c>
      <c r="D5" s="7"/>
      <c r="E5" s="7" t="s">
        <v>146</v>
      </c>
      <c r="F5" s="7">
        <v>-150000000</v>
      </c>
      <c r="G5" s="66"/>
      <c r="H5" s="10"/>
      <c r="I5" s="7" t="b">
        <f>IF(FINANCIACION[[#This Row],[$ CAPITAL]]&gt;0,FINANCIACION[[#This Row],[$ CAPITAL]])</f>
        <v>0</v>
      </c>
      <c r="J5" s="41">
        <f>IF(FINANCIACION[[#This Row],[$ CAPITAL]]&gt;=0,FINANCIACION[[#This Row],[$ CAPITAL]]+FINANCIACION[[#This Row],[$ INTERESES]],0)</f>
        <v>0</v>
      </c>
    </row>
    <row r="6" spans="1:15" ht="24" hidden="1" customHeight="1" x14ac:dyDescent="0.3">
      <c r="A6" s="9">
        <v>43398</v>
      </c>
      <c r="B6" s="63" t="s">
        <v>195</v>
      </c>
      <c r="C6" s="7">
        <v>-45000000</v>
      </c>
      <c r="D6" s="7"/>
      <c r="E6" s="7" t="s">
        <v>146</v>
      </c>
      <c r="F6" s="7">
        <v>-45000000</v>
      </c>
      <c r="G6" s="66"/>
      <c r="H6" s="10"/>
      <c r="I6" s="7" t="b">
        <f>IF(FINANCIACION[[#This Row],[$ CAPITAL]]&gt;0,FINANCIACION[[#This Row],[$ CAPITAL]])</f>
        <v>0</v>
      </c>
      <c r="J6" s="41">
        <f>IF(FINANCIACION[[#This Row],[$ CAPITAL]]&gt;=0,FINANCIACION[[#This Row],[$ CAPITAL]]+FINANCIACION[[#This Row],[$ INTERESES]],0)</f>
        <v>0</v>
      </c>
    </row>
    <row r="7" spans="1:15" ht="24" hidden="1" customHeight="1" x14ac:dyDescent="0.3">
      <c r="A7" s="9">
        <v>43465</v>
      </c>
      <c r="B7" s="63" t="s">
        <v>195</v>
      </c>
      <c r="C7" s="7">
        <v>2500000</v>
      </c>
      <c r="D7" s="7"/>
      <c r="E7" s="7">
        <v>2500000</v>
      </c>
      <c r="F7" s="7">
        <v>-42500000</v>
      </c>
      <c r="G7" s="66"/>
      <c r="H7" s="10"/>
      <c r="I7" s="7">
        <f>IF(FINANCIACION[[#This Row],[$ CAPITAL]]&gt;0,FINANCIACION[[#This Row],[$ CAPITAL]])</f>
        <v>2500000</v>
      </c>
      <c r="J7" s="41">
        <f>IF(FINANCIACION[[#This Row],[$ CAPITAL]]&gt;=0,FINANCIACION[[#This Row],[$ CAPITAL]]+FINANCIACION[[#This Row],[$ INTERESES]],0)</f>
        <v>2500000</v>
      </c>
    </row>
    <row r="8" spans="1:15" ht="24" hidden="1" customHeight="1" x14ac:dyDescent="0.3">
      <c r="A8" s="9">
        <v>43465</v>
      </c>
      <c r="B8" s="63" t="s">
        <v>199</v>
      </c>
      <c r="C8" s="7">
        <v>17500000</v>
      </c>
      <c r="D8" s="7"/>
      <c r="E8" s="7">
        <v>17500000</v>
      </c>
      <c r="F8" s="7">
        <v>-132500000</v>
      </c>
      <c r="G8" s="66"/>
      <c r="H8" s="10"/>
      <c r="I8" s="7">
        <f>IF(FINANCIACION[[#This Row],[$ CAPITAL]]&gt;0,FINANCIACION[[#This Row],[$ CAPITAL]])</f>
        <v>17500000</v>
      </c>
      <c r="J8" s="41">
        <f>IF(FINANCIACION[[#This Row],[$ CAPITAL]]&gt;=0,FINANCIACION[[#This Row],[$ CAPITAL]]+FINANCIACION[[#This Row],[$ INTERESES]],0)</f>
        <v>17500000</v>
      </c>
    </row>
    <row r="9" spans="1:15" ht="24" hidden="1" customHeight="1" x14ac:dyDescent="0.3">
      <c r="A9" s="9">
        <v>43468</v>
      </c>
      <c r="B9" s="63" t="s">
        <v>196</v>
      </c>
      <c r="C9" s="7">
        <v>-125000000</v>
      </c>
      <c r="D9" s="7"/>
      <c r="E9" s="7" t="s">
        <v>146</v>
      </c>
      <c r="F9" s="7">
        <v>-125000000</v>
      </c>
      <c r="G9" s="66"/>
      <c r="H9" s="10"/>
      <c r="I9" s="7" t="b">
        <f>IF(FINANCIACION[[#This Row],[$ CAPITAL]]&gt;0,FINANCIACION[[#This Row],[$ CAPITAL]])</f>
        <v>0</v>
      </c>
      <c r="J9" s="41">
        <f>IF(FINANCIACION[[#This Row],[$ CAPITAL]]&gt;=0,FINANCIACION[[#This Row],[$ CAPITAL]]+FINANCIACION[[#This Row],[$ INTERESES]],0)</f>
        <v>0</v>
      </c>
    </row>
    <row r="10" spans="1:15" ht="24" hidden="1" customHeight="1" x14ac:dyDescent="0.3">
      <c r="A10" s="9">
        <v>43468</v>
      </c>
      <c r="B10" s="63" t="s">
        <v>199</v>
      </c>
      <c r="C10" s="7">
        <v>6250000</v>
      </c>
      <c r="D10" s="7">
        <v>1204483.46</v>
      </c>
      <c r="E10" s="7">
        <v>7454483.46</v>
      </c>
      <c r="F10" s="7">
        <v>-126250000</v>
      </c>
      <c r="G10" s="66"/>
      <c r="H10" s="10"/>
      <c r="I10" s="7">
        <f>IF(FINANCIACION[[#This Row],[$ CAPITAL]]&gt;0,FINANCIACION[[#This Row],[$ CAPITAL]])</f>
        <v>6250000</v>
      </c>
      <c r="J10" s="41">
        <f>IF(FINANCIACION[[#This Row],[$ CAPITAL]]&gt;=0,FINANCIACION[[#This Row],[$ CAPITAL]]+FINANCIACION[[#This Row],[$ INTERESES]],0)</f>
        <v>7454483.46</v>
      </c>
    </row>
    <row r="11" spans="1:15" ht="24" hidden="1" customHeight="1" x14ac:dyDescent="0.3">
      <c r="A11" s="9">
        <v>43475</v>
      </c>
      <c r="B11" s="63" t="s">
        <v>1222</v>
      </c>
      <c r="C11" s="7"/>
      <c r="D11" s="7">
        <v>950000</v>
      </c>
      <c r="E11" s="7">
        <v>950000</v>
      </c>
      <c r="F11" s="7">
        <v>-94935167</v>
      </c>
      <c r="G11" s="10"/>
      <c r="H11" s="10"/>
      <c r="I11" s="7" t="b">
        <f>IF(FINANCIACION[[#This Row],[$ CAPITAL]]&gt;0,FINANCIACION[[#This Row],[$ CAPITAL]])</f>
        <v>0</v>
      </c>
      <c r="J11" s="41">
        <f>IF(FINANCIACION[[#This Row],[$ CAPITAL]]&gt;=0,FINANCIACION[[#This Row],[$ CAPITAL]]+FINANCIACION[[#This Row],[$ INTERESES]],0)</f>
        <v>950000</v>
      </c>
    </row>
    <row r="12" spans="1:15" ht="24" hidden="1" customHeight="1" x14ac:dyDescent="0.3">
      <c r="A12" s="9">
        <v>43483</v>
      </c>
      <c r="B12" s="63" t="s">
        <v>1224</v>
      </c>
      <c r="C12" s="7">
        <v>1268533</v>
      </c>
      <c r="D12" s="7">
        <v>12694590</v>
      </c>
      <c r="E12" s="7">
        <v>13963123</v>
      </c>
      <c r="F12" s="7">
        <v>-381222548</v>
      </c>
      <c r="G12" s="10"/>
      <c r="H12" s="10"/>
      <c r="I12" s="7">
        <f>IF(FINANCIACION[[#This Row],[$ CAPITAL]]&gt;0,FINANCIACION[[#This Row],[$ CAPITAL]])</f>
        <v>1268533</v>
      </c>
      <c r="J12" s="41">
        <f>IF(FINANCIACION[[#This Row],[$ CAPITAL]]&gt;=0,FINANCIACION[[#This Row],[$ CAPITAL]]+FINANCIACION[[#This Row],[$ INTERESES]],0)</f>
        <v>13963123</v>
      </c>
    </row>
    <row r="13" spans="1:15" ht="24" hidden="1" customHeight="1" x14ac:dyDescent="0.3">
      <c r="A13" s="9">
        <v>43485</v>
      </c>
      <c r="B13" s="63" t="s">
        <v>1223</v>
      </c>
      <c r="C13" s="7">
        <v>260000</v>
      </c>
      <c r="D13" s="7">
        <v>740000</v>
      </c>
      <c r="E13" s="7">
        <v>1000000</v>
      </c>
      <c r="F13" s="7">
        <v>-61369154</v>
      </c>
      <c r="G13" s="66"/>
      <c r="H13" s="10"/>
      <c r="I13" s="7">
        <f>IF(FINANCIACION[[#This Row],[$ CAPITAL]]&gt;0,FINANCIACION[[#This Row],[$ CAPITAL]])</f>
        <v>260000</v>
      </c>
      <c r="J13" s="41">
        <f>IF(FINANCIACION[[#This Row],[$ CAPITAL]]&gt;=0,FINANCIACION[[#This Row],[$ CAPITAL]]+FINANCIACION[[#This Row],[$ INTERESES]],0)</f>
        <v>1000000</v>
      </c>
    </row>
    <row r="14" spans="1:15" ht="24" hidden="1" customHeight="1" x14ac:dyDescent="0.3">
      <c r="A14" s="9">
        <v>43485</v>
      </c>
      <c r="B14" s="63" t="s">
        <v>1224</v>
      </c>
      <c r="C14" s="7">
        <v>1482486.9681818199</v>
      </c>
      <c r="D14" s="7">
        <v>4603361.0318181803</v>
      </c>
      <c r="E14" s="7">
        <v>6085848</v>
      </c>
      <c r="F14" s="7">
        <v>-379740061.03181815</v>
      </c>
      <c r="G14" s="75"/>
      <c r="H14" s="10"/>
      <c r="I14" s="7">
        <f>IF(FINANCIACION[[#This Row],[$ CAPITAL]]&gt;0,FINANCIACION[[#This Row],[$ CAPITAL]])</f>
        <v>1482486.9681818199</v>
      </c>
      <c r="J14" s="41">
        <f>IF(FINANCIACION[[#This Row],[$ CAPITAL]]&gt;=0,FINANCIACION[[#This Row],[$ CAPITAL]]+FINANCIACION[[#This Row],[$ INTERESES]],0)</f>
        <v>6085848</v>
      </c>
    </row>
    <row r="15" spans="1:15" ht="24" hidden="1" customHeight="1" x14ac:dyDescent="0.3">
      <c r="A15" s="9">
        <v>43490</v>
      </c>
      <c r="B15" s="63" t="s">
        <v>195</v>
      </c>
      <c r="C15" s="7">
        <v>1250000</v>
      </c>
      <c r="D15" s="7">
        <v>522218</v>
      </c>
      <c r="E15" s="7">
        <v>1772218</v>
      </c>
      <c r="F15" s="7">
        <v>-41250000</v>
      </c>
      <c r="G15" s="66"/>
      <c r="H15" s="10"/>
      <c r="I15" s="7">
        <f>IF(FINANCIACION[[#This Row],[$ CAPITAL]]&gt;0,FINANCIACION[[#This Row],[$ CAPITAL]])</f>
        <v>1250000</v>
      </c>
      <c r="J15" s="41">
        <f>IF(FINANCIACION[[#This Row],[$ CAPITAL]]&gt;=0,FINANCIACION[[#This Row],[$ CAPITAL]]+FINANCIACION[[#This Row],[$ INTERESES]],0)</f>
        <v>1772218</v>
      </c>
    </row>
    <row r="16" spans="1:15" ht="24" hidden="1" customHeight="1" x14ac:dyDescent="0.3">
      <c r="A16" s="9">
        <v>43499</v>
      </c>
      <c r="B16" s="63" t="s">
        <v>196</v>
      </c>
      <c r="C16" s="7">
        <v>3472222</v>
      </c>
      <c r="D16" s="7">
        <v>1364677</v>
      </c>
      <c r="E16" s="7">
        <v>4836899</v>
      </c>
      <c r="F16" s="7">
        <v>-121527778</v>
      </c>
      <c r="G16" s="66"/>
      <c r="H16" s="10"/>
      <c r="I16" s="7">
        <f>IF(FINANCIACION[[#This Row],[$ CAPITAL]]&gt;0,FINANCIACION[[#This Row],[$ CAPITAL]])</f>
        <v>3472222</v>
      </c>
      <c r="J16" s="41">
        <f>IF(FINANCIACION[[#This Row],[$ CAPITAL]]&gt;=0,FINANCIACION[[#This Row],[$ CAPITAL]]+FINANCIACION[[#This Row],[$ INTERESES]],0)</f>
        <v>4836899</v>
      </c>
    </row>
    <row r="17" spans="1:10" ht="24" hidden="1" customHeight="1" x14ac:dyDescent="0.3">
      <c r="A17" s="9">
        <v>43499</v>
      </c>
      <c r="B17" s="63" t="s">
        <v>199</v>
      </c>
      <c r="C17" s="7">
        <v>6250000</v>
      </c>
      <c r="D17" s="7">
        <v>1157485.2</v>
      </c>
      <c r="E17" s="7">
        <v>7407485.2000000002</v>
      </c>
      <c r="F17" s="7">
        <v>-120000000</v>
      </c>
      <c r="G17" s="66"/>
      <c r="H17" s="10"/>
      <c r="I17" s="7">
        <f>IF(FINANCIACION[[#This Row],[$ CAPITAL]]&gt;0,FINANCIACION[[#This Row],[$ CAPITAL]])</f>
        <v>6250000</v>
      </c>
      <c r="J17" s="41">
        <f>IF(FINANCIACION[[#This Row],[$ CAPITAL]]&gt;=0,FINANCIACION[[#This Row],[$ CAPITAL]]+FINANCIACION[[#This Row],[$ INTERESES]],0)</f>
        <v>7407485.2000000002</v>
      </c>
    </row>
    <row r="18" spans="1:10" ht="24" hidden="1" customHeight="1" x14ac:dyDescent="0.3">
      <c r="A18" s="9">
        <v>43506</v>
      </c>
      <c r="B18" s="63" t="s">
        <v>1222</v>
      </c>
      <c r="C18" s="7"/>
      <c r="D18" s="7">
        <v>950000</v>
      </c>
      <c r="E18" s="7">
        <v>950000</v>
      </c>
      <c r="F18" s="7">
        <v>-94935167</v>
      </c>
      <c r="G18" s="66"/>
      <c r="H18" s="10"/>
      <c r="I18" s="7" t="b">
        <f>IF(FINANCIACION[[#This Row],[$ CAPITAL]]&gt;0,FINANCIACION[[#This Row],[$ CAPITAL]])</f>
        <v>0</v>
      </c>
      <c r="J18" s="41">
        <f>IF(FINANCIACION[[#This Row],[$ CAPITAL]]&gt;=0,FINANCIACION[[#This Row],[$ CAPITAL]]+FINANCIACION[[#This Row],[$ INTERESES]],0)</f>
        <v>950000</v>
      </c>
    </row>
    <row r="19" spans="1:10" ht="24" hidden="1" customHeight="1" x14ac:dyDescent="0.3">
      <c r="A19" s="9">
        <v>43514</v>
      </c>
      <c r="B19" s="63" t="s">
        <v>1224</v>
      </c>
      <c r="C19" s="7">
        <v>1286844</v>
      </c>
      <c r="D19" s="7">
        <v>4795368</v>
      </c>
      <c r="E19" s="7">
        <v>6082212</v>
      </c>
      <c r="F19" s="7">
        <v>-378453217.03181815</v>
      </c>
      <c r="G19" s="10"/>
      <c r="H19" s="10"/>
      <c r="I19" s="7">
        <f>IF(FINANCIACION[[#This Row],[$ CAPITAL]]&gt;0,FINANCIACION[[#This Row],[$ CAPITAL]])</f>
        <v>1286844</v>
      </c>
      <c r="J19" s="41">
        <f>IF(FINANCIACION[[#This Row],[$ CAPITAL]]&gt;=0,FINANCIACION[[#This Row],[$ CAPITAL]]+FINANCIACION[[#This Row],[$ INTERESES]],0)</f>
        <v>6082212</v>
      </c>
    </row>
    <row r="20" spans="1:10" ht="24" hidden="1" customHeight="1" x14ac:dyDescent="0.3">
      <c r="A20" s="9">
        <v>43516</v>
      </c>
      <c r="B20" s="63" t="s">
        <v>1223</v>
      </c>
      <c r="C20" s="7">
        <v>260000</v>
      </c>
      <c r="D20" s="7">
        <v>740000</v>
      </c>
      <c r="E20" s="7">
        <v>1000000</v>
      </c>
      <c r="F20" s="7">
        <v>-61109154</v>
      </c>
      <c r="G20" s="10"/>
      <c r="H20" s="10"/>
      <c r="I20" s="7">
        <f>IF(FINANCIACION[[#This Row],[$ CAPITAL]]&gt;0,FINANCIACION[[#This Row],[$ CAPITAL]])</f>
        <v>260000</v>
      </c>
      <c r="J20" s="41">
        <f>IF(FINANCIACION[[#This Row],[$ CAPITAL]]&gt;=0,FINANCIACION[[#This Row],[$ CAPITAL]]+FINANCIACION[[#This Row],[$ INTERESES]],0)</f>
        <v>1000000</v>
      </c>
    </row>
    <row r="21" spans="1:10" ht="24" hidden="1" customHeight="1" x14ac:dyDescent="0.3">
      <c r="A21" s="9">
        <v>43521</v>
      </c>
      <c r="B21" s="63" t="s">
        <v>195</v>
      </c>
      <c r="C21" s="7">
        <v>1250000</v>
      </c>
      <c r="D21" s="7">
        <v>508307</v>
      </c>
      <c r="E21" s="7">
        <v>1758307</v>
      </c>
      <c r="F21" s="7">
        <v>-40000000</v>
      </c>
      <c r="G21" s="10"/>
      <c r="H21" s="10"/>
      <c r="I21" s="7">
        <f>IF(FINANCIACION[[#This Row],[$ CAPITAL]]&gt;0,FINANCIACION[[#This Row],[$ CAPITAL]])</f>
        <v>1250000</v>
      </c>
      <c r="J21" s="41">
        <f>IF(FINANCIACION[[#This Row],[$ CAPITAL]]&gt;=0,FINANCIACION[[#This Row],[$ CAPITAL]]+FINANCIACION[[#This Row],[$ INTERESES]],0)</f>
        <v>1758307</v>
      </c>
    </row>
    <row r="22" spans="1:10" ht="24" hidden="1" customHeight="1" x14ac:dyDescent="0.3">
      <c r="A22" s="9">
        <v>43527</v>
      </c>
      <c r="B22" s="63" t="s">
        <v>196</v>
      </c>
      <c r="C22" s="7">
        <v>3472222</v>
      </c>
      <c r="D22" s="7">
        <v>1334182</v>
      </c>
      <c r="E22" s="7">
        <v>4806404</v>
      </c>
      <c r="F22" s="7">
        <v>-118055556</v>
      </c>
      <c r="G22" s="10"/>
      <c r="H22" s="10"/>
      <c r="I22" s="7">
        <f>IF(FINANCIACION[[#This Row],[$ CAPITAL]]&gt;0,FINANCIACION[[#This Row],[$ CAPITAL]])</f>
        <v>3472222</v>
      </c>
      <c r="J22" s="41">
        <f>IF(FINANCIACION[[#This Row],[$ CAPITAL]]&gt;=0,FINANCIACION[[#This Row],[$ CAPITAL]]+FINANCIACION[[#This Row],[$ INTERESES]],0)</f>
        <v>4806404</v>
      </c>
    </row>
    <row r="23" spans="1:10" ht="24" hidden="1" customHeight="1" x14ac:dyDescent="0.3">
      <c r="A23" s="9">
        <v>43527</v>
      </c>
      <c r="B23" s="63" t="s">
        <v>199</v>
      </c>
      <c r="C23" s="7">
        <v>6250000</v>
      </c>
      <c r="D23" s="7">
        <v>1106761.69</v>
      </c>
      <c r="E23" s="7">
        <v>7356761.6899999995</v>
      </c>
      <c r="F23" s="7">
        <v>-113750000</v>
      </c>
      <c r="G23" s="10"/>
      <c r="H23" s="10"/>
      <c r="I23" s="7">
        <f>IF(FINANCIACION[[#This Row],[$ CAPITAL]]&gt;0,FINANCIACION[[#This Row],[$ CAPITAL]])</f>
        <v>6250000</v>
      </c>
      <c r="J23" s="41">
        <f>IF(FINANCIACION[[#This Row],[$ CAPITAL]]&gt;=0,FINANCIACION[[#This Row],[$ CAPITAL]]+FINANCIACION[[#This Row],[$ INTERESES]],0)</f>
        <v>7356761.6899999995</v>
      </c>
    </row>
    <row r="24" spans="1:10" ht="24" hidden="1" customHeight="1" x14ac:dyDescent="0.3">
      <c r="A24" s="9">
        <v>43534</v>
      </c>
      <c r="B24" s="63" t="s">
        <v>1222</v>
      </c>
      <c r="C24" s="7"/>
      <c r="D24" s="7">
        <v>950000</v>
      </c>
      <c r="E24" s="7">
        <v>950000</v>
      </c>
      <c r="F24" s="7">
        <v>-94935167</v>
      </c>
      <c r="G24" s="10"/>
      <c r="H24" s="10"/>
      <c r="I24" s="7" t="b">
        <f>IF(FINANCIACION[[#This Row],[$ CAPITAL]]&gt;0,FINANCIACION[[#This Row],[$ CAPITAL]])</f>
        <v>0</v>
      </c>
      <c r="J24" s="41">
        <f>IF(FINANCIACION[[#This Row],[$ CAPITAL]]&gt;=0,FINANCIACION[[#This Row],[$ CAPITAL]]+FINANCIACION[[#This Row],[$ INTERESES]],0)</f>
        <v>950000</v>
      </c>
    </row>
    <row r="25" spans="1:10" ht="24" hidden="1" customHeight="1" x14ac:dyDescent="0.3">
      <c r="A25" s="9">
        <v>43542</v>
      </c>
      <c r="B25" s="63" t="s">
        <v>1224</v>
      </c>
      <c r="C25" s="7">
        <v>1302644</v>
      </c>
      <c r="D25" s="7">
        <v>4779568</v>
      </c>
      <c r="E25" s="7">
        <v>6082212</v>
      </c>
      <c r="F25" s="7">
        <v>-377150573.03181815</v>
      </c>
      <c r="G25" s="10"/>
      <c r="H25" s="10"/>
      <c r="I25" s="7">
        <f>IF(FINANCIACION[[#This Row],[$ CAPITAL]]&gt;0,FINANCIACION[[#This Row],[$ CAPITAL]])</f>
        <v>1302644</v>
      </c>
      <c r="J25" s="41">
        <f>IF(FINANCIACION[[#This Row],[$ CAPITAL]]&gt;=0,FINANCIACION[[#This Row],[$ CAPITAL]]+FINANCIACION[[#This Row],[$ INTERESES]],0)</f>
        <v>6082212</v>
      </c>
    </row>
    <row r="26" spans="1:10" ht="24" hidden="1" customHeight="1" x14ac:dyDescent="0.3">
      <c r="A26" s="9">
        <v>43544</v>
      </c>
      <c r="B26" s="63" t="s">
        <v>1223</v>
      </c>
      <c r="C26" s="7">
        <v>260000</v>
      </c>
      <c r="D26" s="7">
        <v>740000</v>
      </c>
      <c r="E26" s="7">
        <v>1000000</v>
      </c>
      <c r="F26" s="7">
        <v>-60849154</v>
      </c>
      <c r="G26" s="10"/>
      <c r="H26" s="10"/>
      <c r="I26" s="7">
        <f>IF(FINANCIACION[[#This Row],[$ CAPITAL]]&gt;0,FINANCIACION[[#This Row],[$ CAPITAL]])</f>
        <v>260000</v>
      </c>
      <c r="J26" s="41">
        <f>IF(FINANCIACION[[#This Row],[$ CAPITAL]]&gt;=0,FINANCIACION[[#This Row],[$ CAPITAL]]+FINANCIACION[[#This Row],[$ INTERESES]],0)</f>
        <v>1000000</v>
      </c>
    </row>
    <row r="27" spans="1:10" ht="24" hidden="1" customHeight="1" x14ac:dyDescent="0.3">
      <c r="A27" s="9">
        <v>43549</v>
      </c>
      <c r="B27" s="63" t="s">
        <v>195</v>
      </c>
      <c r="C27" s="7">
        <v>1250000</v>
      </c>
      <c r="D27" s="7">
        <v>493253</v>
      </c>
      <c r="E27" s="7">
        <v>1743253</v>
      </c>
      <c r="F27" s="7">
        <v>-38750000</v>
      </c>
      <c r="G27" s="10"/>
      <c r="H27" s="10"/>
      <c r="I27" s="7">
        <f>IF(FINANCIACION[[#This Row],[$ CAPITAL]]&gt;0,FINANCIACION[[#This Row],[$ CAPITAL]])</f>
        <v>1250000</v>
      </c>
      <c r="J27" s="41">
        <f>IF(FINANCIACION[[#This Row],[$ CAPITAL]]&gt;=0,FINANCIACION[[#This Row],[$ CAPITAL]]+FINANCIACION[[#This Row],[$ INTERESES]],0)</f>
        <v>1743253</v>
      </c>
    </row>
    <row r="28" spans="1:10" ht="24" hidden="1" customHeight="1" x14ac:dyDescent="0.3">
      <c r="A28" s="9">
        <v>43558</v>
      </c>
      <c r="B28" s="63" t="s">
        <v>199</v>
      </c>
      <c r="C28" s="7">
        <v>6250000</v>
      </c>
      <c r="D28" s="7">
        <v>1043853.64</v>
      </c>
      <c r="E28" s="7">
        <v>7293853.6399999997</v>
      </c>
      <c r="F28" s="7">
        <v>-107500000</v>
      </c>
      <c r="G28" s="10"/>
      <c r="H28" s="10"/>
      <c r="I28" s="7">
        <f>IF(FINANCIACION[[#This Row],[$ CAPITAL]]&gt;0,FINANCIACION[[#This Row],[$ CAPITAL]])</f>
        <v>6250000</v>
      </c>
      <c r="J28" s="41">
        <f>IF(FINANCIACION[[#This Row],[$ CAPITAL]]&gt;=0,FINANCIACION[[#This Row],[$ CAPITAL]]+FINANCIACION[[#This Row],[$ INTERESES]],0)</f>
        <v>7293853.6399999997</v>
      </c>
    </row>
    <row r="29" spans="1:10" ht="24" hidden="1" customHeight="1" x14ac:dyDescent="0.3">
      <c r="A29" s="9">
        <v>43563</v>
      </c>
      <c r="B29" s="63" t="s">
        <v>196</v>
      </c>
      <c r="C29" s="7">
        <v>3472222</v>
      </c>
      <c r="D29" s="7">
        <v>1290918</v>
      </c>
      <c r="E29" s="7">
        <v>4763140</v>
      </c>
      <c r="F29" s="7">
        <v>-114583334</v>
      </c>
      <c r="G29" s="10"/>
      <c r="H29" s="10"/>
      <c r="I29" s="7">
        <f>IF(FINANCIACION[[#This Row],[$ CAPITAL]]&gt;0,FINANCIACION[[#This Row],[$ CAPITAL]])</f>
        <v>3472222</v>
      </c>
      <c r="J29" s="41">
        <f>IF(FINANCIACION[[#This Row],[$ CAPITAL]]&gt;=0,FINANCIACION[[#This Row],[$ CAPITAL]]+FINANCIACION[[#This Row],[$ INTERESES]],0)</f>
        <v>4763140</v>
      </c>
    </row>
    <row r="30" spans="1:10" ht="24" hidden="1" customHeight="1" x14ac:dyDescent="0.3">
      <c r="A30" s="9">
        <v>43565</v>
      </c>
      <c r="B30" s="63" t="s">
        <v>1222</v>
      </c>
      <c r="C30" s="7"/>
      <c r="D30" s="7">
        <v>950000</v>
      </c>
      <c r="E30" s="7">
        <v>950000</v>
      </c>
      <c r="F30" s="7">
        <v>-94935167</v>
      </c>
      <c r="G30" s="10"/>
      <c r="H30" s="10"/>
      <c r="I30" s="7" t="b">
        <f>IF(FINANCIACION[[#This Row],[$ CAPITAL]]&gt;0,FINANCIACION[[#This Row],[$ CAPITAL]])</f>
        <v>0</v>
      </c>
      <c r="J30" s="41">
        <f>IF(FINANCIACION[[#This Row],[$ CAPITAL]]&gt;=0,FINANCIACION[[#This Row],[$ CAPITAL]]+FINANCIACION[[#This Row],[$ INTERESES]],0)</f>
        <v>950000</v>
      </c>
    </row>
    <row r="31" spans="1:10" ht="24" hidden="1" customHeight="1" x14ac:dyDescent="0.3">
      <c r="A31" s="9">
        <v>43575</v>
      </c>
      <c r="B31" s="63" t="s">
        <v>1223</v>
      </c>
      <c r="C31" s="7">
        <v>260000</v>
      </c>
      <c r="D31" s="7">
        <v>740000</v>
      </c>
      <c r="E31" s="7">
        <v>1000000</v>
      </c>
      <c r="F31" s="7">
        <v>-60589154</v>
      </c>
      <c r="G31" s="10"/>
      <c r="H31" s="10"/>
      <c r="I31" s="7">
        <f>IF(FINANCIACION[[#This Row],[$ CAPITAL]]&gt;0,FINANCIACION[[#This Row],[$ CAPITAL]])</f>
        <v>260000</v>
      </c>
      <c r="J31" s="41">
        <f>IF(FINANCIACION[[#This Row],[$ CAPITAL]]&gt;=0,FINANCIACION[[#This Row],[$ CAPITAL]]+FINANCIACION[[#This Row],[$ INTERESES]],0)</f>
        <v>1000000</v>
      </c>
    </row>
    <row r="32" spans="1:10" ht="24" hidden="1" customHeight="1" x14ac:dyDescent="0.3">
      <c r="A32" s="9">
        <v>43577</v>
      </c>
      <c r="B32" s="63" t="s">
        <v>1224</v>
      </c>
      <c r="C32" s="7">
        <v>1302644</v>
      </c>
      <c r="D32" s="7">
        <v>4779568</v>
      </c>
      <c r="E32" s="7">
        <v>6082212</v>
      </c>
      <c r="F32" s="7">
        <v>-375847929.03181815</v>
      </c>
      <c r="G32" s="10"/>
      <c r="H32" s="10"/>
      <c r="I32" s="7">
        <f>IF(FINANCIACION[[#This Row],[$ CAPITAL]]&gt;0,FINANCIACION[[#This Row],[$ CAPITAL]])</f>
        <v>1302644</v>
      </c>
      <c r="J32" s="41">
        <f>IF(FINANCIACION[[#This Row],[$ CAPITAL]]&gt;=0,FINANCIACION[[#This Row],[$ CAPITAL]]+FINANCIACION[[#This Row],[$ INTERESES]],0)</f>
        <v>6082212</v>
      </c>
    </row>
    <row r="33" spans="1:10" ht="24" hidden="1" customHeight="1" x14ac:dyDescent="0.3">
      <c r="A33" s="9">
        <v>43580</v>
      </c>
      <c r="B33" s="63" t="s">
        <v>195</v>
      </c>
      <c r="C33" s="7">
        <v>1250000</v>
      </c>
      <c r="D33" s="7">
        <v>476141</v>
      </c>
      <c r="E33" s="7">
        <v>1726141</v>
      </c>
      <c r="F33" s="7">
        <v>-37500000</v>
      </c>
      <c r="G33" s="10"/>
      <c r="H33" s="10"/>
      <c r="I33" s="7">
        <f>IF(FINANCIACION[[#This Row],[$ CAPITAL]]&gt;0,FINANCIACION[[#This Row],[$ CAPITAL]])</f>
        <v>1250000</v>
      </c>
      <c r="J33" s="41">
        <f>IF(FINANCIACION[[#This Row],[$ CAPITAL]]&gt;=0,FINANCIACION[[#This Row],[$ CAPITAL]]+FINANCIACION[[#This Row],[$ INTERESES]],0)</f>
        <v>1726141</v>
      </c>
    </row>
    <row r="34" spans="1:10" ht="24" hidden="1" customHeight="1" x14ac:dyDescent="0.3">
      <c r="A34" s="9">
        <v>43588</v>
      </c>
      <c r="B34" s="63" t="s">
        <v>199</v>
      </c>
      <c r="C34" s="7">
        <v>6250000</v>
      </c>
      <c r="D34" s="7">
        <v>987761.26</v>
      </c>
      <c r="E34" s="7">
        <v>7237761.2599999998</v>
      </c>
      <c r="F34" s="7">
        <v>-101250000</v>
      </c>
      <c r="G34" s="10"/>
      <c r="H34" s="10"/>
      <c r="I34" s="7">
        <f>IF(FINANCIACION[[#This Row],[$ CAPITAL]]&gt;0,FINANCIACION[[#This Row],[$ CAPITAL]])</f>
        <v>6250000</v>
      </c>
      <c r="J34" s="41">
        <f>IF(FINANCIACION[[#This Row],[$ CAPITAL]]&gt;=0,FINANCIACION[[#This Row],[$ CAPITAL]]+FINANCIACION[[#This Row],[$ INTERESES]],0)</f>
        <v>7237761.2599999998</v>
      </c>
    </row>
    <row r="35" spans="1:10" ht="24" hidden="1" customHeight="1" x14ac:dyDescent="0.3">
      <c r="A35" s="9">
        <v>43593</v>
      </c>
      <c r="B35" s="63" t="s">
        <v>195</v>
      </c>
      <c r="C35" s="7">
        <v>7500000</v>
      </c>
      <c r="D35" s="7"/>
      <c r="E35" s="7">
        <v>7500000</v>
      </c>
      <c r="F35" s="7">
        <v>-30000000</v>
      </c>
      <c r="G35" s="10"/>
      <c r="H35" s="10"/>
      <c r="I35" s="7">
        <f>IF(FINANCIACION[[#This Row],[$ CAPITAL]]&gt;0,FINANCIACION[[#This Row],[$ CAPITAL]])</f>
        <v>7500000</v>
      </c>
      <c r="J35" s="41">
        <f>IF(FINANCIACION[[#This Row],[$ CAPITAL]]&gt;=0,FINANCIACION[[#This Row],[$ CAPITAL]]+FINANCIACION[[#This Row],[$ INTERESES]],0)</f>
        <v>7500000</v>
      </c>
    </row>
    <row r="36" spans="1:10" ht="24" hidden="1" customHeight="1" x14ac:dyDescent="0.3">
      <c r="A36" s="9">
        <v>43593</v>
      </c>
      <c r="B36" s="63" t="s">
        <v>196</v>
      </c>
      <c r="C36" s="7">
        <v>3472222</v>
      </c>
      <c r="D36" s="7">
        <v>1254945</v>
      </c>
      <c r="E36" s="7">
        <v>4727167</v>
      </c>
      <c r="F36" s="7">
        <v>-111111112</v>
      </c>
      <c r="G36" s="10"/>
      <c r="H36" s="10"/>
      <c r="I36" s="7">
        <f>IF(FINANCIACION[[#This Row],[$ CAPITAL]]&gt;0,FINANCIACION[[#This Row],[$ CAPITAL]])</f>
        <v>3472222</v>
      </c>
      <c r="J36" s="41">
        <f>IF(FINANCIACION[[#This Row],[$ CAPITAL]]&gt;=0,FINANCIACION[[#This Row],[$ CAPITAL]]+FINANCIACION[[#This Row],[$ INTERESES]],0)</f>
        <v>4727167</v>
      </c>
    </row>
    <row r="37" spans="1:10" ht="24" hidden="1" customHeight="1" x14ac:dyDescent="0.3">
      <c r="A37" s="9">
        <v>43595</v>
      </c>
      <c r="B37" s="63" t="s">
        <v>1222</v>
      </c>
      <c r="C37" s="7"/>
      <c r="D37" s="7">
        <v>950000</v>
      </c>
      <c r="E37" s="7">
        <v>950000</v>
      </c>
      <c r="F37" s="7">
        <v>-94935167</v>
      </c>
      <c r="G37" s="10"/>
      <c r="H37" s="10"/>
      <c r="I37" s="7" t="b">
        <f>IF(FINANCIACION[[#This Row],[$ CAPITAL]]&gt;0,FINANCIACION[[#This Row],[$ CAPITAL]])</f>
        <v>0</v>
      </c>
      <c r="J37" s="41">
        <f>IF(FINANCIACION[[#This Row],[$ CAPITAL]]&gt;=0,FINANCIACION[[#This Row],[$ CAPITAL]]+FINANCIACION[[#This Row],[$ INTERESES]],0)</f>
        <v>950000</v>
      </c>
    </row>
    <row r="38" spans="1:10" ht="24" hidden="1" customHeight="1" x14ac:dyDescent="0.3">
      <c r="A38" s="9">
        <v>43605</v>
      </c>
      <c r="B38" s="63" t="s">
        <v>1223</v>
      </c>
      <c r="C38" s="7">
        <v>260000</v>
      </c>
      <c r="D38" s="7">
        <v>740000</v>
      </c>
      <c r="E38" s="7">
        <v>1000000</v>
      </c>
      <c r="F38" s="7">
        <v>-60329154</v>
      </c>
      <c r="G38" s="10"/>
      <c r="H38" s="10"/>
      <c r="I38" s="7">
        <f>IF(FINANCIACION[[#This Row],[$ CAPITAL]]&gt;0,FINANCIACION[[#This Row],[$ CAPITAL]])</f>
        <v>260000</v>
      </c>
      <c r="J38" s="41">
        <f>IF(FINANCIACION[[#This Row],[$ CAPITAL]]&gt;=0,FINANCIACION[[#This Row],[$ CAPITAL]]+FINANCIACION[[#This Row],[$ INTERESES]],0)</f>
        <v>1000000</v>
      </c>
    </row>
    <row r="39" spans="1:10" ht="24" hidden="1" customHeight="1" x14ac:dyDescent="0.3">
      <c r="A39" s="9">
        <v>43605</v>
      </c>
      <c r="B39" s="63" t="s">
        <v>1224</v>
      </c>
      <c r="C39" s="7">
        <v>1334827</v>
      </c>
      <c r="D39" s="7">
        <v>4747385</v>
      </c>
      <c r="E39" s="7">
        <v>6082212</v>
      </c>
      <c r="F39" s="7">
        <v>-374513102.03181815</v>
      </c>
      <c r="G39" s="10"/>
      <c r="H39" s="10"/>
      <c r="I39" s="7">
        <f>IF(FINANCIACION[[#This Row],[$ CAPITAL]]&gt;0,FINANCIACION[[#This Row],[$ CAPITAL]])</f>
        <v>1334827</v>
      </c>
      <c r="J39" s="41">
        <f>IF(FINANCIACION[[#This Row],[$ CAPITAL]]&gt;=0,FINANCIACION[[#This Row],[$ CAPITAL]]+FINANCIACION[[#This Row],[$ INTERESES]],0)</f>
        <v>6082212</v>
      </c>
    </row>
    <row r="40" spans="1:10" ht="24" hidden="1" customHeight="1" x14ac:dyDescent="0.3">
      <c r="A40" s="9">
        <v>43612</v>
      </c>
      <c r="B40" s="63" t="s">
        <v>195</v>
      </c>
      <c r="C40" s="7">
        <v>1250000</v>
      </c>
      <c r="D40" s="7">
        <v>461769</v>
      </c>
      <c r="E40" s="7">
        <v>1711769</v>
      </c>
      <c r="F40" s="7">
        <v>-28750000</v>
      </c>
      <c r="G40" s="10"/>
      <c r="H40" s="10"/>
      <c r="I40" s="7">
        <f>IF(FINANCIACION[[#This Row],[$ CAPITAL]]&gt;0,FINANCIACION[[#This Row],[$ CAPITAL]])</f>
        <v>1250000</v>
      </c>
      <c r="J40" s="41">
        <f>IF(FINANCIACION[[#This Row],[$ CAPITAL]]&gt;=0,FINANCIACION[[#This Row],[$ CAPITAL]]+FINANCIACION[[#This Row],[$ INTERESES]],0)</f>
        <v>1711769</v>
      </c>
    </row>
    <row r="41" spans="1:10" ht="24" hidden="1" customHeight="1" x14ac:dyDescent="0.3">
      <c r="A41" s="9">
        <v>43619</v>
      </c>
      <c r="B41" s="63" t="s">
        <v>196</v>
      </c>
      <c r="C41" s="7">
        <v>3472222</v>
      </c>
      <c r="D41" s="7">
        <v>1213047</v>
      </c>
      <c r="E41" s="7">
        <v>4685269</v>
      </c>
      <c r="F41" s="7">
        <v>-107638890</v>
      </c>
      <c r="G41" s="10"/>
      <c r="H41" s="66"/>
      <c r="I41" s="7">
        <f>IF(FINANCIACION[[#This Row],[$ CAPITAL]]&gt;0,FINANCIACION[[#This Row],[$ CAPITAL]])</f>
        <v>3472222</v>
      </c>
      <c r="J41" s="11">
        <f>IF(FINANCIACION[[#This Row],[$ CAPITAL]]&gt;=0,FINANCIACION[[#This Row],[$ CAPITAL]]+FINANCIACION[[#This Row],[$ INTERESES]],0)</f>
        <v>4685269</v>
      </c>
    </row>
    <row r="42" spans="1:10" ht="24" hidden="1" customHeight="1" x14ac:dyDescent="0.3">
      <c r="A42" s="9">
        <v>43619</v>
      </c>
      <c r="B42" s="63" t="s">
        <v>199</v>
      </c>
      <c r="C42" s="7">
        <v>6250000</v>
      </c>
      <c r="D42" s="7">
        <v>925893.52</v>
      </c>
      <c r="E42" s="7">
        <v>7175893.5199999996</v>
      </c>
      <c r="F42" s="7">
        <v>-95000000</v>
      </c>
      <c r="G42" s="10"/>
      <c r="H42" s="66"/>
      <c r="I42" s="7">
        <f>IF(FINANCIACION[[#This Row],[$ CAPITAL]]&gt;0,FINANCIACION[[#This Row],[$ CAPITAL]])</f>
        <v>6250000</v>
      </c>
      <c r="J42" s="11">
        <f>IF(FINANCIACION[[#This Row],[$ CAPITAL]]&gt;=0,FINANCIACION[[#This Row],[$ CAPITAL]]+FINANCIACION[[#This Row],[$ INTERESES]],0)</f>
        <v>7175893.5199999996</v>
      </c>
    </row>
    <row r="43" spans="1:10" ht="24" hidden="1" customHeight="1" x14ac:dyDescent="0.3">
      <c r="A43" s="9">
        <v>43620</v>
      </c>
      <c r="B43" s="63" t="s">
        <v>1225</v>
      </c>
      <c r="C43" s="7">
        <v>-2426470</v>
      </c>
      <c r="D43" s="7"/>
      <c r="E43" s="7" t="s">
        <v>146</v>
      </c>
      <c r="F43" s="7">
        <v>-2426470</v>
      </c>
      <c r="G43" s="66"/>
      <c r="H43" s="10"/>
      <c r="I43" s="7" t="b">
        <f>IF(FINANCIACION[[#This Row],[$ CAPITAL]]&gt;0,FINANCIACION[[#This Row],[$ CAPITAL]])</f>
        <v>0</v>
      </c>
      <c r="J43" s="41">
        <f>IF(FINANCIACION[[#This Row],[$ CAPITAL]]&gt;=0,FINANCIACION[[#This Row],[$ CAPITAL]]+FINANCIACION[[#This Row],[$ INTERESES]],0)</f>
        <v>0</v>
      </c>
    </row>
    <row r="44" spans="1:10" ht="24" hidden="1" customHeight="1" x14ac:dyDescent="0.3">
      <c r="A44" s="9">
        <v>43626</v>
      </c>
      <c r="B44" s="63" t="s">
        <v>1222</v>
      </c>
      <c r="C44" s="7"/>
      <c r="D44" s="7">
        <v>950000</v>
      </c>
      <c r="E44" s="7">
        <v>950000</v>
      </c>
      <c r="F44" s="7">
        <v>-94935167</v>
      </c>
      <c r="G44" s="66"/>
      <c r="H44" s="10"/>
      <c r="I44" s="7" t="b">
        <f>IF(FINANCIACION[[#This Row],[$ CAPITAL]]&gt;0,FINANCIACION[[#This Row],[$ CAPITAL]])</f>
        <v>0</v>
      </c>
      <c r="J44" s="41">
        <f>IF(FINANCIACION[[#This Row],[$ CAPITAL]]&gt;=0,FINANCIACION[[#This Row],[$ CAPITAL]]+FINANCIACION[[#This Row],[$ INTERESES]],0)</f>
        <v>950000</v>
      </c>
    </row>
    <row r="45" spans="1:10" ht="24" hidden="1" customHeight="1" x14ac:dyDescent="0.3">
      <c r="A45" s="9">
        <v>43634</v>
      </c>
      <c r="B45" s="63" t="s">
        <v>199</v>
      </c>
      <c r="C45" s="7">
        <v>-55000000</v>
      </c>
      <c r="D45" s="7"/>
      <c r="E45" s="7" t="s">
        <v>146</v>
      </c>
      <c r="F45" s="7">
        <v>-150000000</v>
      </c>
      <c r="G45" s="66"/>
      <c r="H45" s="10"/>
      <c r="I45" s="7" t="b">
        <f>IF(FINANCIACION[[#This Row],[$ CAPITAL]]&gt;0,FINANCIACION[[#This Row],[$ CAPITAL]])</f>
        <v>0</v>
      </c>
      <c r="J45" s="41">
        <f>IF(FINANCIACION[[#This Row],[$ CAPITAL]]&gt;=0,FINANCIACION[[#This Row],[$ CAPITAL]]+FINANCIACION[[#This Row],[$ INTERESES]],0)</f>
        <v>0</v>
      </c>
    </row>
    <row r="46" spans="1:10" ht="24" hidden="1" customHeight="1" x14ac:dyDescent="0.3">
      <c r="A46" s="9">
        <v>43634</v>
      </c>
      <c r="B46" s="63" t="s">
        <v>1224</v>
      </c>
      <c r="C46" s="7">
        <v>1351215</v>
      </c>
      <c r="D46" s="7">
        <v>4730997</v>
      </c>
      <c r="E46" s="7">
        <v>6082212</v>
      </c>
      <c r="F46" s="7">
        <v>-373161887.03181815</v>
      </c>
      <c r="G46" s="66"/>
      <c r="H46" s="10"/>
      <c r="I46" s="7">
        <f>IF(FINANCIACION[[#This Row],[$ CAPITAL]]&gt;0,FINANCIACION[[#This Row],[$ CAPITAL]])</f>
        <v>1351215</v>
      </c>
      <c r="J46" s="41">
        <f>IF(FINANCIACION[[#This Row],[$ CAPITAL]]&gt;=0,FINANCIACION[[#This Row],[$ CAPITAL]]+FINANCIACION[[#This Row],[$ INTERESES]],0)</f>
        <v>6082212</v>
      </c>
    </row>
    <row r="47" spans="1:10" ht="24" hidden="1" customHeight="1" x14ac:dyDescent="0.3">
      <c r="A47" s="9">
        <v>43636</v>
      </c>
      <c r="B47" s="63" t="s">
        <v>1223</v>
      </c>
      <c r="C47" s="7">
        <v>260000</v>
      </c>
      <c r="D47" s="7">
        <v>740000</v>
      </c>
      <c r="E47" s="7">
        <v>1000000</v>
      </c>
      <c r="F47" s="7">
        <v>-60069154</v>
      </c>
      <c r="G47" s="66"/>
      <c r="H47" s="10"/>
      <c r="I47" s="7">
        <f>IF(FINANCIACION[[#This Row],[$ CAPITAL]]&gt;0,FINANCIACION[[#This Row],[$ CAPITAL]])</f>
        <v>260000</v>
      </c>
      <c r="J47" s="41">
        <f>IF(FINANCIACION[[#This Row],[$ CAPITAL]]&gt;=0,FINANCIACION[[#This Row],[$ CAPITAL]]+FINANCIACION[[#This Row],[$ INTERESES]],0)</f>
        <v>1000000</v>
      </c>
    </row>
    <row r="48" spans="1:10" ht="24" hidden="1" customHeight="1" x14ac:dyDescent="0.3">
      <c r="A48" s="9">
        <v>43640</v>
      </c>
      <c r="B48" s="63" t="s">
        <v>1225</v>
      </c>
      <c r="C48" s="7">
        <v>-1017880</v>
      </c>
      <c r="D48" s="7"/>
      <c r="E48" s="7" t="s">
        <v>146</v>
      </c>
      <c r="F48" s="7">
        <v>-3444350</v>
      </c>
      <c r="G48" s="66"/>
      <c r="H48" s="10"/>
      <c r="I48" s="7" t="b">
        <f>IF(FINANCIACION[[#This Row],[$ CAPITAL]]&gt;0,FINANCIACION[[#This Row],[$ CAPITAL]])</f>
        <v>0</v>
      </c>
      <c r="J48" s="41">
        <f>IF(FINANCIACION[[#This Row],[$ CAPITAL]]&gt;=0,FINANCIACION[[#This Row],[$ CAPITAL]]+FINANCIACION[[#This Row],[$ INTERESES]],0)</f>
        <v>0</v>
      </c>
    </row>
    <row r="49" spans="1:10" ht="24" hidden="1" customHeight="1" x14ac:dyDescent="0.3">
      <c r="A49" s="9">
        <v>43641</v>
      </c>
      <c r="B49" s="63" t="s">
        <v>195</v>
      </c>
      <c r="C49" s="7">
        <v>1250000</v>
      </c>
      <c r="D49" s="7">
        <v>353517</v>
      </c>
      <c r="E49" s="7">
        <v>1603517</v>
      </c>
      <c r="F49" s="7">
        <v>-27500000</v>
      </c>
      <c r="G49" s="66"/>
      <c r="H49" s="10"/>
      <c r="I49" s="7">
        <f>IF(FINANCIACION[[#This Row],[$ CAPITAL]]&gt;0,FINANCIACION[[#This Row],[$ CAPITAL]])</f>
        <v>1250000</v>
      </c>
      <c r="J49" s="41">
        <f>IF(FINANCIACION[[#This Row],[$ CAPITAL]]&gt;=0,FINANCIACION[[#This Row],[$ CAPITAL]]+FINANCIACION[[#This Row],[$ INTERESES]],0)</f>
        <v>1603517</v>
      </c>
    </row>
    <row r="50" spans="1:10" ht="24" hidden="1" customHeight="1" x14ac:dyDescent="0.3">
      <c r="A50" s="9">
        <v>43642</v>
      </c>
      <c r="B50" s="63" t="s">
        <v>1226</v>
      </c>
      <c r="C50" s="7">
        <v>-28000000</v>
      </c>
      <c r="D50" s="7"/>
      <c r="E50" s="7" t="s">
        <v>146</v>
      </c>
      <c r="F50" s="7">
        <v>-28000000</v>
      </c>
      <c r="G50" s="66"/>
      <c r="H50" s="10"/>
      <c r="I50" s="7" t="b">
        <f>IF(FINANCIACION[[#This Row],[$ CAPITAL]]&gt;0,FINANCIACION[[#This Row],[$ CAPITAL]])</f>
        <v>0</v>
      </c>
      <c r="J50" s="41">
        <f>IF(FINANCIACION[[#This Row],[$ CAPITAL]]&gt;=0,FINANCIACION[[#This Row],[$ CAPITAL]]+FINANCIACION[[#This Row],[$ INTERESES]],0)</f>
        <v>0</v>
      </c>
    </row>
    <row r="51" spans="1:10" ht="24" hidden="1" customHeight="1" x14ac:dyDescent="0.3">
      <c r="A51" s="9">
        <v>43643</v>
      </c>
      <c r="B51" s="63" t="s">
        <v>1226</v>
      </c>
      <c r="C51" s="7">
        <v>-10000000</v>
      </c>
      <c r="D51" s="7"/>
      <c r="E51" s="7" t="s">
        <v>146</v>
      </c>
      <c r="F51" s="7">
        <v>-48000000</v>
      </c>
      <c r="G51" s="66"/>
      <c r="H51" s="10"/>
      <c r="I51" s="7" t="b">
        <f>IF(FINANCIACION[[#This Row],[$ CAPITAL]]&gt;0,FINANCIACION[[#This Row],[$ CAPITAL]])</f>
        <v>0</v>
      </c>
      <c r="J51" s="41">
        <f>IF(FINANCIACION[[#This Row],[$ CAPITAL]]&gt;=0,FINANCIACION[[#This Row],[$ CAPITAL]]+FINANCIACION[[#This Row],[$ INTERESES]],0)</f>
        <v>0</v>
      </c>
    </row>
    <row r="52" spans="1:10" ht="24" hidden="1" customHeight="1" x14ac:dyDescent="0.3">
      <c r="A52" s="9">
        <v>43643</v>
      </c>
      <c r="B52" s="63" t="s">
        <v>1226</v>
      </c>
      <c r="C52" s="7">
        <v>-5000000</v>
      </c>
      <c r="D52" s="7"/>
      <c r="E52" s="7" t="s">
        <v>146</v>
      </c>
      <c r="F52" s="7">
        <v>-48000000</v>
      </c>
      <c r="G52" s="66"/>
      <c r="H52" s="10"/>
      <c r="I52" s="7" t="b">
        <f>IF(FINANCIACION[[#This Row],[$ CAPITAL]]&gt;0,FINANCIACION[[#This Row],[$ CAPITAL]])</f>
        <v>0</v>
      </c>
      <c r="J52" s="41">
        <f>IF(FINANCIACION[[#This Row],[$ CAPITAL]]&gt;=0,FINANCIACION[[#This Row],[$ CAPITAL]]+FINANCIACION[[#This Row],[$ INTERESES]],0)</f>
        <v>0</v>
      </c>
    </row>
    <row r="53" spans="1:10" ht="24" hidden="1" customHeight="1" x14ac:dyDescent="0.3">
      <c r="A53" s="9">
        <v>43643</v>
      </c>
      <c r="B53" s="63" t="s">
        <v>1226</v>
      </c>
      <c r="C53" s="7">
        <v>-5000000</v>
      </c>
      <c r="D53" s="7"/>
      <c r="E53" s="7" t="s">
        <v>146</v>
      </c>
      <c r="F53" s="7">
        <v>-48000000</v>
      </c>
      <c r="G53" s="10"/>
      <c r="H53" s="10"/>
      <c r="I53" s="7" t="b">
        <f>IF(FINANCIACION[[#This Row],[$ CAPITAL]]&gt;0,FINANCIACION[[#This Row],[$ CAPITAL]])</f>
        <v>0</v>
      </c>
      <c r="J53" s="41">
        <f>IF(FINANCIACION[[#This Row],[$ CAPITAL]]&gt;=0,FINANCIACION[[#This Row],[$ CAPITAL]]+FINANCIACION[[#This Row],[$ INTERESES]],0)</f>
        <v>0</v>
      </c>
    </row>
    <row r="54" spans="1:10" ht="24" hidden="1" customHeight="1" x14ac:dyDescent="0.3">
      <c r="A54" s="9">
        <v>43649</v>
      </c>
      <c r="B54" s="63" t="s">
        <v>196</v>
      </c>
      <c r="C54" s="7">
        <v>3472222</v>
      </c>
      <c r="D54" s="7">
        <v>1171398</v>
      </c>
      <c r="E54" s="7">
        <v>4643620</v>
      </c>
      <c r="F54" s="7">
        <v>-104166668</v>
      </c>
      <c r="G54" s="10"/>
      <c r="H54" s="10"/>
      <c r="I54" s="7">
        <f>IF(FINANCIACION[[#This Row],[$ CAPITAL]]&gt;0,FINANCIACION[[#This Row],[$ CAPITAL]])</f>
        <v>3472222</v>
      </c>
      <c r="J54" s="41">
        <f>IF(FINANCIACION[[#This Row],[$ CAPITAL]]&gt;=0,FINANCIACION[[#This Row],[$ CAPITAL]]+FINANCIACION[[#This Row],[$ INTERESES]],0)</f>
        <v>4643620</v>
      </c>
    </row>
    <row r="55" spans="1:10" ht="24" hidden="1" customHeight="1" x14ac:dyDescent="0.3">
      <c r="A55" s="9">
        <v>43650</v>
      </c>
      <c r="B55" s="63" t="s">
        <v>1226</v>
      </c>
      <c r="C55" s="7">
        <v>-3000000</v>
      </c>
      <c r="D55" s="7"/>
      <c r="E55" s="7" t="s">
        <v>146</v>
      </c>
      <c r="F55" s="7">
        <v>-51000000</v>
      </c>
      <c r="G55" s="10"/>
      <c r="H55" s="10"/>
      <c r="I55" s="7" t="b">
        <f>IF(FINANCIACION[[#This Row],[$ CAPITAL]]&gt;0,FINANCIACION[[#This Row],[$ CAPITAL]])</f>
        <v>0</v>
      </c>
      <c r="J55" s="41">
        <f>IF(FINANCIACION[[#This Row],[$ CAPITAL]]&gt;=0,FINANCIACION[[#This Row],[$ CAPITAL]]+FINANCIACION[[#This Row],[$ INTERESES]],0)</f>
        <v>0</v>
      </c>
    </row>
    <row r="56" spans="1:10" ht="24" hidden="1" customHeight="1" x14ac:dyDescent="0.3">
      <c r="A56" s="9">
        <v>43651</v>
      </c>
      <c r="B56" s="63" t="s">
        <v>1226</v>
      </c>
      <c r="C56" s="7">
        <v>-5000000</v>
      </c>
      <c r="D56" s="7"/>
      <c r="E56" s="7" t="s">
        <v>146</v>
      </c>
      <c r="F56" s="7">
        <v>-61000000</v>
      </c>
      <c r="G56" s="10"/>
      <c r="H56" s="10"/>
      <c r="I56" s="7" t="b">
        <f>IF(FINANCIACION[[#This Row],[$ CAPITAL]]&gt;0,FINANCIACION[[#This Row],[$ CAPITAL]])</f>
        <v>0</v>
      </c>
      <c r="J56" s="41">
        <f>IF(FINANCIACION[[#This Row],[$ CAPITAL]]&gt;=0,FINANCIACION[[#This Row],[$ CAPITAL]]+FINANCIACION[[#This Row],[$ INTERESES]],0)</f>
        <v>0</v>
      </c>
    </row>
    <row r="57" spans="1:10" ht="24" hidden="1" customHeight="1" x14ac:dyDescent="0.3">
      <c r="A57" s="9">
        <v>43651</v>
      </c>
      <c r="B57" s="63" t="s">
        <v>1226</v>
      </c>
      <c r="C57" s="7">
        <v>-5000000</v>
      </c>
      <c r="D57" s="7"/>
      <c r="E57" s="7" t="s">
        <v>146</v>
      </c>
      <c r="F57" s="7">
        <v>-61000000</v>
      </c>
      <c r="G57" s="10"/>
      <c r="H57" s="10"/>
      <c r="I57" s="7" t="b">
        <f>IF(FINANCIACION[[#This Row],[$ CAPITAL]]&gt;0,FINANCIACION[[#This Row],[$ CAPITAL]])</f>
        <v>0</v>
      </c>
      <c r="J57" s="41">
        <f>IF(FINANCIACION[[#This Row],[$ CAPITAL]]&gt;=0,FINANCIACION[[#This Row],[$ CAPITAL]]+FINANCIACION[[#This Row],[$ INTERESES]],0)</f>
        <v>0</v>
      </c>
    </row>
    <row r="58" spans="1:10" ht="24" hidden="1" customHeight="1" x14ac:dyDescent="0.3">
      <c r="A58" s="9">
        <v>43654</v>
      </c>
      <c r="B58" s="63" t="s">
        <v>1226</v>
      </c>
      <c r="C58" s="7">
        <v>-5000000</v>
      </c>
      <c r="D58" s="7"/>
      <c r="E58" s="7" t="s">
        <v>146</v>
      </c>
      <c r="F58" s="7">
        <v>-66000000</v>
      </c>
      <c r="G58" s="10"/>
      <c r="H58" s="10"/>
      <c r="I58" s="7" t="b">
        <f>IF(FINANCIACION[[#This Row],[$ CAPITAL]]&gt;0,FINANCIACION[[#This Row],[$ CAPITAL]])</f>
        <v>0</v>
      </c>
      <c r="J58" s="41">
        <f>IF(FINANCIACION[[#This Row],[$ CAPITAL]]&gt;=0,FINANCIACION[[#This Row],[$ CAPITAL]]+FINANCIACION[[#This Row],[$ INTERESES]],0)</f>
        <v>0</v>
      </c>
    </row>
    <row r="59" spans="1:10" ht="24" hidden="1" customHeight="1" x14ac:dyDescent="0.3">
      <c r="A59" s="9">
        <v>43656</v>
      </c>
      <c r="B59" s="63" t="s">
        <v>1222</v>
      </c>
      <c r="C59" s="7"/>
      <c r="D59" s="7">
        <v>950000</v>
      </c>
      <c r="E59" s="7">
        <v>950000</v>
      </c>
      <c r="F59" s="7">
        <v>-94935167</v>
      </c>
      <c r="G59" s="10"/>
      <c r="H59" s="10"/>
      <c r="I59" s="7" t="b">
        <f>IF(FINANCIACION[[#This Row],[$ CAPITAL]]&gt;0,FINANCIACION[[#This Row],[$ CAPITAL]])</f>
        <v>0</v>
      </c>
      <c r="J59" s="41">
        <f>IF(FINANCIACION[[#This Row],[$ CAPITAL]]&gt;=0,FINANCIACION[[#This Row],[$ CAPITAL]]+FINANCIACION[[#This Row],[$ INTERESES]],0)</f>
        <v>950000</v>
      </c>
    </row>
    <row r="60" spans="1:10" ht="24" hidden="1" customHeight="1" x14ac:dyDescent="0.3">
      <c r="A60" s="9">
        <v>43664</v>
      </c>
      <c r="B60" s="63" t="s">
        <v>199</v>
      </c>
      <c r="C60" s="7">
        <v>6250000</v>
      </c>
      <c r="D60" s="7">
        <v>1351023.03</v>
      </c>
      <c r="E60" s="7">
        <v>7601023.0300000003</v>
      </c>
      <c r="F60" s="7">
        <v>-143750000</v>
      </c>
      <c r="G60" s="10"/>
      <c r="H60" s="10"/>
      <c r="I60" s="7">
        <f>IF(FINANCIACION[[#This Row],[$ CAPITAL]]&gt;0,FINANCIACION[[#This Row],[$ CAPITAL]])</f>
        <v>6250000</v>
      </c>
      <c r="J60" s="41">
        <f>IF(FINANCIACION[[#This Row],[$ CAPITAL]]&gt;=0,FINANCIACION[[#This Row],[$ CAPITAL]]+FINANCIACION[[#This Row],[$ INTERESES]],0)</f>
        <v>7601023.0300000003</v>
      </c>
    </row>
    <row r="61" spans="1:10" ht="24" hidden="1" customHeight="1" x14ac:dyDescent="0.3">
      <c r="A61" s="9">
        <v>43664</v>
      </c>
      <c r="B61" s="63" t="s">
        <v>1224</v>
      </c>
      <c r="C61" s="7">
        <v>1367805</v>
      </c>
      <c r="D61" s="7">
        <v>4714407</v>
      </c>
      <c r="E61" s="7">
        <v>6082212</v>
      </c>
      <c r="F61" s="7">
        <v>-371794082.03181815</v>
      </c>
      <c r="G61" s="10"/>
      <c r="H61" s="10"/>
      <c r="I61" s="7">
        <f>IF(FINANCIACION[[#This Row],[$ CAPITAL]]&gt;0,FINANCIACION[[#This Row],[$ CAPITAL]])</f>
        <v>1367805</v>
      </c>
      <c r="J61" s="41">
        <f>IF(FINANCIACION[[#This Row],[$ CAPITAL]]&gt;=0,FINANCIACION[[#This Row],[$ CAPITAL]]+FINANCIACION[[#This Row],[$ INTERESES]],0)</f>
        <v>6082212</v>
      </c>
    </row>
    <row r="62" spans="1:10" ht="24" hidden="1" customHeight="1" x14ac:dyDescent="0.3">
      <c r="A62" s="9">
        <v>43666</v>
      </c>
      <c r="B62" s="63" t="s">
        <v>1223</v>
      </c>
      <c r="C62" s="7">
        <v>260000</v>
      </c>
      <c r="D62" s="7">
        <v>740000</v>
      </c>
      <c r="E62" s="7">
        <v>1000000</v>
      </c>
      <c r="F62" s="7">
        <v>-59809154</v>
      </c>
      <c r="G62" s="10"/>
      <c r="H62" s="10"/>
      <c r="I62" s="7">
        <f>IF(FINANCIACION[[#This Row],[$ CAPITAL]]&gt;0,FINANCIACION[[#This Row],[$ CAPITAL]])</f>
        <v>260000</v>
      </c>
      <c r="J62" s="41">
        <f>IF(FINANCIACION[[#This Row],[$ CAPITAL]]&gt;=0,FINANCIACION[[#This Row],[$ CAPITAL]]+FINANCIACION[[#This Row],[$ INTERESES]],0)</f>
        <v>1000000</v>
      </c>
    </row>
    <row r="63" spans="1:10" ht="24" hidden="1" customHeight="1" x14ac:dyDescent="0.3">
      <c r="A63" s="9">
        <v>43671</v>
      </c>
      <c r="B63" s="63" t="s">
        <v>195</v>
      </c>
      <c r="C63" s="7">
        <v>1250000</v>
      </c>
      <c r="D63" s="7">
        <v>335262</v>
      </c>
      <c r="E63" s="7">
        <v>1585262</v>
      </c>
      <c r="F63" s="7">
        <v>-26250000</v>
      </c>
      <c r="G63" s="10"/>
      <c r="H63" s="10"/>
      <c r="I63" s="7">
        <f>IF(FINANCIACION[[#This Row],[$ CAPITAL]]&gt;0,FINANCIACION[[#This Row],[$ CAPITAL]])</f>
        <v>1250000</v>
      </c>
      <c r="J63" s="41">
        <f>IF(FINANCIACION[[#This Row],[$ CAPITAL]]&gt;=0,FINANCIACION[[#This Row],[$ CAPITAL]]+FINANCIACION[[#This Row],[$ INTERESES]],0)</f>
        <v>1585262</v>
      </c>
    </row>
    <row r="64" spans="1:10" ht="24" hidden="1" customHeight="1" x14ac:dyDescent="0.3">
      <c r="A64" s="9">
        <v>43672</v>
      </c>
      <c r="B64" s="63" t="s">
        <v>1225</v>
      </c>
      <c r="C64" s="7">
        <v>-1150527.75</v>
      </c>
      <c r="D64" s="7"/>
      <c r="E64" s="7" t="s">
        <v>146</v>
      </c>
      <c r="F64" s="7">
        <v>-4594877.75</v>
      </c>
      <c r="G64" s="10"/>
      <c r="H64" s="10"/>
      <c r="I64" s="7" t="b">
        <f>IF(FINANCIACION[[#This Row],[$ CAPITAL]]&gt;0,FINANCIACION[[#This Row],[$ CAPITAL]])</f>
        <v>0</v>
      </c>
      <c r="J64" s="41">
        <f>IF(FINANCIACION[[#This Row],[$ CAPITAL]]&gt;=0,FINANCIACION[[#This Row],[$ CAPITAL]]+FINANCIACION[[#This Row],[$ INTERESES]],0)</f>
        <v>0</v>
      </c>
    </row>
    <row r="65" spans="1:10" ht="24" hidden="1" customHeight="1" x14ac:dyDescent="0.3">
      <c r="A65" s="9">
        <v>43677</v>
      </c>
      <c r="B65" s="63" t="s">
        <v>1226</v>
      </c>
      <c r="C65" s="7">
        <v>-8000000</v>
      </c>
      <c r="D65" s="7"/>
      <c r="E65" s="7" t="s">
        <v>146</v>
      </c>
      <c r="F65" s="7">
        <v>-74000000</v>
      </c>
      <c r="G65" s="10"/>
      <c r="H65" s="10"/>
      <c r="I65" s="7" t="b">
        <f>IF(FINANCIACION[[#This Row],[$ CAPITAL]]&gt;0,FINANCIACION[[#This Row],[$ CAPITAL]])</f>
        <v>0</v>
      </c>
      <c r="J65" s="41">
        <f>IF(FINANCIACION[[#This Row],[$ CAPITAL]]&gt;=0,FINANCIACION[[#This Row],[$ CAPITAL]]+FINANCIACION[[#This Row],[$ INTERESES]],0)</f>
        <v>0</v>
      </c>
    </row>
    <row r="66" spans="1:10" ht="24" hidden="1" customHeight="1" x14ac:dyDescent="0.3">
      <c r="A66" s="9">
        <v>43680</v>
      </c>
      <c r="B66" s="63" t="s">
        <v>196</v>
      </c>
      <c r="C66" s="7">
        <v>3472222</v>
      </c>
      <c r="D66" s="7">
        <v>1136328</v>
      </c>
      <c r="E66" s="7">
        <v>4608550</v>
      </c>
      <c r="F66" s="7">
        <v>-100694446</v>
      </c>
      <c r="G66" s="10"/>
      <c r="H66" s="10"/>
      <c r="I66" s="7">
        <f>IF(FINANCIACION[[#This Row],[$ CAPITAL]]&gt;0,FINANCIACION[[#This Row],[$ CAPITAL]])</f>
        <v>3472222</v>
      </c>
      <c r="J66" s="41">
        <f>IF(FINANCIACION[[#This Row],[$ CAPITAL]]&gt;=0,FINANCIACION[[#This Row],[$ CAPITAL]]+FINANCIACION[[#This Row],[$ INTERESES]],0)</f>
        <v>4608550</v>
      </c>
    </row>
    <row r="67" spans="1:10" ht="24" hidden="1" customHeight="1" x14ac:dyDescent="0.3">
      <c r="A67" s="9">
        <v>43682</v>
      </c>
      <c r="B67" s="63" t="s">
        <v>1225</v>
      </c>
      <c r="C67" s="7">
        <v>-187636</v>
      </c>
      <c r="D67" s="7"/>
      <c r="E67" s="7" t="s">
        <v>146</v>
      </c>
      <c r="F67" s="7">
        <v>-4782513.75</v>
      </c>
      <c r="G67" s="10"/>
      <c r="H67" s="10"/>
      <c r="I67" s="7" t="b">
        <f>IF(FINANCIACION[[#This Row],[$ CAPITAL]]&gt;0,FINANCIACION[[#This Row],[$ CAPITAL]])</f>
        <v>0</v>
      </c>
      <c r="J67" s="41">
        <f>IF(FINANCIACION[[#This Row],[$ CAPITAL]]&gt;=0,FINANCIACION[[#This Row],[$ CAPITAL]]+FINANCIACION[[#This Row],[$ INTERESES]],0)</f>
        <v>0</v>
      </c>
    </row>
    <row r="68" spans="1:10" ht="24" hidden="1" customHeight="1" x14ac:dyDescent="0.3">
      <c r="A68" s="9">
        <v>43687</v>
      </c>
      <c r="B68" s="63" t="s">
        <v>1222</v>
      </c>
      <c r="C68" s="7"/>
      <c r="D68" s="7">
        <v>950000</v>
      </c>
      <c r="E68" s="7">
        <v>950000</v>
      </c>
      <c r="F68" s="7">
        <v>-94935167</v>
      </c>
      <c r="G68" s="10"/>
      <c r="H68" s="10"/>
      <c r="I68" s="7" t="b">
        <f>IF(FINANCIACION[[#This Row],[$ CAPITAL]]&gt;0,FINANCIACION[[#This Row],[$ CAPITAL]])</f>
        <v>0</v>
      </c>
      <c r="J68" s="41">
        <f>IF(FINANCIACION[[#This Row],[$ CAPITAL]]&gt;=0,FINANCIACION[[#This Row],[$ CAPITAL]]+FINANCIACION[[#This Row],[$ INTERESES]],0)</f>
        <v>950000</v>
      </c>
    </row>
    <row r="69" spans="1:10" ht="24" hidden="1" customHeight="1" x14ac:dyDescent="0.3">
      <c r="A69" s="9">
        <v>43697</v>
      </c>
      <c r="B69" s="63" t="s">
        <v>1223</v>
      </c>
      <c r="C69" s="7">
        <v>260000</v>
      </c>
      <c r="D69" s="7">
        <v>740000</v>
      </c>
      <c r="E69" s="7">
        <v>1000000</v>
      </c>
      <c r="F69" s="7">
        <v>-59549154</v>
      </c>
      <c r="G69" s="10"/>
      <c r="H69" s="10"/>
      <c r="I69" s="7">
        <f>IF(FINANCIACION[[#This Row],[$ CAPITAL]]&gt;0,FINANCIACION[[#This Row],[$ CAPITAL]])</f>
        <v>260000</v>
      </c>
      <c r="J69" s="41">
        <f>IF(FINANCIACION[[#This Row],[$ CAPITAL]]&gt;=0,FINANCIACION[[#This Row],[$ CAPITAL]]+FINANCIACION[[#This Row],[$ INTERESES]],0)</f>
        <v>1000000</v>
      </c>
    </row>
    <row r="70" spans="1:10" ht="24" hidden="1" customHeight="1" x14ac:dyDescent="0.3">
      <c r="A70" s="9">
        <v>43697</v>
      </c>
      <c r="B70" s="63" t="s">
        <v>199</v>
      </c>
      <c r="C70" s="7">
        <v>6250000</v>
      </c>
      <c r="D70" s="7">
        <v>1284958.1299999999</v>
      </c>
      <c r="E70" s="7">
        <v>7534958.1299999999</v>
      </c>
      <c r="F70" s="7">
        <v>-137500000</v>
      </c>
      <c r="G70" s="10"/>
      <c r="H70" s="10"/>
      <c r="I70" s="7">
        <f>IF(FINANCIACION[[#This Row],[$ CAPITAL]]&gt;0,FINANCIACION[[#This Row],[$ CAPITAL]])</f>
        <v>6250000</v>
      </c>
      <c r="J70" s="41">
        <f>IF(FINANCIACION[[#This Row],[$ CAPITAL]]&gt;=0,FINANCIACION[[#This Row],[$ CAPITAL]]+FINANCIACION[[#This Row],[$ INTERESES]],0)</f>
        <v>7534958.1299999999</v>
      </c>
    </row>
    <row r="71" spans="1:10" ht="24" hidden="1" customHeight="1" x14ac:dyDescent="0.3">
      <c r="A71" s="9">
        <v>43697</v>
      </c>
      <c r="B71" s="63" t="s">
        <v>1224</v>
      </c>
      <c r="C71" s="7">
        <v>1392137</v>
      </c>
      <c r="D71" s="7">
        <v>4667683</v>
      </c>
      <c r="E71" s="7">
        <v>6059820</v>
      </c>
      <c r="F71" s="7">
        <v>-370401945.03181815</v>
      </c>
      <c r="G71" s="10"/>
      <c r="H71" s="10"/>
      <c r="I71" s="7">
        <f>IF(FINANCIACION[[#This Row],[$ CAPITAL]]&gt;0,FINANCIACION[[#This Row],[$ CAPITAL]])</f>
        <v>1392137</v>
      </c>
      <c r="J71" s="41">
        <f>IF(FINANCIACION[[#This Row],[$ CAPITAL]]&gt;=0,FINANCIACION[[#This Row],[$ CAPITAL]]+FINANCIACION[[#This Row],[$ INTERESES]],0)</f>
        <v>6059820</v>
      </c>
    </row>
    <row r="72" spans="1:10" ht="24" hidden="1" customHeight="1" x14ac:dyDescent="0.3">
      <c r="A72" s="9">
        <v>43703</v>
      </c>
      <c r="B72" s="63" t="s">
        <v>195</v>
      </c>
      <c r="C72" s="7">
        <v>1250000</v>
      </c>
      <c r="D72" s="7">
        <v>320711</v>
      </c>
      <c r="E72" s="7">
        <v>1570711</v>
      </c>
      <c r="F72" s="7">
        <v>-25000000</v>
      </c>
      <c r="G72" s="10"/>
      <c r="H72" s="10"/>
      <c r="I72" s="7">
        <f>IF(FINANCIACION[[#This Row],[$ CAPITAL]]&gt;0,FINANCIACION[[#This Row],[$ CAPITAL]])</f>
        <v>1250000</v>
      </c>
      <c r="J72" s="41">
        <f>IF(FINANCIACION[[#This Row],[$ CAPITAL]]&gt;=0,FINANCIACION[[#This Row],[$ CAPITAL]]+FINANCIACION[[#This Row],[$ INTERESES]],0)</f>
        <v>1570711</v>
      </c>
    </row>
    <row r="73" spans="1:10" ht="24" hidden="1" customHeight="1" x14ac:dyDescent="0.3">
      <c r="A73" s="9">
        <v>43703</v>
      </c>
      <c r="B73" s="63" t="s">
        <v>1225</v>
      </c>
      <c r="C73" s="7">
        <v>-3381228.82</v>
      </c>
      <c r="D73" s="7"/>
      <c r="E73" s="7" t="s">
        <v>146</v>
      </c>
      <c r="F73" s="7">
        <v>-8163742.5700000003</v>
      </c>
      <c r="G73" s="10"/>
      <c r="H73" s="10"/>
      <c r="I73" s="7" t="b">
        <f>IF(FINANCIACION[[#This Row],[$ CAPITAL]]&gt;0,FINANCIACION[[#This Row],[$ CAPITAL]])</f>
        <v>0</v>
      </c>
      <c r="J73" s="41">
        <f>IF(FINANCIACION[[#This Row],[$ CAPITAL]]&gt;=0,FINANCIACION[[#This Row],[$ CAPITAL]]+FINANCIACION[[#This Row],[$ INTERESES]],0)</f>
        <v>0</v>
      </c>
    </row>
    <row r="74" spans="1:10" ht="24" hidden="1" customHeight="1" x14ac:dyDescent="0.3">
      <c r="A74" s="9">
        <v>43705</v>
      </c>
      <c r="B74" s="63" t="s">
        <v>1226</v>
      </c>
      <c r="C74" s="7"/>
      <c r="D74" s="7">
        <v>740000</v>
      </c>
      <c r="E74" s="7">
        <v>740000</v>
      </c>
      <c r="F74" s="7">
        <v>-74000000</v>
      </c>
      <c r="G74" s="10"/>
      <c r="H74" s="10"/>
      <c r="I74" s="7" t="b">
        <f>IF(FINANCIACION[[#This Row],[$ CAPITAL]]&gt;0,FINANCIACION[[#This Row],[$ CAPITAL]])</f>
        <v>0</v>
      </c>
      <c r="J74" s="41">
        <f>IF(FINANCIACION[[#This Row],[$ CAPITAL]]&gt;=0,FINANCIACION[[#This Row],[$ CAPITAL]]+FINANCIACION[[#This Row],[$ INTERESES]],0)</f>
        <v>740000</v>
      </c>
    </row>
    <row r="75" spans="1:10" ht="24" hidden="1" customHeight="1" x14ac:dyDescent="0.3">
      <c r="A75" s="9">
        <v>43707</v>
      </c>
      <c r="B75" s="63" t="s">
        <v>1225</v>
      </c>
      <c r="C75" s="7">
        <v>-1123154</v>
      </c>
      <c r="D75" s="7"/>
      <c r="E75" s="7" t="s">
        <v>146</v>
      </c>
      <c r="F75" s="7">
        <v>-9286896.5700000003</v>
      </c>
      <c r="G75" s="10"/>
      <c r="H75" s="10"/>
      <c r="I75" s="7" t="b">
        <f>IF(FINANCIACION[[#This Row],[$ CAPITAL]]&gt;0,FINANCIACION[[#This Row],[$ CAPITAL]])</f>
        <v>0</v>
      </c>
      <c r="J75" s="41">
        <f>IF(FINANCIACION[[#This Row],[$ CAPITAL]]&gt;=0,FINANCIACION[[#This Row],[$ CAPITAL]]+FINANCIACION[[#This Row],[$ INTERESES]],0)</f>
        <v>0</v>
      </c>
    </row>
    <row r="76" spans="1:10" ht="24" hidden="1" customHeight="1" x14ac:dyDescent="0.3">
      <c r="A76" s="9">
        <v>43710</v>
      </c>
      <c r="B76" s="63" t="s">
        <v>1225</v>
      </c>
      <c r="C76" s="7">
        <v>2500000</v>
      </c>
      <c r="D76" s="7"/>
      <c r="E76" s="7">
        <v>2500000</v>
      </c>
      <c r="F76" s="7">
        <v>213103.4299999997</v>
      </c>
      <c r="G76" s="10"/>
      <c r="H76" s="10"/>
      <c r="I76" s="7">
        <f>IF(FINANCIACION[[#This Row],[$ CAPITAL]]&gt;0,FINANCIACION[[#This Row],[$ CAPITAL]])</f>
        <v>2500000</v>
      </c>
      <c r="J76" s="41">
        <f>IF(FINANCIACION[[#This Row],[$ CAPITAL]]&gt;=0,FINANCIACION[[#This Row],[$ CAPITAL]]+FINANCIACION[[#This Row],[$ INTERESES]],0)</f>
        <v>2500000</v>
      </c>
    </row>
    <row r="77" spans="1:10" ht="24" hidden="1" customHeight="1" x14ac:dyDescent="0.3">
      <c r="A77" s="9">
        <v>43710</v>
      </c>
      <c r="B77" s="63" t="s">
        <v>1225</v>
      </c>
      <c r="C77" s="7">
        <v>7000000</v>
      </c>
      <c r="D77" s="7"/>
      <c r="E77" s="7">
        <v>7000000</v>
      </c>
      <c r="F77" s="7">
        <v>213103.4299999997</v>
      </c>
      <c r="G77" s="10"/>
      <c r="H77" s="10"/>
      <c r="I77" s="7">
        <f>IF(FINANCIACION[[#This Row],[$ CAPITAL]]&gt;0,FINANCIACION[[#This Row],[$ CAPITAL]])</f>
        <v>7000000</v>
      </c>
      <c r="J77" s="41">
        <f>IF(FINANCIACION[[#This Row],[$ CAPITAL]]&gt;=0,FINANCIACION[[#This Row],[$ CAPITAL]]+FINANCIACION[[#This Row],[$ INTERESES]],0)</f>
        <v>7000000</v>
      </c>
    </row>
    <row r="78" spans="1:10" ht="24" hidden="1" customHeight="1" x14ac:dyDescent="0.3">
      <c r="A78" s="9">
        <v>43711</v>
      </c>
      <c r="B78" s="63" t="s">
        <v>196</v>
      </c>
      <c r="C78" s="7">
        <v>3472222</v>
      </c>
      <c r="D78" s="7">
        <v>1096697</v>
      </c>
      <c r="E78" s="7">
        <v>4568919</v>
      </c>
      <c r="F78" s="7">
        <v>-97222224</v>
      </c>
      <c r="G78" s="10"/>
      <c r="H78" s="10"/>
      <c r="I78" s="7">
        <f>IF(FINANCIACION[[#This Row],[$ CAPITAL]]&gt;0,FINANCIACION[[#This Row],[$ CAPITAL]])</f>
        <v>3472222</v>
      </c>
      <c r="J78" s="41">
        <f>IF(FINANCIACION[[#This Row],[$ CAPITAL]]&gt;=0,FINANCIACION[[#This Row],[$ CAPITAL]]+FINANCIACION[[#This Row],[$ INTERESES]],0)</f>
        <v>4568919</v>
      </c>
    </row>
    <row r="79" spans="1:10" ht="24" hidden="1" customHeight="1" x14ac:dyDescent="0.3">
      <c r="A79" s="9">
        <v>43714</v>
      </c>
      <c r="B79" s="63" t="s">
        <v>1225</v>
      </c>
      <c r="C79" s="7">
        <v>-1036207.93</v>
      </c>
      <c r="D79" s="7"/>
      <c r="E79" s="7" t="s">
        <v>146</v>
      </c>
      <c r="F79" s="7">
        <v>-823104.50000000035</v>
      </c>
      <c r="G79" s="10"/>
      <c r="H79" s="10"/>
      <c r="I79" s="7" t="b">
        <f>IF(FINANCIACION[[#This Row],[$ CAPITAL]]&gt;0,FINANCIACION[[#This Row],[$ CAPITAL]])</f>
        <v>0</v>
      </c>
      <c r="J79" s="41">
        <f>IF(FINANCIACION[[#This Row],[$ CAPITAL]]&gt;=0,FINANCIACION[[#This Row],[$ CAPITAL]]+FINANCIACION[[#This Row],[$ INTERESES]],0)</f>
        <v>0</v>
      </c>
    </row>
    <row r="80" spans="1:10" ht="24" hidden="1" customHeight="1" x14ac:dyDescent="0.3">
      <c r="A80" s="9">
        <v>43717</v>
      </c>
      <c r="B80" s="63" t="s">
        <v>1226</v>
      </c>
      <c r="C80" s="7">
        <v>-10000000</v>
      </c>
      <c r="D80" s="7"/>
      <c r="E80" s="7" t="s">
        <v>146</v>
      </c>
      <c r="F80" s="7">
        <v>-84000000</v>
      </c>
      <c r="G80" s="10"/>
      <c r="H80" s="10"/>
      <c r="I80" s="7" t="b">
        <f>IF(FINANCIACION[[#This Row],[$ CAPITAL]]&gt;0,FINANCIACION[[#This Row],[$ CAPITAL]])</f>
        <v>0</v>
      </c>
      <c r="J80" s="11">
        <f>IF(FINANCIACION[[#This Row],[$ CAPITAL]]&gt;=0,FINANCIACION[[#This Row],[$ CAPITAL]]+FINANCIACION[[#This Row],[$ INTERESES]],0)</f>
        <v>0</v>
      </c>
    </row>
    <row r="81" spans="1:10" ht="24" hidden="1" customHeight="1" x14ac:dyDescent="0.3">
      <c r="A81" s="9">
        <v>43718</v>
      </c>
      <c r="B81" s="63" t="s">
        <v>1222</v>
      </c>
      <c r="C81" s="7"/>
      <c r="D81" s="7">
        <v>950000</v>
      </c>
      <c r="E81" s="7">
        <v>950000</v>
      </c>
      <c r="F81" s="7">
        <v>-94935167</v>
      </c>
      <c r="G81" s="10"/>
      <c r="H81" s="66"/>
      <c r="I81" s="7" t="b">
        <f>IF(FINANCIACION[[#This Row],[$ CAPITAL]]&gt;0,FINANCIACION[[#This Row],[$ CAPITAL]])</f>
        <v>0</v>
      </c>
      <c r="J81" s="11">
        <f>IF(FINANCIACION[[#This Row],[$ CAPITAL]]&gt;=0,FINANCIACION[[#This Row],[$ CAPITAL]]+FINANCIACION[[#This Row],[$ INTERESES]],0)</f>
        <v>950000</v>
      </c>
    </row>
    <row r="82" spans="1:10" ht="24" hidden="1" customHeight="1" x14ac:dyDescent="0.3">
      <c r="A82" s="9">
        <v>43718</v>
      </c>
      <c r="B82" s="63" t="s">
        <v>1225</v>
      </c>
      <c r="C82" s="7">
        <v>-2626534</v>
      </c>
      <c r="D82" s="7"/>
      <c r="E82" s="7" t="s">
        <v>146</v>
      </c>
      <c r="F82" s="7">
        <v>-3449638.5000000005</v>
      </c>
      <c r="G82" s="10"/>
      <c r="H82" s="66"/>
      <c r="I82" s="7" t="b">
        <f>IF(FINANCIACION[[#This Row],[$ CAPITAL]]&gt;0,FINANCIACION[[#This Row],[$ CAPITAL]])</f>
        <v>0</v>
      </c>
      <c r="J82" s="11">
        <f>IF(FINANCIACION[[#This Row],[$ CAPITAL]]&gt;=0,FINANCIACION[[#This Row],[$ CAPITAL]]+FINANCIACION[[#This Row],[$ INTERESES]],0)</f>
        <v>0</v>
      </c>
    </row>
    <row r="83" spans="1:10" ht="24" hidden="1" customHeight="1" x14ac:dyDescent="0.3">
      <c r="A83" s="9">
        <v>43719</v>
      </c>
      <c r="B83" s="63" t="s">
        <v>1225</v>
      </c>
      <c r="C83" s="7">
        <v>-244800</v>
      </c>
      <c r="D83" s="7"/>
      <c r="E83" s="7" t="s">
        <v>146</v>
      </c>
      <c r="F83" s="7">
        <v>-8239721.3200000003</v>
      </c>
      <c r="G83" s="10"/>
      <c r="H83" s="66"/>
      <c r="I83" s="7" t="b">
        <f>IF(FINANCIACION[[#This Row],[$ CAPITAL]]&gt;0,FINANCIACION[[#This Row],[$ CAPITAL]])</f>
        <v>0</v>
      </c>
      <c r="J83" s="11">
        <f>IF(FINANCIACION[[#This Row],[$ CAPITAL]]&gt;=0,FINANCIACION[[#This Row],[$ CAPITAL]]+FINANCIACION[[#This Row],[$ INTERESES]],0)</f>
        <v>0</v>
      </c>
    </row>
    <row r="84" spans="1:10" ht="24" hidden="1" customHeight="1" x14ac:dyDescent="0.3">
      <c r="A84" s="9">
        <v>43719</v>
      </c>
      <c r="B84" s="63" t="s">
        <v>1225</v>
      </c>
      <c r="C84" s="7">
        <v>-4545282.82</v>
      </c>
      <c r="D84" s="7"/>
      <c r="E84" s="7" t="s">
        <v>146</v>
      </c>
      <c r="F84" s="7">
        <v>-8239721.3200000003</v>
      </c>
      <c r="G84" s="66"/>
      <c r="H84" s="10"/>
      <c r="I84" s="7" t="b">
        <f>IF(FINANCIACION[[#This Row],[$ CAPITAL]]&gt;0,FINANCIACION[[#This Row],[$ CAPITAL]])</f>
        <v>0</v>
      </c>
      <c r="J84" s="41">
        <f>IF(FINANCIACION[[#This Row],[$ CAPITAL]]&gt;=0,FINANCIACION[[#This Row],[$ CAPITAL]]+FINANCIACION[[#This Row],[$ INTERESES]],0)</f>
        <v>0</v>
      </c>
    </row>
    <row r="85" spans="1:10" ht="24" hidden="1" customHeight="1" x14ac:dyDescent="0.3">
      <c r="A85" s="9">
        <v>43723</v>
      </c>
      <c r="B85" s="63" t="s">
        <v>1225</v>
      </c>
      <c r="C85" s="7">
        <v>-97324.79</v>
      </c>
      <c r="D85" s="7">
        <v>97324.790000000008</v>
      </c>
      <c r="E85" s="7" t="s">
        <v>146</v>
      </c>
      <c r="F85" s="7">
        <v>-8337046.1100000003</v>
      </c>
      <c r="G85" s="66"/>
      <c r="H85" s="10"/>
      <c r="I85" s="7" t="b">
        <f>IF(FINANCIACION[[#This Row],[$ CAPITAL]]&gt;0,FINANCIACION[[#This Row],[$ CAPITAL]])</f>
        <v>0</v>
      </c>
      <c r="J85" s="41">
        <f>IF(FINANCIACION[[#This Row],[$ CAPITAL]]&gt;=0,FINANCIACION[[#This Row],[$ CAPITAL]]+FINANCIACION[[#This Row],[$ INTERESES]],0)</f>
        <v>0</v>
      </c>
    </row>
    <row r="86" spans="1:10" ht="24" hidden="1" customHeight="1" x14ac:dyDescent="0.3">
      <c r="A86" s="9">
        <v>43726</v>
      </c>
      <c r="B86" s="63" t="s">
        <v>199</v>
      </c>
      <c r="C86" s="7">
        <v>6250000</v>
      </c>
      <c r="D86" s="7">
        <v>1234283.98</v>
      </c>
      <c r="E86" s="7">
        <v>7484283.9800000004</v>
      </c>
      <c r="F86" s="7">
        <v>-131250000</v>
      </c>
      <c r="G86" s="66"/>
      <c r="H86" s="10"/>
      <c r="I86" s="7">
        <f>IF(FINANCIACION[[#This Row],[$ CAPITAL]]&gt;0,FINANCIACION[[#This Row],[$ CAPITAL]])</f>
        <v>6250000</v>
      </c>
      <c r="J86" s="41">
        <f>IF(FINANCIACION[[#This Row],[$ CAPITAL]]&gt;=0,FINANCIACION[[#This Row],[$ CAPITAL]]+FINANCIACION[[#This Row],[$ INTERESES]],0)</f>
        <v>7484283.9800000004</v>
      </c>
    </row>
    <row r="87" spans="1:10" ht="24" hidden="1" customHeight="1" x14ac:dyDescent="0.3">
      <c r="A87" s="9">
        <v>43726</v>
      </c>
      <c r="B87" s="63" t="s">
        <v>1224</v>
      </c>
      <c r="C87" s="7">
        <v>1409118</v>
      </c>
      <c r="D87" s="7">
        <v>4650702</v>
      </c>
      <c r="E87" s="7">
        <v>6059820</v>
      </c>
      <c r="F87" s="7">
        <v>-368992827.03181815</v>
      </c>
      <c r="G87" s="66"/>
      <c r="H87" s="10"/>
      <c r="I87" s="7">
        <f>IF(FINANCIACION[[#This Row],[$ CAPITAL]]&gt;0,FINANCIACION[[#This Row],[$ CAPITAL]])</f>
        <v>1409118</v>
      </c>
      <c r="J87" s="41">
        <f>IF(FINANCIACION[[#This Row],[$ CAPITAL]]&gt;=0,FINANCIACION[[#This Row],[$ CAPITAL]]+FINANCIACION[[#This Row],[$ INTERESES]],0)</f>
        <v>6059820</v>
      </c>
    </row>
    <row r="88" spans="1:10" ht="24" hidden="1" customHeight="1" x14ac:dyDescent="0.3">
      <c r="A88" s="9">
        <v>43727</v>
      </c>
      <c r="B88" s="63" t="s">
        <v>1225</v>
      </c>
      <c r="C88" s="7">
        <v>6000000</v>
      </c>
      <c r="D88" s="7"/>
      <c r="E88" s="7">
        <v>6000000</v>
      </c>
      <c r="F88" s="7">
        <v>-4000433.1100000003</v>
      </c>
      <c r="G88" s="66"/>
      <c r="H88" s="10"/>
      <c r="I88" s="7">
        <f>IF(FINANCIACION[[#This Row],[$ CAPITAL]]&gt;0,FINANCIACION[[#This Row],[$ CAPITAL]])</f>
        <v>6000000</v>
      </c>
      <c r="J88" s="41">
        <f>IF(FINANCIACION[[#This Row],[$ CAPITAL]]&gt;=0,FINANCIACION[[#This Row],[$ CAPITAL]]+FINANCIACION[[#This Row],[$ INTERESES]],0)</f>
        <v>6000000</v>
      </c>
    </row>
    <row r="89" spans="1:10" ht="24" hidden="1" customHeight="1" x14ac:dyDescent="0.3">
      <c r="A89" s="9">
        <v>43727</v>
      </c>
      <c r="B89" s="63" t="s">
        <v>1225</v>
      </c>
      <c r="C89" s="7">
        <v>-1398740</v>
      </c>
      <c r="D89" s="7"/>
      <c r="E89" s="7" t="s">
        <v>146</v>
      </c>
      <c r="F89" s="7">
        <v>-4000433.1100000003</v>
      </c>
      <c r="G89" s="66"/>
      <c r="H89" s="10"/>
      <c r="I89" s="7" t="b">
        <f>IF(FINANCIACION[[#This Row],[$ CAPITAL]]&gt;0,FINANCIACION[[#This Row],[$ CAPITAL]])</f>
        <v>0</v>
      </c>
      <c r="J89" s="41">
        <f>IF(FINANCIACION[[#This Row],[$ CAPITAL]]&gt;=0,FINANCIACION[[#This Row],[$ CAPITAL]]+FINANCIACION[[#This Row],[$ INTERESES]],0)</f>
        <v>0</v>
      </c>
    </row>
    <row r="90" spans="1:10" ht="24" hidden="1" customHeight="1" x14ac:dyDescent="0.3">
      <c r="A90" s="9">
        <v>43727</v>
      </c>
      <c r="B90" s="63" t="s">
        <v>1225</v>
      </c>
      <c r="C90" s="89">
        <v>-179647</v>
      </c>
      <c r="D90" s="89"/>
      <c r="E90" s="7" t="s">
        <v>146</v>
      </c>
      <c r="F90" s="7">
        <v>-4000433.1100000003</v>
      </c>
      <c r="G90" s="66"/>
      <c r="H90" s="10"/>
      <c r="I90" s="7" t="b">
        <f>IF(FINANCIACION[[#This Row],[$ CAPITAL]]&gt;0,FINANCIACION[[#This Row],[$ CAPITAL]])</f>
        <v>0</v>
      </c>
      <c r="J90" s="41">
        <f>IF(FINANCIACION[[#This Row],[$ CAPITAL]]&gt;=0,FINANCIACION[[#This Row],[$ CAPITAL]]+FINANCIACION[[#This Row],[$ INTERESES]],0)</f>
        <v>0</v>
      </c>
    </row>
    <row r="91" spans="1:10" ht="24" hidden="1" customHeight="1" x14ac:dyDescent="0.3">
      <c r="A91" s="9">
        <v>43727</v>
      </c>
      <c r="B91" s="63" t="s">
        <v>1225</v>
      </c>
      <c r="C91" s="7">
        <v>-85000</v>
      </c>
      <c r="D91" s="7"/>
      <c r="E91" s="7" t="s">
        <v>146</v>
      </c>
      <c r="F91" s="7">
        <v>-4000433.1100000003</v>
      </c>
      <c r="G91" s="66"/>
      <c r="H91" s="10"/>
      <c r="I91" s="7" t="b">
        <f>IF(FINANCIACION[[#This Row],[$ CAPITAL]]&gt;0,FINANCIACION[[#This Row],[$ CAPITAL]])</f>
        <v>0</v>
      </c>
      <c r="J91" s="41">
        <f>IF(FINANCIACION[[#This Row],[$ CAPITAL]]&gt;=0,FINANCIACION[[#This Row],[$ CAPITAL]]+FINANCIACION[[#This Row],[$ INTERESES]],0)</f>
        <v>0</v>
      </c>
    </row>
    <row r="92" spans="1:10" ht="24" hidden="1" customHeight="1" x14ac:dyDescent="0.3">
      <c r="A92" s="9">
        <v>43728</v>
      </c>
      <c r="B92" s="63" t="s">
        <v>1223</v>
      </c>
      <c r="C92" s="7">
        <v>260000</v>
      </c>
      <c r="D92" s="7">
        <v>740000</v>
      </c>
      <c r="E92" s="7">
        <v>1000000</v>
      </c>
      <c r="F92" s="7">
        <v>-59289154</v>
      </c>
      <c r="G92" s="10"/>
      <c r="H92" s="10"/>
      <c r="I92" s="7">
        <f>IF(FINANCIACION[[#This Row],[$ CAPITAL]]&gt;0,FINANCIACION[[#This Row],[$ CAPITAL]])</f>
        <v>260000</v>
      </c>
      <c r="J92" s="41">
        <f>IF(FINANCIACION[[#This Row],[$ CAPITAL]]&gt;=0,FINANCIACION[[#This Row],[$ CAPITAL]]+FINANCIACION[[#This Row],[$ INTERESES]],0)</f>
        <v>1000000</v>
      </c>
    </row>
    <row r="93" spans="1:10" ht="24" hidden="1" customHeight="1" x14ac:dyDescent="0.3">
      <c r="A93" s="9">
        <v>43731</v>
      </c>
      <c r="B93" s="63" t="s">
        <v>1225</v>
      </c>
      <c r="C93" s="7">
        <v>-153982.59</v>
      </c>
      <c r="D93" s="7"/>
      <c r="E93" s="7" t="s">
        <v>146</v>
      </c>
      <c r="F93" s="7">
        <v>-4154415.7</v>
      </c>
      <c r="G93" s="10"/>
      <c r="H93" s="10"/>
      <c r="I93" s="7" t="b">
        <f>IF(FINANCIACION[[#This Row],[$ CAPITAL]]&gt;0,FINANCIACION[[#This Row],[$ CAPITAL]])</f>
        <v>0</v>
      </c>
      <c r="J93" s="41">
        <f>IF(FINANCIACION[[#This Row],[$ CAPITAL]]&gt;=0,FINANCIACION[[#This Row],[$ CAPITAL]]+FINANCIACION[[#This Row],[$ INTERESES]],0)</f>
        <v>0</v>
      </c>
    </row>
    <row r="94" spans="1:10" ht="24" hidden="1" customHeight="1" x14ac:dyDescent="0.3">
      <c r="A94" s="9">
        <v>43733</v>
      </c>
      <c r="B94" s="63" t="s">
        <v>195</v>
      </c>
      <c r="C94" s="7">
        <v>1250000</v>
      </c>
      <c r="D94" s="7">
        <v>305659</v>
      </c>
      <c r="E94" s="7">
        <v>1555659</v>
      </c>
      <c r="F94" s="7">
        <v>-23750000</v>
      </c>
      <c r="G94" s="10"/>
      <c r="H94" s="10"/>
      <c r="I94" s="7">
        <f>IF(FINANCIACION[[#This Row],[$ CAPITAL]]&gt;0,FINANCIACION[[#This Row],[$ CAPITAL]])</f>
        <v>1250000</v>
      </c>
      <c r="J94" s="41">
        <f>IF(FINANCIACION[[#This Row],[$ CAPITAL]]&gt;=0,FINANCIACION[[#This Row],[$ CAPITAL]]+FINANCIACION[[#This Row],[$ INTERESES]],0)</f>
        <v>1555659</v>
      </c>
    </row>
    <row r="95" spans="1:10" ht="24" hidden="1" customHeight="1" x14ac:dyDescent="0.3">
      <c r="A95" s="9">
        <v>43734</v>
      </c>
      <c r="B95" s="63" t="s">
        <v>1225</v>
      </c>
      <c r="C95" s="7">
        <v>-27977629</v>
      </c>
      <c r="D95" s="7"/>
      <c r="E95" s="7" t="s">
        <v>146</v>
      </c>
      <c r="F95" s="7">
        <v>-32132044.699999999</v>
      </c>
      <c r="G95" s="10"/>
      <c r="H95" s="10"/>
      <c r="I95" s="7" t="b">
        <f>IF(FINANCIACION[[#This Row],[$ CAPITAL]]&gt;0,FINANCIACION[[#This Row],[$ CAPITAL]])</f>
        <v>0</v>
      </c>
      <c r="J95" s="41">
        <f>IF(FINANCIACION[[#This Row],[$ CAPITAL]]&gt;=0,FINANCIACION[[#This Row],[$ CAPITAL]]+FINANCIACION[[#This Row],[$ INTERESES]],0)</f>
        <v>0</v>
      </c>
    </row>
    <row r="96" spans="1:10" ht="24" hidden="1" customHeight="1" x14ac:dyDescent="0.3">
      <c r="A96" s="9">
        <v>43738</v>
      </c>
      <c r="B96" s="63" t="s">
        <v>1225</v>
      </c>
      <c r="C96" s="7">
        <v>-2074108</v>
      </c>
      <c r="D96" s="7"/>
      <c r="E96" s="7" t="s">
        <v>146</v>
      </c>
      <c r="F96" s="7">
        <v>-34206152.700000003</v>
      </c>
      <c r="G96" s="10"/>
      <c r="H96" s="10"/>
      <c r="I96" s="7" t="b">
        <f>IF(FINANCIACION[[#This Row],[$ CAPITAL]]&gt;0,FINANCIACION[[#This Row],[$ CAPITAL]])</f>
        <v>0</v>
      </c>
      <c r="J96" s="41">
        <f>IF(FINANCIACION[[#This Row],[$ CAPITAL]]&gt;=0,FINANCIACION[[#This Row],[$ CAPITAL]]+FINANCIACION[[#This Row],[$ INTERESES]],0)</f>
        <v>0</v>
      </c>
    </row>
    <row r="97" spans="1:10" ht="24" hidden="1" customHeight="1" x14ac:dyDescent="0.3">
      <c r="A97" s="9">
        <v>43740</v>
      </c>
      <c r="B97" s="63" t="s">
        <v>1225</v>
      </c>
      <c r="C97" s="7">
        <v>2000000</v>
      </c>
      <c r="D97" s="7"/>
      <c r="E97" s="7">
        <v>2000000</v>
      </c>
      <c r="F97" s="7">
        <v>-32206152.700000003</v>
      </c>
      <c r="G97" s="10"/>
      <c r="H97" s="10"/>
      <c r="I97" s="7">
        <f>IF(FINANCIACION[[#This Row],[$ CAPITAL]]&gt;0,FINANCIACION[[#This Row],[$ CAPITAL]])</f>
        <v>2000000</v>
      </c>
      <c r="J97" s="41">
        <f>IF(FINANCIACION[[#This Row],[$ CAPITAL]]&gt;=0,FINANCIACION[[#This Row],[$ CAPITAL]]+FINANCIACION[[#This Row],[$ INTERESES]],0)</f>
        <v>2000000</v>
      </c>
    </row>
    <row r="98" spans="1:10" ht="24" hidden="1" customHeight="1" x14ac:dyDescent="0.3">
      <c r="A98" s="9">
        <v>43741</v>
      </c>
      <c r="B98" s="63" t="s">
        <v>196</v>
      </c>
      <c r="C98" s="7">
        <v>3472222</v>
      </c>
      <c r="D98" s="7">
        <v>1053808</v>
      </c>
      <c r="E98" s="7">
        <v>4526030</v>
      </c>
      <c r="F98" s="7">
        <v>-93750002</v>
      </c>
      <c r="G98" s="10"/>
      <c r="H98" s="10"/>
      <c r="I98" s="7">
        <f>IF(FINANCIACION[[#This Row],[$ CAPITAL]]&gt;0,FINANCIACION[[#This Row],[$ CAPITAL]])</f>
        <v>3472222</v>
      </c>
      <c r="J98" s="41">
        <f>IF(FINANCIACION[[#This Row],[$ CAPITAL]]&gt;=0,FINANCIACION[[#This Row],[$ CAPITAL]]+FINANCIACION[[#This Row],[$ INTERESES]],0)</f>
        <v>4526030</v>
      </c>
    </row>
    <row r="99" spans="1:10" ht="24" hidden="1" customHeight="1" x14ac:dyDescent="0.3">
      <c r="A99" s="9">
        <v>43742</v>
      </c>
      <c r="B99" s="63" t="s">
        <v>1225</v>
      </c>
      <c r="C99" s="7">
        <v>2500000</v>
      </c>
      <c r="D99" s="7">
        <v>470066.66000000015</v>
      </c>
      <c r="E99" s="7">
        <v>2970066.66</v>
      </c>
      <c r="F99" s="7">
        <v>-29706152.700000003</v>
      </c>
      <c r="G99" s="10"/>
      <c r="H99" s="10"/>
      <c r="I99" s="7">
        <f>IF(FINANCIACION[[#This Row],[$ CAPITAL]]&gt;0,FINANCIACION[[#This Row],[$ CAPITAL]])</f>
        <v>2500000</v>
      </c>
      <c r="J99" s="41">
        <f>IF(FINANCIACION[[#This Row],[$ CAPITAL]]&gt;=0,FINANCIACION[[#This Row],[$ CAPITAL]]+FINANCIACION[[#This Row],[$ INTERESES]],0)</f>
        <v>2970066.66</v>
      </c>
    </row>
    <row r="100" spans="1:10" ht="24" hidden="1" customHeight="1" x14ac:dyDescent="0.3">
      <c r="A100" s="9">
        <v>43748</v>
      </c>
      <c r="B100" s="63" t="s">
        <v>1222</v>
      </c>
      <c r="C100" s="7"/>
      <c r="D100" s="7">
        <v>950000</v>
      </c>
      <c r="E100" s="7">
        <v>950000</v>
      </c>
      <c r="F100" s="7">
        <v>-94935167</v>
      </c>
      <c r="G100" s="10"/>
      <c r="H100" s="10"/>
      <c r="I100" s="7" t="b">
        <f>IF(FINANCIACION[[#This Row],[$ CAPITAL]]&gt;0,FINANCIACION[[#This Row],[$ CAPITAL]])</f>
        <v>0</v>
      </c>
      <c r="J100" s="41">
        <f>IF(FINANCIACION[[#This Row],[$ CAPITAL]]&gt;=0,FINANCIACION[[#This Row],[$ CAPITAL]]+FINANCIACION[[#This Row],[$ INTERESES]],0)</f>
        <v>950000</v>
      </c>
    </row>
    <row r="101" spans="1:10" ht="24" hidden="1" customHeight="1" x14ac:dyDescent="0.3">
      <c r="A101" s="9">
        <v>43748</v>
      </c>
      <c r="B101" s="63" t="s">
        <v>1225</v>
      </c>
      <c r="C101" s="7">
        <v>3000000</v>
      </c>
      <c r="D101" s="7"/>
      <c r="E101" s="7">
        <v>3000000</v>
      </c>
      <c r="F101" s="7">
        <v>-26706152.700000003</v>
      </c>
      <c r="G101" s="10"/>
      <c r="H101" s="10"/>
      <c r="I101" s="7">
        <f>IF(FINANCIACION[[#This Row],[$ CAPITAL]]&gt;0,FINANCIACION[[#This Row],[$ CAPITAL]])</f>
        <v>3000000</v>
      </c>
      <c r="J101" s="41">
        <f>IF(FINANCIACION[[#This Row],[$ CAPITAL]]&gt;=0,FINANCIACION[[#This Row],[$ CAPITAL]]+FINANCIACION[[#This Row],[$ INTERESES]],0)</f>
        <v>3000000</v>
      </c>
    </row>
    <row r="102" spans="1:10" ht="24" hidden="1" customHeight="1" x14ac:dyDescent="0.3">
      <c r="A102" s="9">
        <v>43753</v>
      </c>
      <c r="B102" s="63" t="s">
        <v>1225</v>
      </c>
      <c r="C102" s="7">
        <v>-92202</v>
      </c>
      <c r="D102" s="7"/>
      <c r="E102" s="7" t="s">
        <v>146</v>
      </c>
      <c r="F102" s="7">
        <v>-26798354.700000003</v>
      </c>
      <c r="G102" s="10"/>
      <c r="H102" s="10"/>
      <c r="I102" s="7" t="b">
        <f>IF(FINANCIACION[[#This Row],[$ CAPITAL]]&gt;0,FINANCIACION[[#This Row],[$ CAPITAL]])</f>
        <v>0</v>
      </c>
      <c r="J102" s="41">
        <f>IF(FINANCIACION[[#This Row],[$ CAPITAL]]&gt;=0,FINANCIACION[[#This Row],[$ CAPITAL]]+FINANCIACION[[#This Row],[$ INTERESES]],0)</f>
        <v>0</v>
      </c>
    </row>
    <row r="103" spans="1:10" ht="24" hidden="1" customHeight="1" x14ac:dyDescent="0.3">
      <c r="A103" s="9">
        <v>43754</v>
      </c>
      <c r="B103" s="63" t="s">
        <v>1225</v>
      </c>
      <c r="C103" s="7">
        <v>-5877675.5300000003</v>
      </c>
      <c r="D103" s="7"/>
      <c r="E103" s="7" t="s">
        <v>146</v>
      </c>
      <c r="F103" s="7">
        <v>-34784152.560000002</v>
      </c>
      <c r="G103" s="10"/>
      <c r="H103" s="10"/>
      <c r="I103" s="7" t="b">
        <f>IF(FINANCIACION[[#This Row],[$ CAPITAL]]&gt;0,FINANCIACION[[#This Row],[$ CAPITAL]])</f>
        <v>0</v>
      </c>
      <c r="J103" s="41">
        <f>IF(FINANCIACION[[#This Row],[$ CAPITAL]]&gt;=0,FINANCIACION[[#This Row],[$ CAPITAL]]+FINANCIACION[[#This Row],[$ INTERESES]],0)</f>
        <v>0</v>
      </c>
    </row>
    <row r="104" spans="1:10" ht="24" hidden="1" customHeight="1" x14ac:dyDescent="0.3">
      <c r="A104" s="9">
        <v>43754</v>
      </c>
      <c r="B104" s="63" t="s">
        <v>1225</v>
      </c>
      <c r="C104" s="7">
        <v>-2108122.33</v>
      </c>
      <c r="D104" s="7"/>
      <c r="E104" s="7" t="s">
        <v>146</v>
      </c>
      <c r="F104" s="7">
        <v>-34784152.560000002</v>
      </c>
      <c r="G104" s="10"/>
      <c r="H104" s="10"/>
      <c r="I104" s="7" t="b">
        <f>IF(FINANCIACION[[#This Row],[$ CAPITAL]]&gt;0,FINANCIACION[[#This Row],[$ CAPITAL]])</f>
        <v>0</v>
      </c>
      <c r="J104" s="41">
        <f>IF(FINANCIACION[[#This Row],[$ CAPITAL]]&gt;=0,FINANCIACION[[#This Row],[$ CAPITAL]]+FINANCIACION[[#This Row],[$ INTERESES]],0)</f>
        <v>0</v>
      </c>
    </row>
    <row r="105" spans="1:10" ht="24" hidden="1" customHeight="1" x14ac:dyDescent="0.3">
      <c r="A105" s="9">
        <v>43756</v>
      </c>
      <c r="B105" s="63" t="s">
        <v>199</v>
      </c>
      <c r="C105" s="7">
        <v>6250000</v>
      </c>
      <c r="D105" s="7">
        <v>1184067.07</v>
      </c>
      <c r="E105" s="7">
        <v>7434067.0700000003</v>
      </c>
      <c r="F105" s="7">
        <v>-125000000</v>
      </c>
      <c r="G105" s="10"/>
      <c r="H105" s="10"/>
      <c r="I105" s="7">
        <f>IF(FINANCIACION[[#This Row],[$ CAPITAL]]&gt;0,FINANCIACION[[#This Row],[$ CAPITAL]])</f>
        <v>6250000</v>
      </c>
      <c r="J105" s="41">
        <f>IF(FINANCIACION[[#This Row],[$ CAPITAL]]&gt;=0,FINANCIACION[[#This Row],[$ CAPITAL]]+FINANCIACION[[#This Row],[$ INTERESES]],0)</f>
        <v>7434067.0700000003</v>
      </c>
    </row>
    <row r="106" spans="1:10" ht="24" hidden="1" customHeight="1" x14ac:dyDescent="0.3">
      <c r="A106" s="9">
        <v>43756</v>
      </c>
      <c r="B106" s="63" t="s">
        <v>1224</v>
      </c>
      <c r="C106" s="7">
        <v>1426306</v>
      </c>
      <c r="D106" s="7">
        <v>4592899</v>
      </c>
      <c r="E106" s="7">
        <v>6019205</v>
      </c>
      <c r="F106" s="7">
        <v>-367566521.03181815</v>
      </c>
      <c r="G106" s="10"/>
      <c r="H106" s="10"/>
      <c r="I106" s="7">
        <f>IF(FINANCIACION[[#This Row],[$ CAPITAL]]&gt;0,FINANCIACION[[#This Row],[$ CAPITAL]])</f>
        <v>1426306</v>
      </c>
      <c r="J106" s="41">
        <f>IF(FINANCIACION[[#This Row],[$ CAPITAL]]&gt;=0,FINANCIACION[[#This Row],[$ CAPITAL]]+FINANCIACION[[#This Row],[$ INTERESES]],0)</f>
        <v>6019205</v>
      </c>
    </row>
    <row r="107" spans="1:10" ht="24" hidden="1" customHeight="1" x14ac:dyDescent="0.3">
      <c r="A107" s="9">
        <v>43758</v>
      </c>
      <c r="B107" s="63" t="s">
        <v>1225</v>
      </c>
      <c r="C107" s="7">
        <v>-89902</v>
      </c>
      <c r="D107" s="7"/>
      <c r="E107" s="7" t="s">
        <v>146</v>
      </c>
      <c r="F107" s="7">
        <v>-34874054.560000002</v>
      </c>
      <c r="G107" s="10"/>
      <c r="H107" s="10"/>
      <c r="I107" s="7" t="b">
        <f>IF(FINANCIACION[[#This Row],[$ CAPITAL]]&gt;0,FINANCIACION[[#This Row],[$ CAPITAL]])</f>
        <v>0</v>
      </c>
      <c r="J107" s="41">
        <f>IF(FINANCIACION[[#This Row],[$ CAPITAL]]&gt;=0,FINANCIACION[[#This Row],[$ CAPITAL]]+FINANCIACION[[#This Row],[$ INTERESES]],0)</f>
        <v>0</v>
      </c>
    </row>
    <row r="108" spans="1:10" ht="24" hidden="1" customHeight="1" x14ac:dyDescent="0.3">
      <c r="A108" s="9">
        <v>43759</v>
      </c>
      <c r="B108" s="63" t="s">
        <v>1223</v>
      </c>
      <c r="C108" s="7">
        <v>260000</v>
      </c>
      <c r="D108" s="7">
        <v>740000</v>
      </c>
      <c r="E108" s="7">
        <v>1000000</v>
      </c>
      <c r="F108" s="7">
        <v>-59029154</v>
      </c>
      <c r="G108" s="10"/>
      <c r="H108" s="10"/>
      <c r="I108" s="7">
        <f>IF(FINANCIACION[[#This Row],[$ CAPITAL]]&gt;0,FINANCIACION[[#This Row],[$ CAPITAL]])</f>
        <v>260000</v>
      </c>
      <c r="J108" s="41">
        <f>IF(FINANCIACION[[#This Row],[$ CAPITAL]]&gt;=0,FINANCIACION[[#This Row],[$ CAPITAL]]+FINANCIACION[[#This Row],[$ INTERESES]],0)</f>
        <v>1000000</v>
      </c>
    </row>
    <row r="109" spans="1:10" ht="24" hidden="1" customHeight="1" x14ac:dyDescent="0.3">
      <c r="A109" s="9">
        <v>43760</v>
      </c>
      <c r="B109" s="63" t="s">
        <v>1225</v>
      </c>
      <c r="C109" s="7">
        <v>-1837182.36</v>
      </c>
      <c r="D109" s="7"/>
      <c r="E109" s="7" t="s">
        <v>146</v>
      </c>
      <c r="F109" s="7">
        <v>-36711236.920000002</v>
      </c>
      <c r="G109" s="10"/>
      <c r="H109" s="10"/>
      <c r="I109" s="7" t="b">
        <f>IF(FINANCIACION[[#This Row],[$ CAPITAL]]&gt;0,FINANCIACION[[#This Row],[$ CAPITAL]])</f>
        <v>0</v>
      </c>
      <c r="J109" s="41">
        <f>IF(FINANCIACION[[#This Row],[$ CAPITAL]]&gt;=0,FINANCIACION[[#This Row],[$ CAPITAL]]+FINANCIACION[[#This Row],[$ INTERESES]],0)</f>
        <v>0</v>
      </c>
    </row>
    <row r="110" spans="1:10" ht="24" hidden="1" customHeight="1" x14ac:dyDescent="0.3">
      <c r="A110" s="9">
        <v>43761</v>
      </c>
      <c r="B110" s="63" t="s">
        <v>1225</v>
      </c>
      <c r="C110" s="7">
        <v>2000000</v>
      </c>
      <c r="D110" s="7"/>
      <c r="E110" s="7">
        <v>2000000</v>
      </c>
      <c r="F110" s="7">
        <v>-32927774.380000003</v>
      </c>
      <c r="G110" s="10"/>
      <c r="H110" s="10"/>
      <c r="I110" s="7">
        <f>IF(FINANCIACION[[#This Row],[$ CAPITAL]]&gt;0,FINANCIACION[[#This Row],[$ CAPITAL]])</f>
        <v>2000000</v>
      </c>
      <c r="J110" s="41">
        <f>IF(FINANCIACION[[#This Row],[$ CAPITAL]]&gt;=0,FINANCIACION[[#This Row],[$ CAPITAL]]+FINANCIACION[[#This Row],[$ INTERESES]],0)</f>
        <v>2000000</v>
      </c>
    </row>
    <row r="111" spans="1:10" ht="24" hidden="1" customHeight="1" x14ac:dyDescent="0.3">
      <c r="A111" s="9">
        <v>43761</v>
      </c>
      <c r="B111" s="63" t="s">
        <v>1225</v>
      </c>
      <c r="C111" s="7">
        <v>2000000</v>
      </c>
      <c r="D111" s="7"/>
      <c r="E111" s="7">
        <v>2000000</v>
      </c>
      <c r="F111" s="7">
        <v>-32927774.380000003</v>
      </c>
      <c r="G111" s="10"/>
      <c r="H111" s="10"/>
      <c r="I111" s="7">
        <f>IF(FINANCIACION[[#This Row],[$ CAPITAL]]&gt;0,FINANCIACION[[#This Row],[$ CAPITAL]])</f>
        <v>2000000</v>
      </c>
      <c r="J111" s="41">
        <f>IF(FINANCIACION[[#This Row],[$ CAPITAL]]&gt;=0,FINANCIACION[[#This Row],[$ CAPITAL]]+FINANCIACION[[#This Row],[$ INTERESES]],0)</f>
        <v>2000000</v>
      </c>
    </row>
    <row r="112" spans="1:10" ht="24" hidden="1" customHeight="1" x14ac:dyDescent="0.3">
      <c r="A112" s="9">
        <v>43761</v>
      </c>
      <c r="B112" s="63" t="s">
        <v>1225</v>
      </c>
      <c r="C112" s="7">
        <v>-216537.46</v>
      </c>
      <c r="D112" s="7"/>
      <c r="E112" s="7" t="s">
        <v>146</v>
      </c>
      <c r="F112" s="7">
        <v>-32927774.380000003</v>
      </c>
      <c r="G112" s="10"/>
      <c r="H112" s="10"/>
      <c r="I112" s="7" t="b">
        <f>IF(FINANCIACION[[#This Row],[$ CAPITAL]]&gt;0,FINANCIACION[[#This Row],[$ CAPITAL]])</f>
        <v>0</v>
      </c>
      <c r="J112" s="41">
        <f>IF(FINANCIACION[[#This Row],[$ CAPITAL]]&gt;=0,FINANCIACION[[#This Row],[$ CAPITAL]]+FINANCIACION[[#This Row],[$ INTERESES]],0)</f>
        <v>0</v>
      </c>
    </row>
    <row r="113" spans="1:10" ht="24" hidden="1" customHeight="1" x14ac:dyDescent="0.3">
      <c r="A113" s="9">
        <v>43762</v>
      </c>
      <c r="B113" s="63" t="s">
        <v>1225</v>
      </c>
      <c r="C113" s="7">
        <v>-371885.62</v>
      </c>
      <c r="D113" s="7"/>
      <c r="E113" s="7" t="s">
        <v>146</v>
      </c>
      <c r="F113" s="7">
        <v>-33299660.000000004</v>
      </c>
      <c r="G113" s="10"/>
      <c r="H113" s="10"/>
      <c r="I113" s="7" t="b">
        <f>IF(FINANCIACION[[#This Row],[$ CAPITAL]]&gt;0,FINANCIACION[[#This Row],[$ CAPITAL]])</f>
        <v>0</v>
      </c>
      <c r="J113" s="41">
        <f>IF(FINANCIACION[[#This Row],[$ CAPITAL]]&gt;=0,FINANCIACION[[#This Row],[$ CAPITAL]]+FINANCIACION[[#This Row],[$ INTERESES]],0)</f>
        <v>0</v>
      </c>
    </row>
    <row r="114" spans="1:10" ht="24" hidden="1" customHeight="1" x14ac:dyDescent="0.3">
      <c r="A114" s="9">
        <v>43763</v>
      </c>
      <c r="B114" s="63" t="s">
        <v>195</v>
      </c>
      <c r="C114" s="7">
        <v>1250000</v>
      </c>
      <c r="D114" s="7">
        <v>289544</v>
      </c>
      <c r="E114" s="7">
        <v>1539544</v>
      </c>
      <c r="F114" s="7">
        <v>-22500000</v>
      </c>
      <c r="G114" s="10"/>
      <c r="H114" s="10"/>
      <c r="I114" s="7">
        <f>IF(FINANCIACION[[#This Row],[$ CAPITAL]]&gt;0,FINANCIACION[[#This Row],[$ CAPITAL]])</f>
        <v>1250000</v>
      </c>
      <c r="J114" s="41">
        <f>IF(FINANCIACION[[#This Row],[$ CAPITAL]]&gt;=0,FINANCIACION[[#This Row],[$ CAPITAL]]+FINANCIACION[[#This Row],[$ INTERESES]],0)</f>
        <v>1539544</v>
      </c>
    </row>
    <row r="115" spans="1:10" ht="24" hidden="1" customHeight="1" x14ac:dyDescent="0.3">
      <c r="A115" s="9">
        <v>43768</v>
      </c>
      <c r="B115" s="63" t="s">
        <v>1225</v>
      </c>
      <c r="C115" s="7">
        <v>-1673208.71</v>
      </c>
      <c r="D115" s="7"/>
      <c r="E115" s="7" t="s">
        <v>146</v>
      </c>
      <c r="F115" s="7">
        <v>-35675757.710000001</v>
      </c>
      <c r="G115" s="10"/>
      <c r="H115" s="10"/>
      <c r="I115" s="7" t="b">
        <f>IF(FINANCIACION[[#This Row],[$ CAPITAL]]&gt;0,FINANCIACION[[#This Row],[$ CAPITAL]])</f>
        <v>0</v>
      </c>
      <c r="J115" s="41">
        <f>IF(FINANCIACION[[#This Row],[$ CAPITAL]]&gt;=0,FINANCIACION[[#This Row],[$ CAPITAL]]+FINANCIACION[[#This Row],[$ INTERESES]],0)</f>
        <v>0</v>
      </c>
    </row>
    <row r="116" spans="1:10" ht="24" hidden="1" customHeight="1" x14ac:dyDescent="0.3">
      <c r="A116" s="9">
        <v>43768</v>
      </c>
      <c r="B116" s="63" t="s">
        <v>1225</v>
      </c>
      <c r="C116" s="7">
        <v>-702889</v>
      </c>
      <c r="D116" s="7"/>
      <c r="E116" s="7" t="s">
        <v>146</v>
      </c>
      <c r="F116" s="7">
        <v>-35675757.710000001</v>
      </c>
      <c r="G116" s="10"/>
      <c r="H116" s="10"/>
      <c r="I116" s="7" t="b">
        <f>IF(FINANCIACION[[#This Row],[$ CAPITAL]]&gt;0,FINANCIACION[[#This Row],[$ CAPITAL]])</f>
        <v>0</v>
      </c>
      <c r="J116" s="41">
        <f>IF(FINANCIACION[[#This Row],[$ CAPITAL]]&gt;=0,FINANCIACION[[#This Row],[$ CAPITAL]]+FINANCIACION[[#This Row],[$ INTERESES]],0)</f>
        <v>0</v>
      </c>
    </row>
    <row r="117" spans="1:10" ht="24" hidden="1" customHeight="1" x14ac:dyDescent="0.3">
      <c r="A117" s="9">
        <v>43769</v>
      </c>
      <c r="B117" s="63" t="s">
        <v>1226</v>
      </c>
      <c r="C117" s="7"/>
      <c r="D117" s="7">
        <v>840000</v>
      </c>
      <c r="E117" s="7">
        <v>840000</v>
      </c>
      <c r="F117" s="7">
        <v>-84000000</v>
      </c>
      <c r="G117" s="10"/>
      <c r="H117" s="66"/>
      <c r="I117" s="7" t="b">
        <f>IF(FINANCIACION[[#This Row],[$ CAPITAL]]&gt;0,FINANCIACION[[#This Row],[$ CAPITAL]])</f>
        <v>0</v>
      </c>
      <c r="J117" s="11">
        <f>IF(FINANCIACION[[#This Row],[$ CAPITAL]]&gt;=0,FINANCIACION[[#This Row],[$ CAPITAL]]+FINANCIACION[[#This Row],[$ INTERESES]],0)</f>
        <v>840000</v>
      </c>
    </row>
    <row r="118" spans="1:10" ht="24" hidden="1" customHeight="1" x14ac:dyDescent="0.3">
      <c r="A118" s="9">
        <v>43769</v>
      </c>
      <c r="B118" s="63" t="s">
        <v>1225</v>
      </c>
      <c r="C118" s="7">
        <v>-17400</v>
      </c>
      <c r="D118" s="7"/>
      <c r="E118" s="7" t="s">
        <v>146</v>
      </c>
      <c r="F118" s="7">
        <v>-35693157.710000001</v>
      </c>
      <c r="G118" s="10"/>
      <c r="H118" s="10"/>
      <c r="I118" s="7" t="b">
        <f>IF(FINANCIACION[[#This Row],[$ CAPITAL]]&gt;0,FINANCIACION[[#This Row],[$ CAPITAL]])</f>
        <v>0</v>
      </c>
      <c r="J118" s="41">
        <f>IF(FINANCIACION[[#This Row],[$ CAPITAL]]&gt;=0,FINANCIACION[[#This Row],[$ CAPITAL]]+FINANCIACION[[#This Row],[$ INTERESES]],0)</f>
        <v>0</v>
      </c>
    </row>
    <row r="119" spans="1:10" ht="24" hidden="1" customHeight="1" x14ac:dyDescent="0.3">
      <c r="A119" s="9">
        <v>43772</v>
      </c>
      <c r="B119" s="63" t="s">
        <v>196</v>
      </c>
      <c r="C119" s="7">
        <v>3472222</v>
      </c>
      <c r="D119" s="7">
        <v>1021062</v>
      </c>
      <c r="E119" s="7">
        <v>4493284</v>
      </c>
      <c r="F119" s="7">
        <v>-90277780</v>
      </c>
      <c r="G119" s="66"/>
      <c r="H119" s="10"/>
      <c r="I119" s="7">
        <f>IF(FINANCIACION[[#This Row],[$ CAPITAL]]&gt;0,FINANCIACION[[#This Row],[$ CAPITAL]])</f>
        <v>3472222</v>
      </c>
      <c r="J119" s="41">
        <f>IF(FINANCIACION[[#This Row],[$ CAPITAL]]&gt;=0,FINANCIACION[[#This Row],[$ CAPITAL]]+FINANCIACION[[#This Row],[$ INTERESES]],0)</f>
        <v>4493284</v>
      </c>
    </row>
    <row r="120" spans="1:10" ht="24" hidden="1" customHeight="1" x14ac:dyDescent="0.3">
      <c r="A120" s="9">
        <v>43774</v>
      </c>
      <c r="B120" s="63" t="s">
        <v>1225</v>
      </c>
      <c r="C120" s="7">
        <v>2500000</v>
      </c>
      <c r="D120" s="7">
        <v>440687.5</v>
      </c>
      <c r="E120" s="7">
        <v>2940687.5</v>
      </c>
      <c r="F120" s="7">
        <v>-33193157.710000001</v>
      </c>
      <c r="G120" s="10"/>
      <c r="H120" s="66"/>
      <c r="I120" s="7">
        <f>IF(FINANCIACION[[#This Row],[$ CAPITAL]]&gt;0,FINANCIACION[[#This Row],[$ CAPITAL]])</f>
        <v>2500000</v>
      </c>
      <c r="J120" s="11">
        <f>IF(FINANCIACION[[#This Row],[$ CAPITAL]]&gt;=0,FINANCIACION[[#This Row],[$ CAPITAL]]+FINANCIACION[[#This Row],[$ INTERESES]],0)</f>
        <v>2940687.5</v>
      </c>
    </row>
    <row r="121" spans="1:10" ht="24" hidden="1" customHeight="1" x14ac:dyDescent="0.3">
      <c r="A121" s="9">
        <v>43779</v>
      </c>
      <c r="B121" s="63" t="s">
        <v>1222</v>
      </c>
      <c r="C121" s="7"/>
      <c r="D121" s="7">
        <v>950000</v>
      </c>
      <c r="E121" s="7">
        <v>950000</v>
      </c>
      <c r="F121" s="7">
        <v>-94935167</v>
      </c>
      <c r="G121" s="10"/>
      <c r="H121" s="66"/>
      <c r="I121" s="7" t="b">
        <f>IF(FINANCIACION[[#This Row],[$ CAPITAL]]&gt;0,FINANCIACION[[#This Row],[$ CAPITAL]])</f>
        <v>0</v>
      </c>
      <c r="J121" s="11">
        <f>IF(FINANCIACION[[#This Row],[$ CAPITAL]]&gt;=0,FINANCIACION[[#This Row],[$ CAPITAL]]+FINANCIACION[[#This Row],[$ INTERESES]],0)</f>
        <v>950000</v>
      </c>
    </row>
    <row r="122" spans="1:10" ht="24" hidden="1" customHeight="1" x14ac:dyDescent="0.3">
      <c r="A122" s="9">
        <v>43781</v>
      </c>
      <c r="B122" s="63" t="s">
        <v>1225</v>
      </c>
      <c r="C122" s="7">
        <v>2384506</v>
      </c>
      <c r="D122" s="7"/>
      <c r="E122" s="7">
        <v>2384506</v>
      </c>
      <c r="F122" s="7">
        <v>-30808651.710000001</v>
      </c>
      <c r="G122" s="66"/>
      <c r="H122" s="10"/>
      <c r="I122" s="7">
        <f>IF(FINANCIACION[[#This Row],[$ CAPITAL]]&gt;0,FINANCIACION[[#This Row],[$ CAPITAL]])</f>
        <v>2384506</v>
      </c>
      <c r="J122" s="41">
        <f>IF(FINANCIACION[[#This Row],[$ CAPITAL]]&gt;=0,FINANCIACION[[#This Row],[$ CAPITAL]]+FINANCIACION[[#This Row],[$ INTERESES]],0)</f>
        <v>2384506</v>
      </c>
    </row>
    <row r="123" spans="1:10" ht="24" hidden="1" customHeight="1" x14ac:dyDescent="0.3">
      <c r="A123" s="9">
        <v>43783</v>
      </c>
      <c r="B123" s="63" t="s">
        <v>1225</v>
      </c>
      <c r="C123" s="7">
        <v>-201556.42</v>
      </c>
      <c r="D123" s="7"/>
      <c r="E123" s="7" t="s">
        <v>146</v>
      </c>
      <c r="F123" s="7">
        <v>-31010208.130000003</v>
      </c>
      <c r="G123" s="66"/>
      <c r="H123" s="10"/>
      <c r="I123" s="7" t="b">
        <f>IF(FINANCIACION[[#This Row],[$ CAPITAL]]&gt;0,FINANCIACION[[#This Row],[$ CAPITAL]])</f>
        <v>0</v>
      </c>
      <c r="J123" s="41">
        <f>IF(FINANCIACION[[#This Row],[$ CAPITAL]]&gt;=0,FINANCIACION[[#This Row],[$ CAPITAL]]+FINANCIACION[[#This Row],[$ INTERESES]],0)</f>
        <v>0</v>
      </c>
    </row>
    <row r="124" spans="1:10" ht="24" hidden="1" customHeight="1" x14ac:dyDescent="0.3">
      <c r="A124" s="9">
        <v>43784</v>
      </c>
      <c r="B124" s="63" t="s">
        <v>1225</v>
      </c>
      <c r="C124" s="7">
        <v>-202187.61</v>
      </c>
      <c r="D124" s="7"/>
      <c r="E124" s="7" t="s">
        <v>146</v>
      </c>
      <c r="F124" s="7">
        <v>-31212395.740000002</v>
      </c>
      <c r="G124" s="66"/>
      <c r="H124" s="10"/>
      <c r="I124" s="7" t="b">
        <f>IF(FINANCIACION[[#This Row],[$ CAPITAL]]&gt;0,FINANCIACION[[#This Row],[$ CAPITAL]])</f>
        <v>0</v>
      </c>
      <c r="J124" s="41">
        <f>IF(FINANCIACION[[#This Row],[$ CAPITAL]]&gt;=0,FINANCIACION[[#This Row],[$ CAPITAL]]+FINANCIACION[[#This Row],[$ INTERESES]],0)</f>
        <v>0</v>
      </c>
    </row>
    <row r="125" spans="1:10" ht="24" hidden="1" customHeight="1" x14ac:dyDescent="0.3">
      <c r="A125" s="9">
        <v>43786</v>
      </c>
      <c r="B125" s="63" t="s">
        <v>1225</v>
      </c>
      <c r="C125" s="7">
        <v>-36552.420000000006</v>
      </c>
      <c r="D125" s="7"/>
      <c r="E125" s="7" t="s">
        <v>146</v>
      </c>
      <c r="F125" s="7">
        <v>-31248948.160000004</v>
      </c>
      <c r="G125" s="66"/>
      <c r="H125" s="10"/>
      <c r="I125" s="7" t="b">
        <f>IF(FINANCIACION[[#This Row],[$ CAPITAL]]&gt;0,FINANCIACION[[#This Row],[$ CAPITAL]])</f>
        <v>0</v>
      </c>
      <c r="J125" s="41">
        <f>IF(FINANCIACION[[#This Row],[$ CAPITAL]]&gt;=0,FINANCIACION[[#This Row],[$ CAPITAL]]+FINANCIACION[[#This Row],[$ INTERESES]],0)</f>
        <v>0</v>
      </c>
    </row>
    <row r="126" spans="1:10" ht="24" hidden="1" customHeight="1" x14ac:dyDescent="0.3">
      <c r="A126" s="9">
        <v>43787</v>
      </c>
      <c r="B126" s="63" t="s">
        <v>199</v>
      </c>
      <c r="C126" s="7">
        <v>6250000</v>
      </c>
      <c r="D126" s="7">
        <v>1114463.76</v>
      </c>
      <c r="E126" s="7">
        <v>7364463.7599999998</v>
      </c>
      <c r="F126" s="7">
        <v>-118750000</v>
      </c>
      <c r="G126" s="66"/>
      <c r="H126" s="10"/>
      <c r="I126" s="7">
        <f>IF(FINANCIACION[[#This Row],[$ CAPITAL]]&gt;0,FINANCIACION[[#This Row],[$ CAPITAL]])</f>
        <v>6250000</v>
      </c>
      <c r="J126" s="41">
        <f>IF(FINANCIACION[[#This Row],[$ CAPITAL]]&gt;=0,FINANCIACION[[#This Row],[$ CAPITAL]]+FINANCIACION[[#This Row],[$ INTERESES]],0)</f>
        <v>7364463.7599999998</v>
      </c>
    </row>
    <row r="127" spans="1:10" ht="24" hidden="1" customHeight="1" x14ac:dyDescent="0.3">
      <c r="A127" s="9">
        <v>43787</v>
      </c>
      <c r="B127" s="63" t="s">
        <v>1224</v>
      </c>
      <c r="C127" s="7">
        <v>1442047.66666667</v>
      </c>
      <c r="D127" s="7">
        <v>4639789.3333333302</v>
      </c>
      <c r="E127" s="7">
        <v>6081837</v>
      </c>
      <c r="F127" s="7">
        <v>-366124473.36515146</v>
      </c>
      <c r="G127" s="66"/>
      <c r="H127" s="10"/>
      <c r="I127" s="7">
        <f>IF(FINANCIACION[[#This Row],[$ CAPITAL]]&gt;0,FINANCIACION[[#This Row],[$ CAPITAL]])</f>
        <v>1442047.66666667</v>
      </c>
      <c r="J127" s="41">
        <f>IF(FINANCIACION[[#This Row],[$ CAPITAL]]&gt;=0,FINANCIACION[[#This Row],[$ CAPITAL]]+FINANCIACION[[#This Row],[$ INTERESES]],0)</f>
        <v>6081837</v>
      </c>
    </row>
    <row r="128" spans="1:10" ht="24" hidden="1" customHeight="1" x14ac:dyDescent="0.3">
      <c r="A128" s="9">
        <v>43789</v>
      </c>
      <c r="B128" s="63" t="s">
        <v>1223</v>
      </c>
      <c r="C128" s="7">
        <v>260000</v>
      </c>
      <c r="D128" s="7">
        <v>740000</v>
      </c>
      <c r="E128" s="7">
        <v>1000000</v>
      </c>
      <c r="F128" s="7">
        <v>-58769154</v>
      </c>
      <c r="G128" s="66"/>
      <c r="H128" s="10"/>
      <c r="I128" s="7">
        <f>IF(FINANCIACION[[#This Row],[$ CAPITAL]]&gt;0,FINANCIACION[[#This Row],[$ CAPITAL]])</f>
        <v>260000</v>
      </c>
      <c r="J128" s="41">
        <f>IF(FINANCIACION[[#This Row],[$ CAPITAL]]&gt;=0,FINANCIACION[[#This Row],[$ CAPITAL]]+FINANCIACION[[#This Row],[$ INTERESES]],0)</f>
        <v>1000000</v>
      </c>
    </row>
    <row r="129" spans="1:10" ht="24" hidden="1" customHeight="1" x14ac:dyDescent="0.3">
      <c r="A129" s="9">
        <v>43791</v>
      </c>
      <c r="B129" s="63" t="s">
        <v>1225</v>
      </c>
      <c r="C129" s="7">
        <v>-52091.23</v>
      </c>
      <c r="D129" s="7"/>
      <c r="E129" s="7" t="s">
        <v>146</v>
      </c>
      <c r="F129" s="7">
        <v>-31301039.390000004</v>
      </c>
      <c r="G129" s="66"/>
      <c r="H129" s="10"/>
      <c r="I129" s="7" t="b">
        <f>IF(FINANCIACION[[#This Row],[$ CAPITAL]]&gt;0,FINANCIACION[[#This Row],[$ CAPITAL]])</f>
        <v>0</v>
      </c>
      <c r="J129" s="41">
        <f>IF(FINANCIACION[[#This Row],[$ CAPITAL]]&gt;=0,FINANCIACION[[#This Row],[$ CAPITAL]]+FINANCIACION[[#This Row],[$ INTERESES]],0)</f>
        <v>0</v>
      </c>
    </row>
    <row r="130" spans="1:10" ht="24" hidden="1" customHeight="1" x14ac:dyDescent="0.3">
      <c r="A130" s="9">
        <v>43794</v>
      </c>
      <c r="B130" s="63" t="s">
        <v>195</v>
      </c>
      <c r="C130" s="7">
        <v>1250000</v>
      </c>
      <c r="D130" s="7">
        <v>1130711</v>
      </c>
      <c r="E130" s="7">
        <v>2380711</v>
      </c>
      <c r="F130" s="7">
        <v>-21250000</v>
      </c>
      <c r="G130" s="66"/>
      <c r="H130" s="10"/>
      <c r="I130" s="7">
        <f>IF(FINANCIACION[[#This Row],[$ CAPITAL]]&gt;0,FINANCIACION[[#This Row],[$ CAPITAL]])</f>
        <v>1250000</v>
      </c>
      <c r="J130" s="41">
        <f>IF(FINANCIACION[[#This Row],[$ CAPITAL]]&gt;=0,FINANCIACION[[#This Row],[$ CAPITAL]]+FINANCIACION[[#This Row],[$ INTERESES]],0)</f>
        <v>2380711</v>
      </c>
    </row>
    <row r="131" spans="1:10" ht="24" hidden="1" customHeight="1" x14ac:dyDescent="0.3">
      <c r="A131" s="9">
        <v>43799</v>
      </c>
      <c r="B131" s="63" t="s">
        <v>1226</v>
      </c>
      <c r="C131" s="7"/>
      <c r="D131" s="7">
        <v>840000</v>
      </c>
      <c r="E131" s="7">
        <v>840000</v>
      </c>
      <c r="F131" s="7">
        <v>-84000000</v>
      </c>
      <c r="G131" s="66"/>
      <c r="H131" s="10"/>
      <c r="I131" s="7" t="b">
        <f>IF(FINANCIACION[[#This Row],[$ CAPITAL]]&gt;0,FINANCIACION[[#This Row],[$ CAPITAL]])</f>
        <v>0</v>
      </c>
      <c r="J131" s="41">
        <f>IF(FINANCIACION[[#This Row],[$ CAPITAL]]&gt;=0,FINANCIACION[[#This Row],[$ CAPITAL]]+FINANCIACION[[#This Row],[$ INTERESES]],0)</f>
        <v>840000</v>
      </c>
    </row>
    <row r="132" spans="1:10" ht="24" hidden="1" customHeight="1" x14ac:dyDescent="0.3">
      <c r="A132" s="9">
        <v>43799</v>
      </c>
      <c r="B132" s="63" t="s">
        <v>1225</v>
      </c>
      <c r="C132" s="7">
        <v>104672.72000000067</v>
      </c>
      <c r="D132" s="7"/>
      <c r="E132" s="7">
        <v>104672.72000000067</v>
      </c>
      <c r="F132" s="7">
        <v>-31196366.670000002</v>
      </c>
      <c r="G132" s="10"/>
      <c r="H132" s="10"/>
      <c r="I132" s="7">
        <f>IF(FINANCIACION[[#This Row],[$ CAPITAL]]&gt;0,FINANCIACION[[#This Row],[$ CAPITAL]])</f>
        <v>104672.72000000067</v>
      </c>
      <c r="J132" s="41">
        <f>IF(FINANCIACION[[#This Row],[$ CAPITAL]]&gt;=0,FINANCIACION[[#This Row],[$ CAPITAL]]+FINANCIACION[[#This Row],[$ INTERESES]],0)</f>
        <v>104672.72000000067</v>
      </c>
    </row>
    <row r="133" spans="1:10" ht="24" hidden="1" customHeight="1" x14ac:dyDescent="0.3">
      <c r="A133" s="9">
        <v>43801</v>
      </c>
      <c r="B133" s="63" t="s">
        <v>1225</v>
      </c>
      <c r="C133" s="7">
        <v>2000000</v>
      </c>
      <c r="D133" s="7"/>
      <c r="E133" s="7">
        <v>2000000</v>
      </c>
      <c r="F133" s="7">
        <v>-26683131.670000002</v>
      </c>
      <c r="G133" s="10"/>
      <c r="H133" s="10"/>
      <c r="I133" s="7">
        <f>IF(FINANCIACION[[#This Row],[$ CAPITAL]]&gt;0,FINANCIACION[[#This Row],[$ CAPITAL]])</f>
        <v>2000000</v>
      </c>
      <c r="J133" s="41">
        <f>IF(FINANCIACION[[#This Row],[$ CAPITAL]]&gt;=0,FINANCIACION[[#This Row],[$ CAPITAL]]+FINANCIACION[[#This Row],[$ INTERESES]],0)</f>
        <v>2000000</v>
      </c>
    </row>
    <row r="134" spans="1:10" ht="24" hidden="1" customHeight="1" x14ac:dyDescent="0.3">
      <c r="A134" s="9">
        <v>43801</v>
      </c>
      <c r="B134" s="63" t="s">
        <v>1225</v>
      </c>
      <c r="C134" s="7">
        <v>2513235</v>
      </c>
      <c r="D134" s="7"/>
      <c r="E134" s="7">
        <v>2513235</v>
      </c>
      <c r="F134" s="7">
        <v>-26683131.670000002</v>
      </c>
      <c r="G134" s="10"/>
      <c r="H134" s="66"/>
      <c r="I134" s="7">
        <f>IF(FINANCIACION[[#This Row],[$ CAPITAL]]&gt;0,FINANCIACION[[#This Row],[$ CAPITAL]])</f>
        <v>2513235</v>
      </c>
      <c r="J134" s="11">
        <f>IF(FINANCIACION[[#This Row],[$ CAPITAL]]&gt;=0,FINANCIACION[[#This Row],[$ CAPITAL]]+FINANCIACION[[#This Row],[$ INTERESES]],0)</f>
        <v>2513235</v>
      </c>
    </row>
    <row r="135" spans="1:10" ht="24" hidden="1" customHeight="1" x14ac:dyDescent="0.3">
      <c r="A135" s="9">
        <v>43802</v>
      </c>
      <c r="B135" s="63" t="s">
        <v>196</v>
      </c>
      <c r="C135" s="7">
        <v>3472222</v>
      </c>
      <c r="D135" s="7">
        <v>979318</v>
      </c>
      <c r="E135" s="7">
        <v>4451540</v>
      </c>
      <c r="F135" s="7">
        <v>-86805558</v>
      </c>
      <c r="G135" s="66"/>
      <c r="H135" s="10"/>
      <c r="I135" s="7">
        <f>IF(FINANCIACION[[#This Row],[$ CAPITAL]]&gt;0,FINANCIACION[[#This Row],[$ CAPITAL]])</f>
        <v>3472222</v>
      </c>
      <c r="J135" s="41">
        <f>IF(FINANCIACION[[#This Row],[$ CAPITAL]]&gt;=0,FINANCIACION[[#This Row],[$ CAPITAL]]+FINANCIACION[[#This Row],[$ INTERESES]],0)</f>
        <v>4451540</v>
      </c>
    </row>
    <row r="136" spans="1:10" ht="24" hidden="1" customHeight="1" x14ac:dyDescent="0.3">
      <c r="A136" s="9">
        <v>43802</v>
      </c>
      <c r="B136" s="63" t="s">
        <v>1225</v>
      </c>
      <c r="C136" s="7">
        <v>-1222427.73</v>
      </c>
      <c r="D136" s="7"/>
      <c r="E136" s="7" t="s">
        <v>146</v>
      </c>
      <c r="F136" s="7">
        <v>-19405559.400000002</v>
      </c>
      <c r="G136" s="66"/>
      <c r="H136" s="10"/>
      <c r="I136" s="7" t="b">
        <f>IF(FINANCIACION[[#This Row],[$ CAPITAL]]&gt;0,FINANCIACION[[#This Row],[$ CAPITAL]])</f>
        <v>0</v>
      </c>
      <c r="J136" s="41">
        <f>IF(FINANCIACION[[#This Row],[$ CAPITAL]]&gt;=0,FINANCIACION[[#This Row],[$ CAPITAL]]+FINANCIACION[[#This Row],[$ INTERESES]],0)</f>
        <v>0</v>
      </c>
    </row>
    <row r="137" spans="1:10" ht="24" hidden="1" customHeight="1" x14ac:dyDescent="0.3">
      <c r="A137" s="9">
        <v>43802</v>
      </c>
      <c r="B137" s="63" t="s">
        <v>1225</v>
      </c>
      <c r="C137" s="7">
        <v>8500000</v>
      </c>
      <c r="D137" s="7"/>
      <c r="E137" s="7">
        <v>8500000</v>
      </c>
      <c r="F137" s="7">
        <v>-19405559.400000002</v>
      </c>
      <c r="G137" s="66"/>
      <c r="H137" s="10"/>
      <c r="I137" s="7">
        <f>IF(FINANCIACION[[#This Row],[$ CAPITAL]]&gt;0,FINANCIACION[[#This Row],[$ CAPITAL]])</f>
        <v>8500000</v>
      </c>
      <c r="J137" s="41">
        <f>IF(FINANCIACION[[#This Row],[$ CAPITAL]]&gt;=0,FINANCIACION[[#This Row],[$ CAPITAL]]+FINANCIACION[[#This Row],[$ INTERESES]],0)</f>
        <v>8500000</v>
      </c>
    </row>
    <row r="138" spans="1:10" ht="24" hidden="1" customHeight="1" x14ac:dyDescent="0.3">
      <c r="A138" s="9">
        <v>43803</v>
      </c>
      <c r="B138" s="63" t="s">
        <v>1225</v>
      </c>
      <c r="C138" s="7">
        <v>2500000</v>
      </c>
      <c r="D138" s="7">
        <v>411308.33000000007</v>
      </c>
      <c r="E138" s="7">
        <v>2911308.33</v>
      </c>
      <c r="F138" s="7">
        <v>-17478237.280000001</v>
      </c>
      <c r="G138" s="66"/>
      <c r="H138" s="10"/>
      <c r="I138" s="7">
        <f>IF(FINANCIACION[[#This Row],[$ CAPITAL]]&gt;0,FINANCIACION[[#This Row],[$ CAPITAL]])</f>
        <v>2500000</v>
      </c>
      <c r="J138" s="41">
        <f>IF(FINANCIACION[[#This Row],[$ CAPITAL]]&gt;=0,FINANCIACION[[#This Row],[$ CAPITAL]]+FINANCIACION[[#This Row],[$ INTERESES]],0)</f>
        <v>2911308.33</v>
      </c>
    </row>
    <row r="139" spans="1:10" ht="24" hidden="1" customHeight="1" x14ac:dyDescent="0.3">
      <c r="A139" s="9">
        <v>43803</v>
      </c>
      <c r="B139" s="63" t="s">
        <v>1225</v>
      </c>
      <c r="C139" s="7">
        <v>-572677.88</v>
      </c>
      <c r="D139" s="7"/>
      <c r="E139" s="7" t="s">
        <v>146</v>
      </c>
      <c r="F139" s="7">
        <v>-17478237.280000001</v>
      </c>
      <c r="G139" s="66"/>
      <c r="H139" s="10"/>
      <c r="I139" s="7" t="b">
        <f>IF(FINANCIACION[[#This Row],[$ CAPITAL]]&gt;0,FINANCIACION[[#This Row],[$ CAPITAL]])</f>
        <v>0</v>
      </c>
      <c r="J139" s="41">
        <f>IF(FINANCIACION[[#This Row],[$ CAPITAL]]&gt;=0,FINANCIACION[[#This Row],[$ CAPITAL]]+FINANCIACION[[#This Row],[$ INTERESES]],0)</f>
        <v>0</v>
      </c>
    </row>
    <row r="140" spans="1:10" ht="24" hidden="1" customHeight="1" x14ac:dyDescent="0.3">
      <c r="A140" s="9">
        <v>43804</v>
      </c>
      <c r="B140" s="63" t="s">
        <v>1225</v>
      </c>
      <c r="C140" s="7">
        <v>-961006.19</v>
      </c>
      <c r="D140" s="7"/>
      <c r="E140" s="7" t="s">
        <v>146</v>
      </c>
      <c r="F140" s="7">
        <v>-18439243.470000003</v>
      </c>
      <c r="G140" s="66"/>
      <c r="H140" s="10"/>
      <c r="I140" s="7" t="b">
        <f>IF(FINANCIACION[[#This Row],[$ CAPITAL]]&gt;0,FINANCIACION[[#This Row],[$ CAPITAL]])</f>
        <v>0</v>
      </c>
      <c r="J140" s="41">
        <f>IF(FINANCIACION[[#This Row],[$ CAPITAL]]&gt;=0,FINANCIACION[[#This Row],[$ CAPITAL]]+FINANCIACION[[#This Row],[$ INTERESES]],0)</f>
        <v>0</v>
      </c>
    </row>
    <row r="141" spans="1:10" ht="24" hidden="1" customHeight="1" x14ac:dyDescent="0.3">
      <c r="A141" s="9">
        <v>43805</v>
      </c>
      <c r="B141" s="63" t="s">
        <v>1223</v>
      </c>
      <c r="C141" s="7">
        <v>-9000000</v>
      </c>
      <c r="D141" s="7"/>
      <c r="E141" s="7" t="s">
        <v>146</v>
      </c>
      <c r="F141" s="7">
        <v>-67769154</v>
      </c>
      <c r="G141" s="66"/>
      <c r="H141" s="10"/>
      <c r="I141" s="7" t="b">
        <f>IF(FINANCIACION[[#This Row],[$ CAPITAL]]&gt;0,FINANCIACION[[#This Row],[$ CAPITAL]])</f>
        <v>0</v>
      </c>
      <c r="J141" s="41">
        <f>IF(FINANCIACION[[#This Row],[$ CAPITAL]]&gt;=0,FINANCIACION[[#This Row],[$ CAPITAL]]+FINANCIACION[[#This Row],[$ INTERESES]],0)</f>
        <v>0</v>
      </c>
    </row>
    <row r="142" spans="1:10" ht="24" hidden="1" customHeight="1" x14ac:dyDescent="0.3">
      <c r="A142" s="9">
        <v>43805</v>
      </c>
      <c r="B142" s="63" t="s">
        <v>199</v>
      </c>
      <c r="C142" s="7">
        <v>-31250000</v>
      </c>
      <c r="D142" s="7"/>
      <c r="E142" s="7" t="s">
        <v>146</v>
      </c>
      <c r="F142" s="7">
        <v>-150000000</v>
      </c>
      <c r="G142" s="66"/>
      <c r="H142" s="10"/>
      <c r="I142" s="7" t="b">
        <f>IF(FINANCIACION[[#This Row],[$ CAPITAL]]&gt;0,FINANCIACION[[#This Row],[$ CAPITAL]])</f>
        <v>0</v>
      </c>
      <c r="J142" s="41">
        <f>IF(FINANCIACION[[#This Row],[$ CAPITAL]]&gt;=0,FINANCIACION[[#This Row],[$ CAPITAL]]+FINANCIACION[[#This Row],[$ INTERESES]],0)</f>
        <v>0</v>
      </c>
    </row>
    <row r="143" spans="1:10" ht="24" hidden="1" customHeight="1" x14ac:dyDescent="0.3">
      <c r="A143" s="9">
        <v>43805</v>
      </c>
      <c r="B143" s="63" t="s">
        <v>1225</v>
      </c>
      <c r="C143" s="7">
        <v>-87634.19</v>
      </c>
      <c r="D143" s="7"/>
      <c r="E143" s="7" t="s">
        <v>146</v>
      </c>
      <c r="F143" s="7">
        <v>-18526877.660000004</v>
      </c>
      <c r="G143" s="10"/>
      <c r="H143" s="10"/>
      <c r="I143" s="7" t="b">
        <f>IF(FINANCIACION[[#This Row],[$ CAPITAL]]&gt;0,FINANCIACION[[#This Row],[$ CAPITAL]])</f>
        <v>0</v>
      </c>
      <c r="J143" s="41">
        <f>IF(FINANCIACION[[#This Row],[$ CAPITAL]]&gt;=0,FINANCIACION[[#This Row],[$ CAPITAL]]+FINANCIACION[[#This Row],[$ INTERESES]],0)</f>
        <v>0</v>
      </c>
    </row>
    <row r="144" spans="1:10" ht="24" hidden="1" customHeight="1" x14ac:dyDescent="0.3">
      <c r="A144" s="9">
        <v>43809</v>
      </c>
      <c r="B144" s="63" t="s">
        <v>1222</v>
      </c>
      <c r="C144" s="7"/>
      <c r="D144" s="7">
        <v>950000</v>
      </c>
      <c r="E144" s="7">
        <v>950000</v>
      </c>
      <c r="F144" s="7">
        <v>-94935167</v>
      </c>
      <c r="G144" s="10"/>
      <c r="H144" s="10"/>
      <c r="I144" s="7" t="b">
        <f>IF(FINANCIACION[[#This Row],[$ CAPITAL]]&gt;0,FINANCIACION[[#This Row],[$ CAPITAL]])</f>
        <v>0</v>
      </c>
      <c r="J144" s="41">
        <f>IF(FINANCIACION[[#This Row],[$ CAPITAL]]&gt;=0,FINANCIACION[[#This Row],[$ CAPITAL]]+FINANCIACION[[#This Row],[$ INTERESES]],0)</f>
        <v>950000</v>
      </c>
    </row>
    <row r="145" spans="1:10" ht="24" hidden="1" customHeight="1" x14ac:dyDescent="0.3">
      <c r="A145" s="9">
        <v>43809</v>
      </c>
      <c r="B145" s="63" t="s">
        <v>196</v>
      </c>
      <c r="C145" s="7">
        <v>42000000</v>
      </c>
      <c r="D145" s="7"/>
      <c r="E145" s="7">
        <v>42000000</v>
      </c>
      <c r="F145" s="7">
        <v>-44805558</v>
      </c>
      <c r="G145" s="10"/>
      <c r="H145" s="10"/>
      <c r="I145" s="7">
        <f>IF(FINANCIACION[[#This Row],[$ CAPITAL]]&gt;0,FINANCIACION[[#This Row],[$ CAPITAL]])</f>
        <v>42000000</v>
      </c>
      <c r="J145" s="41">
        <f>IF(FINANCIACION[[#This Row],[$ CAPITAL]]&gt;=0,FINANCIACION[[#This Row],[$ CAPITAL]]+FINANCIACION[[#This Row],[$ INTERESES]],0)</f>
        <v>42000000</v>
      </c>
    </row>
    <row r="146" spans="1:10" ht="24" hidden="1" customHeight="1" x14ac:dyDescent="0.3">
      <c r="A146" s="9">
        <v>43809</v>
      </c>
      <c r="B146" s="63" t="s">
        <v>1225</v>
      </c>
      <c r="C146" s="7">
        <v>-875903.97</v>
      </c>
      <c r="D146" s="7"/>
      <c r="E146" s="7" t="s">
        <v>146</v>
      </c>
      <c r="F146" s="7">
        <v>-24930475.09</v>
      </c>
      <c r="G146" s="10"/>
      <c r="H146" s="10"/>
      <c r="I146" s="7" t="b">
        <f>IF(FINANCIACION[[#This Row],[$ CAPITAL]]&gt;0,FINANCIACION[[#This Row],[$ CAPITAL]])</f>
        <v>0</v>
      </c>
      <c r="J146" s="41">
        <f>IF(FINANCIACION[[#This Row],[$ CAPITAL]]&gt;=0,FINANCIACION[[#This Row],[$ CAPITAL]]+FINANCIACION[[#This Row],[$ INTERESES]],0)</f>
        <v>0</v>
      </c>
    </row>
    <row r="147" spans="1:10" ht="24" hidden="1" customHeight="1" x14ac:dyDescent="0.3">
      <c r="A147" s="9">
        <v>43809</v>
      </c>
      <c r="B147" s="63" t="s">
        <v>1225</v>
      </c>
      <c r="C147" s="7">
        <v>-322754.74</v>
      </c>
      <c r="D147" s="7"/>
      <c r="E147" s="7" t="s">
        <v>146</v>
      </c>
      <c r="F147" s="7">
        <v>-24930475.09</v>
      </c>
      <c r="G147" s="10"/>
      <c r="H147" s="10"/>
      <c r="I147" s="7" t="b">
        <f>IF(FINANCIACION[[#This Row],[$ CAPITAL]]&gt;0,FINANCIACION[[#This Row],[$ CAPITAL]])</f>
        <v>0</v>
      </c>
      <c r="J147" s="41">
        <f>IF(FINANCIACION[[#This Row],[$ CAPITAL]]&gt;=0,FINANCIACION[[#This Row],[$ CAPITAL]]+FINANCIACION[[#This Row],[$ INTERESES]],0)</f>
        <v>0</v>
      </c>
    </row>
    <row r="148" spans="1:10" ht="24" hidden="1" customHeight="1" x14ac:dyDescent="0.3">
      <c r="A148" s="9">
        <v>43809</v>
      </c>
      <c r="B148" s="63" t="s">
        <v>1225</v>
      </c>
      <c r="C148" s="7">
        <v>-69021.289999999994</v>
      </c>
      <c r="D148" s="7"/>
      <c r="E148" s="7" t="s">
        <v>146</v>
      </c>
      <c r="F148" s="7">
        <v>-24930475.09</v>
      </c>
      <c r="G148" s="10"/>
      <c r="H148" s="10"/>
      <c r="I148" s="7" t="b">
        <f>IF(FINANCIACION[[#This Row],[$ CAPITAL]]&gt;0,FINANCIACION[[#This Row],[$ CAPITAL]])</f>
        <v>0</v>
      </c>
      <c r="J148" s="41">
        <f>IF(FINANCIACION[[#This Row],[$ CAPITAL]]&gt;=0,FINANCIACION[[#This Row],[$ CAPITAL]]+FINANCIACION[[#This Row],[$ INTERESES]],0)</f>
        <v>0</v>
      </c>
    </row>
    <row r="149" spans="1:10" ht="24" hidden="1" customHeight="1" x14ac:dyDescent="0.3">
      <c r="A149" s="9">
        <v>43809</v>
      </c>
      <c r="B149" s="63" t="s">
        <v>1225</v>
      </c>
      <c r="C149" s="7">
        <v>-82794.81</v>
      </c>
      <c r="D149" s="7"/>
      <c r="E149" s="7" t="s">
        <v>146</v>
      </c>
      <c r="F149" s="7">
        <v>-24930475.09</v>
      </c>
      <c r="G149" s="10"/>
      <c r="H149" s="10"/>
      <c r="I149" s="7" t="b">
        <f>IF(FINANCIACION[[#This Row],[$ CAPITAL]]&gt;0,FINANCIACION[[#This Row],[$ CAPITAL]])</f>
        <v>0</v>
      </c>
      <c r="J149" s="41">
        <f>IF(FINANCIACION[[#This Row],[$ CAPITAL]]&gt;=0,FINANCIACION[[#This Row],[$ CAPITAL]]+FINANCIACION[[#This Row],[$ INTERESES]],0)</f>
        <v>0</v>
      </c>
    </row>
    <row r="150" spans="1:10" ht="24" hidden="1" customHeight="1" x14ac:dyDescent="0.3">
      <c r="A150" s="9">
        <v>43809</v>
      </c>
      <c r="B150" s="63" t="s">
        <v>1225</v>
      </c>
      <c r="C150" s="7">
        <v>-57245.120000000003</v>
      </c>
      <c r="D150" s="7"/>
      <c r="E150" s="7" t="s">
        <v>146</v>
      </c>
      <c r="F150" s="7">
        <v>-24930475.09</v>
      </c>
      <c r="G150" s="10"/>
      <c r="H150" s="10"/>
      <c r="I150" s="7" t="b">
        <f>IF(FINANCIACION[[#This Row],[$ CAPITAL]]&gt;0,FINANCIACION[[#This Row],[$ CAPITAL]])</f>
        <v>0</v>
      </c>
      <c r="J150" s="41">
        <f>IF(FINANCIACION[[#This Row],[$ CAPITAL]]&gt;=0,FINANCIACION[[#This Row],[$ CAPITAL]]+FINANCIACION[[#This Row],[$ INTERESES]],0)</f>
        <v>0</v>
      </c>
    </row>
    <row r="151" spans="1:10" ht="24" hidden="1" customHeight="1" x14ac:dyDescent="0.3">
      <c r="A151" s="9">
        <v>43809</v>
      </c>
      <c r="B151" s="63" t="s">
        <v>1225</v>
      </c>
      <c r="C151" s="7">
        <v>-4995877.5</v>
      </c>
      <c r="D151" s="7"/>
      <c r="E151" s="7" t="s">
        <v>146</v>
      </c>
      <c r="F151" s="7">
        <v>-24930475.09</v>
      </c>
      <c r="G151" s="10"/>
      <c r="H151" s="10"/>
      <c r="I151" s="7" t="b">
        <f>IF(FINANCIACION[[#This Row],[$ CAPITAL]]&gt;0,FINANCIACION[[#This Row],[$ CAPITAL]])</f>
        <v>0</v>
      </c>
      <c r="J151" s="41">
        <f>IF(FINANCIACION[[#This Row],[$ CAPITAL]]&gt;=0,FINANCIACION[[#This Row],[$ CAPITAL]]+FINANCIACION[[#This Row],[$ INTERESES]],0)</f>
        <v>0</v>
      </c>
    </row>
    <row r="152" spans="1:10" ht="24" hidden="1" customHeight="1" x14ac:dyDescent="0.3">
      <c r="A152" s="9">
        <v>43810</v>
      </c>
      <c r="B152" s="63" t="s">
        <v>1225</v>
      </c>
      <c r="C152" s="7">
        <v>-6179068.2499999898</v>
      </c>
      <c r="D152" s="7"/>
      <c r="E152" s="7" t="s">
        <v>146</v>
      </c>
      <c r="F152" s="7">
        <v>-31109543.339999989</v>
      </c>
      <c r="G152" s="10"/>
      <c r="H152" s="10"/>
      <c r="I152" s="7" t="b">
        <f>IF(FINANCIACION[[#This Row],[$ CAPITAL]]&gt;0,FINANCIACION[[#This Row],[$ CAPITAL]])</f>
        <v>0</v>
      </c>
      <c r="J152" s="41">
        <f>IF(FINANCIACION[[#This Row],[$ CAPITAL]]&gt;=0,FINANCIACION[[#This Row],[$ CAPITAL]]+FINANCIACION[[#This Row],[$ INTERESES]],0)</f>
        <v>0</v>
      </c>
    </row>
    <row r="153" spans="1:10" ht="24" hidden="1" customHeight="1" x14ac:dyDescent="0.3">
      <c r="A153" s="9">
        <v>43811</v>
      </c>
      <c r="B153" s="63" t="s">
        <v>1225</v>
      </c>
      <c r="C153" s="7">
        <v>7000000</v>
      </c>
      <c r="D153" s="7"/>
      <c r="E153" s="7">
        <v>7000000</v>
      </c>
      <c r="F153" s="7">
        <v>-29858218.229999989</v>
      </c>
      <c r="G153" s="10"/>
      <c r="H153" s="10"/>
      <c r="I153" s="7">
        <f>IF(FINANCIACION[[#This Row],[$ CAPITAL]]&gt;0,FINANCIACION[[#This Row],[$ CAPITAL]])</f>
        <v>7000000</v>
      </c>
      <c r="J153" s="41">
        <f>IF(FINANCIACION[[#This Row],[$ CAPITAL]]&gt;=0,FINANCIACION[[#This Row],[$ CAPITAL]]+FINANCIACION[[#This Row],[$ INTERESES]],0)</f>
        <v>7000000</v>
      </c>
    </row>
    <row r="154" spans="1:10" ht="24" hidden="1" customHeight="1" x14ac:dyDescent="0.3">
      <c r="A154" s="9">
        <v>43811</v>
      </c>
      <c r="B154" s="63" t="s">
        <v>1225</v>
      </c>
      <c r="C154" s="7">
        <v>-5748674.8899999997</v>
      </c>
      <c r="D154" s="7"/>
      <c r="E154" s="7" t="s">
        <v>146</v>
      </c>
      <c r="F154" s="7">
        <v>-29858218.229999989</v>
      </c>
      <c r="G154" s="10"/>
      <c r="H154" s="10"/>
      <c r="I154" s="7" t="b">
        <f>IF(FINANCIACION[[#This Row],[$ CAPITAL]]&gt;0,FINANCIACION[[#This Row],[$ CAPITAL]])</f>
        <v>0</v>
      </c>
      <c r="J154" s="41">
        <f>IF(FINANCIACION[[#This Row],[$ CAPITAL]]&gt;=0,FINANCIACION[[#This Row],[$ CAPITAL]]+FINANCIACION[[#This Row],[$ INTERESES]],0)</f>
        <v>0</v>
      </c>
    </row>
    <row r="155" spans="1:10" ht="24" hidden="1" customHeight="1" x14ac:dyDescent="0.3">
      <c r="A155" s="9">
        <v>43817</v>
      </c>
      <c r="B155" s="63" t="s">
        <v>1224</v>
      </c>
      <c r="C155" s="7">
        <v>1459836.82424242</v>
      </c>
      <c r="D155" s="7">
        <v>4622000.1757575795</v>
      </c>
      <c r="E155" s="7">
        <v>6081837</v>
      </c>
      <c r="F155" s="7">
        <v>-364664636.54090905</v>
      </c>
      <c r="G155" s="10"/>
      <c r="H155" s="10"/>
      <c r="I155" s="7">
        <f>IF(FINANCIACION[[#This Row],[$ CAPITAL]]&gt;0,FINANCIACION[[#This Row],[$ CAPITAL]])</f>
        <v>1459836.82424242</v>
      </c>
      <c r="J155" s="41">
        <f>IF(FINANCIACION[[#This Row],[$ CAPITAL]]&gt;=0,FINANCIACION[[#This Row],[$ CAPITAL]]+FINANCIACION[[#This Row],[$ INTERESES]],0)</f>
        <v>6081837</v>
      </c>
    </row>
    <row r="156" spans="1:10" ht="24" hidden="1" customHeight="1" x14ac:dyDescent="0.3">
      <c r="A156" s="9">
        <v>43819</v>
      </c>
      <c r="B156" s="63" t="s">
        <v>1223</v>
      </c>
      <c r="C156" s="7">
        <v>260000</v>
      </c>
      <c r="D156" s="7">
        <v>740000</v>
      </c>
      <c r="E156" s="7">
        <v>1000000</v>
      </c>
      <c r="F156" s="7">
        <v>-67509154</v>
      </c>
      <c r="G156" s="10"/>
      <c r="H156" s="10"/>
      <c r="I156" s="7">
        <f>IF(FINANCIACION[[#This Row],[$ CAPITAL]]&gt;0,FINANCIACION[[#This Row],[$ CAPITAL]])</f>
        <v>260000</v>
      </c>
      <c r="J156" s="41">
        <f>IF(FINANCIACION[[#This Row],[$ CAPITAL]]&gt;=0,FINANCIACION[[#This Row],[$ CAPITAL]]+FINANCIACION[[#This Row],[$ INTERESES]],0)</f>
        <v>1000000</v>
      </c>
    </row>
    <row r="157" spans="1:10" ht="24" hidden="1" customHeight="1" x14ac:dyDescent="0.3">
      <c r="A157" s="9">
        <v>43822</v>
      </c>
      <c r="B157" s="63" t="s">
        <v>1225</v>
      </c>
      <c r="C157" s="7">
        <v>3000000</v>
      </c>
      <c r="D157" s="7"/>
      <c r="E157" s="7">
        <v>3000000</v>
      </c>
      <c r="F157" s="7">
        <v>-20307307.229999989</v>
      </c>
      <c r="G157" s="10"/>
      <c r="H157" s="10"/>
      <c r="I157" s="7">
        <f>IF(FINANCIACION[[#This Row],[$ CAPITAL]]&gt;0,FINANCIACION[[#This Row],[$ CAPITAL]])</f>
        <v>3000000</v>
      </c>
      <c r="J157" s="41">
        <f>IF(FINANCIACION[[#This Row],[$ CAPITAL]]&gt;=0,FINANCIACION[[#This Row],[$ CAPITAL]]+FINANCIACION[[#This Row],[$ INTERESES]],0)</f>
        <v>3000000</v>
      </c>
    </row>
    <row r="158" spans="1:10" ht="24" hidden="1" customHeight="1" x14ac:dyDescent="0.3">
      <c r="A158" s="9">
        <v>43822</v>
      </c>
      <c r="B158" s="63" t="s">
        <v>1225</v>
      </c>
      <c r="C158" s="7">
        <v>7000000</v>
      </c>
      <c r="D158" s="7"/>
      <c r="E158" s="7">
        <v>7000000</v>
      </c>
      <c r="F158" s="7">
        <v>-20307307.229999989</v>
      </c>
      <c r="G158" s="10"/>
      <c r="H158" s="10"/>
      <c r="I158" s="7">
        <f>IF(FINANCIACION[[#This Row],[$ CAPITAL]]&gt;0,FINANCIACION[[#This Row],[$ CAPITAL]])</f>
        <v>7000000</v>
      </c>
      <c r="J158" s="41">
        <f>IF(FINANCIACION[[#This Row],[$ CAPITAL]]&gt;=0,FINANCIACION[[#This Row],[$ CAPITAL]]+FINANCIACION[[#This Row],[$ INTERESES]],0)</f>
        <v>7000000</v>
      </c>
    </row>
    <row r="159" spans="1:10" ht="24" hidden="1" customHeight="1" x14ac:dyDescent="0.3">
      <c r="A159" s="9">
        <v>43822</v>
      </c>
      <c r="B159" s="63" t="s">
        <v>1225</v>
      </c>
      <c r="C159" s="7">
        <v>1307962</v>
      </c>
      <c r="D159" s="7"/>
      <c r="E159" s="7">
        <v>1307962</v>
      </c>
      <c r="F159" s="7">
        <v>-20307307.229999989</v>
      </c>
      <c r="G159" s="10"/>
      <c r="H159" s="10"/>
      <c r="I159" s="7">
        <f>IF(FINANCIACION[[#This Row],[$ CAPITAL]]&gt;0,FINANCIACION[[#This Row],[$ CAPITAL]])</f>
        <v>1307962</v>
      </c>
      <c r="J159" s="41">
        <f>IF(FINANCIACION[[#This Row],[$ CAPITAL]]&gt;=0,FINANCIACION[[#This Row],[$ CAPITAL]]+FINANCIACION[[#This Row],[$ INTERESES]],0)</f>
        <v>1307962</v>
      </c>
    </row>
    <row r="160" spans="1:10" ht="24" hidden="1" customHeight="1" x14ac:dyDescent="0.3">
      <c r="A160" s="9">
        <v>43822</v>
      </c>
      <c r="B160" s="63" t="s">
        <v>1225</v>
      </c>
      <c r="C160" s="7">
        <v>-1757051</v>
      </c>
      <c r="D160" s="7"/>
      <c r="E160" s="7" t="s">
        <v>146</v>
      </c>
      <c r="F160" s="7">
        <v>-20307307.229999989</v>
      </c>
      <c r="G160" s="10"/>
      <c r="H160" s="10"/>
      <c r="I160" s="7" t="b">
        <f>IF(FINANCIACION[[#This Row],[$ CAPITAL]]&gt;0,FINANCIACION[[#This Row],[$ CAPITAL]])</f>
        <v>0</v>
      </c>
      <c r="J160" s="41">
        <f>IF(FINANCIACION[[#This Row],[$ CAPITAL]]&gt;=0,FINANCIACION[[#This Row],[$ CAPITAL]]+FINANCIACION[[#This Row],[$ INTERESES]],0)</f>
        <v>0</v>
      </c>
    </row>
    <row r="161" spans="1:10" ht="24" hidden="1" customHeight="1" x14ac:dyDescent="0.3">
      <c r="A161" s="9">
        <v>43825</v>
      </c>
      <c r="B161" s="63" t="s">
        <v>195</v>
      </c>
      <c r="C161" s="7">
        <v>1250000</v>
      </c>
      <c r="D161" s="7">
        <v>260739</v>
      </c>
      <c r="E161" s="7">
        <v>1510739</v>
      </c>
      <c r="F161" s="7">
        <v>-20000000</v>
      </c>
      <c r="G161" s="10"/>
      <c r="H161" s="10"/>
      <c r="I161" s="7">
        <f>IF(FINANCIACION[[#This Row],[$ CAPITAL]]&gt;0,FINANCIACION[[#This Row],[$ CAPITAL]])</f>
        <v>1250000</v>
      </c>
      <c r="J161" s="41">
        <f>IF(FINANCIACION[[#This Row],[$ CAPITAL]]&gt;=0,FINANCIACION[[#This Row],[$ CAPITAL]]+FINANCIACION[[#This Row],[$ INTERESES]],0)</f>
        <v>1510739</v>
      </c>
    </row>
    <row r="162" spans="1:10" ht="24" hidden="1" customHeight="1" x14ac:dyDescent="0.3">
      <c r="A162" s="9">
        <v>43825</v>
      </c>
      <c r="B162" s="63" t="s">
        <v>1225</v>
      </c>
      <c r="C162" s="7">
        <v>1393603</v>
      </c>
      <c r="D162" s="7"/>
      <c r="E162" s="7">
        <v>1393603</v>
      </c>
      <c r="F162" s="7">
        <v>-10323014.229999989</v>
      </c>
      <c r="G162" s="10"/>
      <c r="H162" s="10"/>
      <c r="I162" s="7">
        <f>IF(FINANCIACION[[#This Row],[$ CAPITAL]]&gt;0,FINANCIACION[[#This Row],[$ CAPITAL]])</f>
        <v>1393603</v>
      </c>
      <c r="J162" s="41">
        <f>IF(FINANCIACION[[#This Row],[$ CAPITAL]]&gt;=0,FINANCIACION[[#This Row],[$ CAPITAL]]+FINANCIACION[[#This Row],[$ INTERESES]],0)</f>
        <v>1393603</v>
      </c>
    </row>
    <row r="163" spans="1:10" ht="24" hidden="1" customHeight="1" x14ac:dyDescent="0.3">
      <c r="A163" s="9">
        <v>43825</v>
      </c>
      <c r="B163" s="63" t="s">
        <v>1225</v>
      </c>
      <c r="C163" s="7">
        <v>8590690</v>
      </c>
      <c r="D163" s="7"/>
      <c r="E163" s="7">
        <v>8590690</v>
      </c>
      <c r="F163" s="7">
        <v>-10323014.229999989</v>
      </c>
      <c r="G163" s="10"/>
      <c r="H163" s="10"/>
      <c r="I163" s="7">
        <f>IF(FINANCIACION[[#This Row],[$ CAPITAL]]&gt;0,FINANCIACION[[#This Row],[$ CAPITAL]])</f>
        <v>8590690</v>
      </c>
      <c r="J163" s="41">
        <f>IF(FINANCIACION[[#This Row],[$ CAPITAL]]&gt;=0,FINANCIACION[[#This Row],[$ CAPITAL]]+FINANCIACION[[#This Row],[$ INTERESES]],0)</f>
        <v>8590690</v>
      </c>
    </row>
    <row r="164" spans="1:10" ht="24" hidden="1" customHeight="1" x14ac:dyDescent="0.3">
      <c r="A164" s="9">
        <v>43829</v>
      </c>
      <c r="B164" s="63" t="s">
        <v>1226</v>
      </c>
      <c r="C164" s="7"/>
      <c r="D164" s="7">
        <v>840000</v>
      </c>
      <c r="E164" s="7">
        <v>840000</v>
      </c>
      <c r="F164" s="7">
        <v>-84000000</v>
      </c>
      <c r="G164" s="10"/>
      <c r="H164" s="10"/>
      <c r="I164" s="7" t="b">
        <f>IF(FINANCIACION[[#This Row],[$ CAPITAL]]&gt;0,FINANCIACION[[#This Row],[$ CAPITAL]])</f>
        <v>0</v>
      </c>
      <c r="J164" s="41">
        <f>IF(FINANCIACION[[#This Row],[$ CAPITAL]]&gt;=0,FINANCIACION[[#This Row],[$ CAPITAL]]+FINANCIACION[[#This Row],[$ INTERESES]],0)</f>
        <v>840000</v>
      </c>
    </row>
    <row r="165" spans="1:10" ht="24" hidden="1" customHeight="1" x14ac:dyDescent="0.3">
      <c r="A165" s="9">
        <v>43830</v>
      </c>
      <c r="B165" s="63" t="s">
        <v>1224</v>
      </c>
      <c r="C165" s="7">
        <v>-24464288.602231398</v>
      </c>
      <c r="D165" s="7"/>
      <c r="E165" s="7" t="s">
        <v>146</v>
      </c>
      <c r="F165" s="7">
        <v>-389128925.14314044</v>
      </c>
      <c r="G165" s="10"/>
      <c r="H165" s="10"/>
      <c r="I165" s="7" t="b">
        <f>IF(FINANCIACION[[#This Row],[$ CAPITAL]]&gt;0,FINANCIACION[[#This Row],[$ CAPITAL]])</f>
        <v>0</v>
      </c>
      <c r="J165" s="41">
        <f>IF(FINANCIACION[[#This Row],[$ CAPITAL]]&gt;=0,FINANCIACION[[#This Row],[$ CAPITAL]]+FINANCIACION[[#This Row],[$ INTERESES]],0)</f>
        <v>0</v>
      </c>
    </row>
    <row r="166" spans="1:10" ht="24" hidden="1" customHeight="1" x14ac:dyDescent="0.3">
      <c r="A166" s="9">
        <v>43830</v>
      </c>
      <c r="B166" s="63" t="s">
        <v>1225</v>
      </c>
      <c r="C166" s="7">
        <v>3100264.0500000007</v>
      </c>
      <c r="D166" s="7"/>
      <c r="E166" s="7">
        <v>3100264.0500000007</v>
      </c>
      <c r="F166" s="7">
        <v>-11040476.949999999</v>
      </c>
      <c r="G166" s="10"/>
      <c r="H166" s="66"/>
      <c r="I166" s="7">
        <f>IF(FINANCIACION[[#This Row],[$ CAPITAL]]&gt;0,FINANCIACION[[#This Row],[$ CAPITAL]])</f>
        <v>3100264.0500000007</v>
      </c>
      <c r="J166" s="11">
        <f>IF(FINANCIACION[[#This Row],[$ CAPITAL]]&gt;=0,FINANCIACION[[#This Row],[$ CAPITAL]]+FINANCIACION[[#This Row],[$ INTERESES]],0)</f>
        <v>3100264.0500000007</v>
      </c>
    </row>
    <row r="167" spans="1:10" ht="24" hidden="1" customHeight="1" x14ac:dyDescent="0.3">
      <c r="A167" s="9">
        <v>43830</v>
      </c>
      <c r="B167" s="63" t="s">
        <v>1225</v>
      </c>
      <c r="C167" s="7">
        <v>-534158</v>
      </c>
      <c r="D167" s="7"/>
      <c r="E167" s="7" t="s">
        <v>146</v>
      </c>
      <c r="F167" s="7">
        <v>-11040476.949999999</v>
      </c>
      <c r="G167" s="10"/>
      <c r="H167" s="66"/>
      <c r="I167" s="7" t="b">
        <f>IF(FINANCIACION[[#This Row],[$ CAPITAL]]&gt;0,FINANCIACION[[#This Row],[$ CAPITAL]])</f>
        <v>0</v>
      </c>
      <c r="J167" s="11">
        <f>IF(FINANCIACION[[#This Row],[$ CAPITAL]]&gt;=0,FINANCIACION[[#This Row],[$ CAPITAL]]+FINANCIACION[[#This Row],[$ INTERESES]],0)</f>
        <v>0</v>
      </c>
    </row>
    <row r="168" spans="1:10" ht="24" hidden="1" customHeight="1" x14ac:dyDescent="0.3">
      <c r="A168" s="9">
        <v>43830</v>
      </c>
      <c r="B168" s="63" t="s">
        <v>1225</v>
      </c>
      <c r="C168" s="7">
        <v>-3253321.7700000107</v>
      </c>
      <c r="D168" s="7"/>
      <c r="E168" s="7" t="s">
        <v>146</v>
      </c>
      <c r="F168" s="7">
        <v>-11040476.949999999</v>
      </c>
      <c r="G168" s="10"/>
      <c r="H168" s="66"/>
      <c r="I168" s="7" t="b">
        <f>IF(FINANCIACION[[#This Row],[$ CAPITAL]]&gt;0,FINANCIACION[[#This Row],[$ CAPITAL]])</f>
        <v>0</v>
      </c>
      <c r="J168" s="11">
        <f>IF(FINANCIACION[[#This Row],[$ CAPITAL]]&gt;=0,FINANCIACION[[#This Row],[$ CAPITAL]]+FINANCIACION[[#This Row],[$ INTERESES]],0)</f>
        <v>0</v>
      </c>
    </row>
    <row r="169" spans="1:10" ht="24" hidden="1" customHeight="1" x14ac:dyDescent="0.3">
      <c r="A169" s="9">
        <v>43830</v>
      </c>
      <c r="B169" s="63" t="s">
        <v>1225</v>
      </c>
      <c r="C169" s="7">
        <v>-30247</v>
      </c>
      <c r="D169" s="7"/>
      <c r="E169" s="7" t="s">
        <v>146</v>
      </c>
      <c r="F169" s="7">
        <v>-11040476.949999999</v>
      </c>
      <c r="G169" s="10"/>
      <c r="H169" s="66"/>
      <c r="I169" s="7" t="b">
        <f>IF(FINANCIACION[[#This Row],[$ CAPITAL]]&gt;0,FINANCIACION[[#This Row],[$ CAPITAL]])</f>
        <v>0</v>
      </c>
      <c r="J169" s="11">
        <f>IF(FINANCIACION[[#This Row],[$ CAPITAL]]&gt;=0,FINANCIACION[[#This Row],[$ CAPITAL]]+FINANCIACION[[#This Row],[$ INTERESES]],0)</f>
        <v>0</v>
      </c>
    </row>
    <row r="170" spans="1:10" ht="24" hidden="1" customHeight="1" x14ac:dyDescent="0.3">
      <c r="A170" s="9">
        <v>43836</v>
      </c>
      <c r="B170" s="63" t="s">
        <v>199</v>
      </c>
      <c r="C170" s="7">
        <v>6250000</v>
      </c>
      <c r="D170" s="7">
        <v>1309053.1200000001</v>
      </c>
      <c r="E170" s="7">
        <v>7559053.1200000001</v>
      </c>
      <c r="F170" s="7">
        <v>-143750000</v>
      </c>
      <c r="G170" s="10"/>
      <c r="H170" s="66"/>
      <c r="I170" s="7">
        <f>IF(FINANCIACION[[#This Row],[$ CAPITAL]]&gt;0,FINANCIACION[[#This Row],[$ CAPITAL]])</f>
        <v>6250000</v>
      </c>
      <c r="J170" s="11">
        <f>IF(FINANCIACION[[#This Row],[$ CAPITAL]]&gt;=0,FINANCIACION[[#This Row],[$ CAPITAL]]+FINANCIACION[[#This Row],[$ INTERESES]],0)</f>
        <v>7559053.1200000001</v>
      </c>
    </row>
    <row r="171" spans="1:10" ht="24" hidden="1" customHeight="1" x14ac:dyDescent="0.3">
      <c r="A171" s="9">
        <v>43837</v>
      </c>
      <c r="B171" s="63" t="s">
        <v>1225</v>
      </c>
      <c r="C171" s="7">
        <v>2500000</v>
      </c>
      <c r="D171" s="7">
        <v>381929.16999999993</v>
      </c>
      <c r="E171" s="7">
        <v>2881929.17</v>
      </c>
      <c r="F171" s="7">
        <v>-8619483.6999999993</v>
      </c>
      <c r="G171" s="66"/>
      <c r="H171" s="10"/>
      <c r="I171" s="7">
        <f>IF(FINANCIACION[[#This Row],[$ CAPITAL]]&gt;0,FINANCIACION[[#This Row],[$ CAPITAL]])</f>
        <v>2500000</v>
      </c>
      <c r="J171" s="41">
        <f>IF(FINANCIACION[[#This Row],[$ CAPITAL]]&gt;=0,FINANCIACION[[#This Row],[$ CAPITAL]]+FINANCIACION[[#This Row],[$ INTERESES]],0)</f>
        <v>2881929.17</v>
      </c>
    </row>
    <row r="172" spans="1:10" ht="24" hidden="1" customHeight="1" x14ac:dyDescent="0.3">
      <c r="A172" s="9">
        <v>43837</v>
      </c>
      <c r="B172" s="63" t="s">
        <v>1225</v>
      </c>
      <c r="C172" s="7">
        <v>-79006.75</v>
      </c>
      <c r="D172" s="7"/>
      <c r="E172" s="7" t="s">
        <v>146</v>
      </c>
      <c r="F172" s="7">
        <v>-8619483.6999999993</v>
      </c>
      <c r="G172" s="66"/>
      <c r="H172" s="10"/>
      <c r="I172" s="7" t="b">
        <f>IF(FINANCIACION[[#This Row],[$ CAPITAL]]&gt;0,FINANCIACION[[#This Row],[$ CAPITAL]])</f>
        <v>0</v>
      </c>
      <c r="J172" s="41">
        <f>IF(FINANCIACION[[#This Row],[$ CAPITAL]]&gt;=0,FINANCIACION[[#This Row],[$ CAPITAL]]+FINANCIACION[[#This Row],[$ INTERESES]],0)</f>
        <v>0</v>
      </c>
    </row>
    <row r="173" spans="1:10" ht="24" hidden="1" customHeight="1" x14ac:dyDescent="0.3">
      <c r="A173" s="9">
        <v>43840</v>
      </c>
      <c r="B173" s="63" t="s">
        <v>1222</v>
      </c>
      <c r="C173" s="7"/>
      <c r="D173" s="7">
        <v>950000</v>
      </c>
      <c r="E173" s="7">
        <v>950000</v>
      </c>
      <c r="F173" s="7">
        <v>-94935167</v>
      </c>
      <c r="G173" s="66"/>
      <c r="H173" s="10"/>
      <c r="I173" s="7" t="b">
        <f>IF(FINANCIACION[[#This Row],[$ CAPITAL]]&gt;0,FINANCIACION[[#This Row],[$ CAPITAL]])</f>
        <v>0</v>
      </c>
      <c r="J173" s="41">
        <f>IF(FINANCIACION[[#This Row],[$ CAPITAL]]&gt;=0,FINANCIACION[[#This Row],[$ CAPITAL]]+FINANCIACION[[#This Row],[$ INTERESES]],0)</f>
        <v>950000</v>
      </c>
    </row>
    <row r="174" spans="1:10" ht="24" hidden="1" customHeight="1" x14ac:dyDescent="0.3">
      <c r="A174" s="9">
        <v>43840</v>
      </c>
      <c r="B174" s="63" t="s">
        <v>1226</v>
      </c>
      <c r="C174" s="7"/>
      <c r="D174" s="7">
        <v>200000</v>
      </c>
      <c r="E174" s="7">
        <v>200000</v>
      </c>
      <c r="F174" s="7">
        <v>-84000000</v>
      </c>
      <c r="G174" s="66"/>
      <c r="H174" s="10"/>
      <c r="I174" s="7" t="b">
        <f>IF(FINANCIACION[[#This Row],[$ CAPITAL]]&gt;0,FINANCIACION[[#This Row],[$ CAPITAL]])</f>
        <v>0</v>
      </c>
      <c r="J174" s="41">
        <f>IF(FINANCIACION[[#This Row],[$ CAPITAL]]&gt;=0,FINANCIACION[[#This Row],[$ CAPITAL]]+FINANCIACION[[#This Row],[$ INTERESES]],0)</f>
        <v>200000</v>
      </c>
    </row>
    <row r="175" spans="1:10" ht="24" hidden="1" customHeight="1" x14ac:dyDescent="0.3">
      <c r="A175" s="9">
        <v>43840</v>
      </c>
      <c r="B175" s="63" t="s">
        <v>1225</v>
      </c>
      <c r="C175" s="7">
        <v>6179068.2499999898</v>
      </c>
      <c r="D175" s="7"/>
      <c r="E175" s="7">
        <v>6179068.2499999898</v>
      </c>
      <c r="F175" s="7">
        <v>-2440415.4500000095</v>
      </c>
      <c r="G175" s="66"/>
      <c r="H175" s="10"/>
      <c r="I175" s="7">
        <f>IF(FINANCIACION[[#This Row],[$ CAPITAL]]&gt;0,FINANCIACION[[#This Row],[$ CAPITAL]])</f>
        <v>6179068.2499999898</v>
      </c>
      <c r="J175" s="41">
        <f>IF(FINANCIACION[[#This Row],[$ CAPITAL]]&gt;=0,FINANCIACION[[#This Row],[$ CAPITAL]]+FINANCIACION[[#This Row],[$ INTERESES]],0)</f>
        <v>6179068.2499999898</v>
      </c>
    </row>
    <row r="176" spans="1:10" ht="24" hidden="1" customHeight="1" x14ac:dyDescent="0.3">
      <c r="A176" s="9">
        <v>43844</v>
      </c>
      <c r="B176" s="64" t="s">
        <v>1223</v>
      </c>
      <c r="C176" s="7">
        <v>310000</v>
      </c>
      <c r="D176" s="7">
        <v>90000</v>
      </c>
      <c r="E176" s="7">
        <v>400000</v>
      </c>
      <c r="F176" s="7">
        <v>-67199154</v>
      </c>
      <c r="G176" s="66"/>
      <c r="H176" s="10"/>
      <c r="I176" s="7">
        <f>IF(FINANCIACION[[#This Row],[$ CAPITAL]]&gt;0,FINANCIACION[[#This Row],[$ CAPITAL]])</f>
        <v>310000</v>
      </c>
      <c r="J176" s="41">
        <f>IF(FINANCIACION[[#This Row],[$ CAPITAL]]&gt;=0,FINANCIACION[[#This Row],[$ CAPITAL]]+FINANCIACION[[#This Row],[$ INTERESES]],0)</f>
        <v>400000</v>
      </c>
    </row>
    <row r="177" spans="1:10" ht="24" hidden="1" customHeight="1" x14ac:dyDescent="0.3">
      <c r="A177" s="9">
        <v>43845</v>
      </c>
      <c r="B177" s="63" t="s">
        <v>1225</v>
      </c>
      <c r="C177" s="7">
        <v>-4662.7700000000004</v>
      </c>
      <c r="D177" s="7"/>
      <c r="E177" s="7" t="s">
        <v>146</v>
      </c>
      <c r="F177" s="7">
        <v>-2445078.2200000095</v>
      </c>
      <c r="G177" s="66"/>
      <c r="H177" s="10"/>
      <c r="I177" s="7" t="b">
        <f>IF(FINANCIACION[[#This Row],[$ CAPITAL]]&gt;0,FINANCIACION[[#This Row],[$ CAPITAL]])</f>
        <v>0</v>
      </c>
      <c r="J177" s="41">
        <f>IF(FINANCIACION[[#This Row],[$ CAPITAL]]&gt;=0,FINANCIACION[[#This Row],[$ CAPITAL]]+FINANCIACION[[#This Row],[$ INTERESES]],0)</f>
        <v>0</v>
      </c>
    </row>
    <row r="178" spans="1:10" ht="24" hidden="1" customHeight="1" x14ac:dyDescent="0.3">
      <c r="A178" s="9">
        <v>43846</v>
      </c>
      <c r="B178" s="63" t="s">
        <v>1225</v>
      </c>
      <c r="C178" s="7">
        <v>-85886</v>
      </c>
      <c r="D178" s="7"/>
      <c r="E178" s="7" t="s">
        <v>146</v>
      </c>
      <c r="F178" s="7">
        <v>-2530964.2200000095</v>
      </c>
      <c r="G178" s="10"/>
      <c r="H178" s="10"/>
      <c r="I178" s="7" t="b">
        <f>IF(FINANCIACION[[#This Row],[$ CAPITAL]]&gt;0,FINANCIACION[[#This Row],[$ CAPITAL]])</f>
        <v>0</v>
      </c>
      <c r="J178" s="41">
        <f>IF(FINANCIACION[[#This Row],[$ CAPITAL]]&gt;=0,FINANCIACION[[#This Row],[$ CAPITAL]]+FINANCIACION[[#This Row],[$ INTERESES]],0)</f>
        <v>0</v>
      </c>
    </row>
    <row r="179" spans="1:10" ht="24" hidden="1" customHeight="1" x14ac:dyDescent="0.3">
      <c r="A179" s="9">
        <v>43847</v>
      </c>
      <c r="B179" s="63" t="s">
        <v>1225</v>
      </c>
      <c r="C179" s="7">
        <v>-294360</v>
      </c>
      <c r="D179" s="7"/>
      <c r="E179" s="7" t="s">
        <v>146</v>
      </c>
      <c r="F179" s="7">
        <v>-2825324.2200000095</v>
      </c>
      <c r="G179" s="10"/>
      <c r="H179" s="10"/>
      <c r="I179" s="7" t="b">
        <f>IF(FINANCIACION[[#This Row],[$ CAPITAL]]&gt;0,FINANCIACION[[#This Row],[$ CAPITAL]])</f>
        <v>0</v>
      </c>
      <c r="J179" s="41">
        <f>IF(FINANCIACION[[#This Row],[$ CAPITAL]]&gt;=0,FINANCIACION[[#This Row],[$ CAPITAL]]+FINANCIACION[[#This Row],[$ INTERESES]],0)</f>
        <v>0</v>
      </c>
    </row>
    <row r="180" spans="1:10" ht="24" hidden="1" customHeight="1" x14ac:dyDescent="0.3">
      <c r="A180" s="9">
        <v>43848</v>
      </c>
      <c r="B180" s="63" t="s">
        <v>1224</v>
      </c>
      <c r="C180" s="7">
        <v>1471610</v>
      </c>
      <c r="D180" s="7">
        <v>4614238</v>
      </c>
      <c r="E180" s="7">
        <v>6085848</v>
      </c>
      <c r="F180" s="7">
        <v>-387657315.14314044</v>
      </c>
      <c r="G180" s="10"/>
      <c r="H180" s="10"/>
      <c r="I180" s="7">
        <f>IF(FINANCIACION[[#This Row],[$ CAPITAL]]&gt;0,FINANCIACION[[#This Row],[$ CAPITAL]])</f>
        <v>1471610</v>
      </c>
      <c r="J180" s="41">
        <f>IF(FINANCIACION[[#This Row],[$ CAPITAL]]&gt;=0,FINANCIACION[[#This Row],[$ CAPITAL]]+FINANCIACION[[#This Row],[$ INTERESES]],0)</f>
        <v>6085848</v>
      </c>
    </row>
    <row r="181" spans="1:10" ht="24" hidden="1" customHeight="1" x14ac:dyDescent="0.3">
      <c r="A181" s="9">
        <v>43848</v>
      </c>
      <c r="B181" s="63" t="s">
        <v>1225</v>
      </c>
      <c r="C181" s="7">
        <v>-38733</v>
      </c>
      <c r="D181" s="7"/>
      <c r="E181" s="7" t="s">
        <v>146</v>
      </c>
      <c r="F181" s="7">
        <v>-2864057.2200000095</v>
      </c>
      <c r="G181" s="10"/>
      <c r="H181" s="10"/>
      <c r="I181" s="7" t="b">
        <f>IF(FINANCIACION[[#This Row],[$ CAPITAL]]&gt;0,FINANCIACION[[#This Row],[$ CAPITAL]])</f>
        <v>0</v>
      </c>
      <c r="J181" s="41">
        <f>IF(FINANCIACION[[#This Row],[$ CAPITAL]]&gt;=0,FINANCIACION[[#This Row],[$ CAPITAL]]+FINANCIACION[[#This Row],[$ INTERESES]],0)</f>
        <v>0</v>
      </c>
    </row>
    <row r="182" spans="1:10" ht="24" hidden="1" customHeight="1" x14ac:dyDescent="0.3">
      <c r="A182" s="9">
        <v>43850</v>
      </c>
      <c r="B182" s="63" t="s">
        <v>1223</v>
      </c>
      <c r="C182" s="7">
        <v>260000</v>
      </c>
      <c r="D182" s="7">
        <v>740000</v>
      </c>
      <c r="E182" s="7">
        <v>1000000</v>
      </c>
      <c r="F182" s="7">
        <v>-66939154</v>
      </c>
      <c r="G182" s="10"/>
      <c r="H182" s="10"/>
      <c r="I182" s="7">
        <f>IF(FINANCIACION[[#This Row],[$ CAPITAL]]&gt;0,FINANCIACION[[#This Row],[$ CAPITAL]])</f>
        <v>260000</v>
      </c>
      <c r="J182" s="41">
        <f>IF(FINANCIACION[[#This Row],[$ CAPITAL]]&gt;=0,FINANCIACION[[#This Row],[$ CAPITAL]]+FINANCIACION[[#This Row],[$ INTERESES]],0)</f>
        <v>1000000</v>
      </c>
    </row>
    <row r="183" spans="1:10" ht="24" hidden="1" customHeight="1" x14ac:dyDescent="0.3">
      <c r="A183" s="9">
        <v>43852</v>
      </c>
      <c r="B183" s="63" t="s">
        <v>1225</v>
      </c>
      <c r="C183" s="7">
        <v>-435739</v>
      </c>
      <c r="D183" s="7"/>
      <c r="E183" s="7" t="s">
        <v>146</v>
      </c>
      <c r="F183" s="7">
        <v>-3299796.2200000095</v>
      </c>
      <c r="G183" s="10"/>
      <c r="H183" s="10"/>
      <c r="I183" s="7" t="b">
        <f>IF(FINANCIACION[[#This Row],[$ CAPITAL]]&gt;0,FINANCIACION[[#This Row],[$ CAPITAL]])</f>
        <v>0</v>
      </c>
      <c r="J183" s="41">
        <f>IF(FINANCIACION[[#This Row],[$ CAPITAL]]&gt;=0,FINANCIACION[[#This Row],[$ CAPITAL]]+FINANCIACION[[#This Row],[$ INTERESES]],0)</f>
        <v>0</v>
      </c>
    </row>
    <row r="184" spans="1:10" ht="24" hidden="1" customHeight="1" x14ac:dyDescent="0.3">
      <c r="A184" s="9">
        <v>43853</v>
      </c>
      <c r="B184" s="63" t="s">
        <v>1225</v>
      </c>
      <c r="C184" s="7">
        <v>1788226.67</v>
      </c>
      <c r="D184" s="7"/>
      <c r="E184" s="7">
        <v>1788226.67</v>
      </c>
      <c r="F184" s="7">
        <v>-1511569.5500000096</v>
      </c>
      <c r="G184" s="10"/>
      <c r="H184" s="10"/>
      <c r="I184" s="7">
        <f>IF(FINANCIACION[[#This Row],[$ CAPITAL]]&gt;0,FINANCIACION[[#This Row],[$ CAPITAL]])</f>
        <v>1788226.67</v>
      </c>
      <c r="J184" s="41">
        <f>IF(FINANCIACION[[#This Row],[$ CAPITAL]]&gt;=0,FINANCIACION[[#This Row],[$ CAPITAL]]+FINANCIACION[[#This Row],[$ INTERESES]],0)</f>
        <v>1788226.67</v>
      </c>
    </row>
    <row r="185" spans="1:10" ht="24" hidden="1" customHeight="1" x14ac:dyDescent="0.3">
      <c r="A185" s="9">
        <v>43854</v>
      </c>
      <c r="B185" s="63" t="s">
        <v>1225</v>
      </c>
      <c r="C185" s="7">
        <v>226778</v>
      </c>
      <c r="D185" s="7"/>
      <c r="E185" s="7">
        <v>226778</v>
      </c>
      <c r="F185" s="7">
        <v>-1063956.1400000094</v>
      </c>
      <c r="G185" s="10"/>
      <c r="H185" s="10"/>
      <c r="I185" s="7">
        <f>IF(FINANCIACION[[#This Row],[$ CAPITAL]]&gt;0,FINANCIACION[[#This Row],[$ CAPITAL]])</f>
        <v>226778</v>
      </c>
      <c r="J185" s="41">
        <f>IF(FINANCIACION[[#This Row],[$ CAPITAL]]&gt;=0,FINANCIACION[[#This Row],[$ CAPITAL]]+FINANCIACION[[#This Row],[$ INTERESES]],0)</f>
        <v>226778</v>
      </c>
    </row>
    <row r="186" spans="1:10" ht="24" hidden="1" customHeight="1" x14ac:dyDescent="0.3">
      <c r="A186" s="9">
        <v>43854</v>
      </c>
      <c r="B186" s="63" t="s">
        <v>1225</v>
      </c>
      <c r="C186" s="7">
        <v>-617423.48</v>
      </c>
      <c r="D186" s="7"/>
      <c r="E186" s="7" t="s">
        <v>146</v>
      </c>
      <c r="F186" s="7">
        <v>-1063956.1400000094</v>
      </c>
      <c r="G186" s="10"/>
      <c r="H186" s="10"/>
      <c r="I186" s="7" t="b">
        <f>IF(FINANCIACION[[#This Row],[$ CAPITAL]]&gt;0,FINANCIACION[[#This Row],[$ CAPITAL]])</f>
        <v>0</v>
      </c>
      <c r="J186" s="41">
        <f>IF(FINANCIACION[[#This Row],[$ CAPITAL]]&gt;=0,FINANCIACION[[#This Row],[$ CAPITAL]]+FINANCIACION[[#This Row],[$ INTERESES]],0)</f>
        <v>0</v>
      </c>
    </row>
    <row r="187" spans="1:10" ht="24" hidden="1" customHeight="1" x14ac:dyDescent="0.3">
      <c r="A187" s="9">
        <v>43854</v>
      </c>
      <c r="B187" s="63" t="s">
        <v>1225</v>
      </c>
      <c r="C187" s="7">
        <v>838258.89</v>
      </c>
      <c r="D187" s="7"/>
      <c r="E187" s="7">
        <v>838258.89</v>
      </c>
      <c r="F187" s="7">
        <v>-1063956.1400000094</v>
      </c>
      <c r="G187" s="10"/>
      <c r="H187" s="10"/>
      <c r="I187" s="7">
        <f>IF(FINANCIACION[[#This Row],[$ CAPITAL]]&gt;0,FINANCIACION[[#This Row],[$ CAPITAL]])</f>
        <v>838258.89</v>
      </c>
      <c r="J187" s="41">
        <f>IF(FINANCIACION[[#This Row],[$ CAPITAL]]&gt;=0,FINANCIACION[[#This Row],[$ CAPITAL]]+FINANCIACION[[#This Row],[$ INTERESES]],0)</f>
        <v>838258.89</v>
      </c>
    </row>
    <row r="188" spans="1:10" ht="24" hidden="1" customHeight="1" x14ac:dyDescent="0.3">
      <c r="A188" s="9">
        <v>43855</v>
      </c>
      <c r="B188" s="63" t="s">
        <v>195</v>
      </c>
      <c r="C188" s="7">
        <v>1250000</v>
      </c>
      <c r="D188" s="7">
        <v>244877</v>
      </c>
      <c r="E188" s="7">
        <v>1494877</v>
      </c>
      <c r="F188" s="7">
        <v>-18750000</v>
      </c>
      <c r="G188" s="10"/>
      <c r="H188" s="10"/>
      <c r="I188" s="7">
        <f>IF(FINANCIACION[[#This Row],[$ CAPITAL]]&gt;0,FINANCIACION[[#This Row],[$ CAPITAL]])</f>
        <v>1250000</v>
      </c>
      <c r="J188" s="41">
        <f>IF(FINANCIACION[[#This Row],[$ CAPITAL]]&gt;=0,FINANCIACION[[#This Row],[$ CAPITAL]]+FINANCIACION[[#This Row],[$ INTERESES]],0)</f>
        <v>1494877</v>
      </c>
    </row>
    <row r="189" spans="1:10" ht="24" hidden="1" customHeight="1" x14ac:dyDescent="0.3">
      <c r="A189" s="9">
        <v>43855</v>
      </c>
      <c r="B189" s="63" t="s">
        <v>1225</v>
      </c>
      <c r="C189" s="7">
        <v>-205807.83</v>
      </c>
      <c r="D189" s="7"/>
      <c r="E189" s="7" t="s">
        <v>146</v>
      </c>
      <c r="F189" s="7">
        <v>-1269763.9700000095</v>
      </c>
      <c r="G189" s="10"/>
      <c r="H189" s="10"/>
      <c r="I189" s="7" t="b">
        <f>IF(FINANCIACION[[#This Row],[$ CAPITAL]]&gt;0,FINANCIACION[[#This Row],[$ CAPITAL]])</f>
        <v>0</v>
      </c>
      <c r="J189" s="41">
        <f>IF(FINANCIACION[[#This Row],[$ CAPITAL]]&gt;=0,FINANCIACION[[#This Row],[$ CAPITAL]]+FINANCIACION[[#This Row],[$ INTERESES]],0)</f>
        <v>0</v>
      </c>
    </row>
    <row r="190" spans="1:10" ht="24" hidden="1" customHeight="1" x14ac:dyDescent="0.3">
      <c r="A190" s="9">
        <v>43857</v>
      </c>
      <c r="B190" s="63" t="s">
        <v>1225</v>
      </c>
      <c r="C190" s="7">
        <v>-6278.5417429600011</v>
      </c>
      <c r="D190" s="7"/>
      <c r="E190" s="7" t="s">
        <v>146</v>
      </c>
      <c r="F190" s="7">
        <v>5723957.48825703</v>
      </c>
      <c r="G190" s="10"/>
      <c r="H190" s="10"/>
      <c r="I190" s="7" t="b">
        <f>IF(FINANCIACION[[#This Row],[$ CAPITAL]]&gt;0,FINANCIACION[[#This Row],[$ CAPITAL]])</f>
        <v>0</v>
      </c>
      <c r="J190" s="41">
        <f>IF(FINANCIACION[[#This Row],[$ CAPITAL]]&gt;=0,FINANCIACION[[#This Row],[$ CAPITAL]]+FINANCIACION[[#This Row],[$ INTERESES]],0)</f>
        <v>0</v>
      </c>
    </row>
    <row r="191" spans="1:10" ht="24" hidden="1" customHeight="1" x14ac:dyDescent="0.3">
      <c r="A191" s="9">
        <v>43857</v>
      </c>
      <c r="B191" s="63" t="s">
        <v>1225</v>
      </c>
      <c r="C191" s="7">
        <v>7000000</v>
      </c>
      <c r="D191" s="7"/>
      <c r="E191" s="7">
        <v>7000000</v>
      </c>
      <c r="F191" s="7">
        <v>5723957.48825703</v>
      </c>
      <c r="G191" s="10"/>
      <c r="H191" s="10"/>
      <c r="I191" s="7">
        <f>IF(FINANCIACION[[#This Row],[$ CAPITAL]]&gt;0,FINANCIACION[[#This Row],[$ CAPITAL]])</f>
        <v>7000000</v>
      </c>
      <c r="J191" s="41">
        <f>IF(FINANCIACION[[#This Row],[$ CAPITAL]]&gt;=0,FINANCIACION[[#This Row],[$ CAPITAL]]+FINANCIACION[[#This Row],[$ INTERESES]],0)</f>
        <v>7000000</v>
      </c>
    </row>
    <row r="192" spans="1:10" ht="24" hidden="1" customHeight="1" x14ac:dyDescent="0.3">
      <c r="A192" s="9">
        <v>43858</v>
      </c>
      <c r="B192" s="63" t="s">
        <v>1226</v>
      </c>
      <c r="C192" s="7"/>
      <c r="D192" s="7">
        <v>640000</v>
      </c>
      <c r="E192" s="7">
        <v>640000</v>
      </c>
      <c r="F192" s="7">
        <v>-84000000</v>
      </c>
      <c r="G192" s="10"/>
      <c r="H192" s="10"/>
      <c r="I192" s="7" t="b">
        <f>IF(FINANCIACION[[#This Row],[$ CAPITAL]]&gt;0,FINANCIACION[[#This Row],[$ CAPITAL]])</f>
        <v>0</v>
      </c>
      <c r="J192" s="41">
        <f>IF(FINANCIACION[[#This Row],[$ CAPITAL]]&gt;=0,FINANCIACION[[#This Row],[$ CAPITAL]]+FINANCIACION[[#This Row],[$ INTERESES]],0)</f>
        <v>640000</v>
      </c>
    </row>
    <row r="193" spans="1:10" ht="24" hidden="1" customHeight="1" x14ac:dyDescent="0.3">
      <c r="A193" s="9">
        <v>43859</v>
      </c>
      <c r="B193" s="63" t="s">
        <v>1225</v>
      </c>
      <c r="C193" s="7">
        <v>17947</v>
      </c>
      <c r="D193" s="7"/>
      <c r="E193" s="7">
        <v>17947</v>
      </c>
      <c r="F193" s="7">
        <v>3512916.7682570303</v>
      </c>
      <c r="G193" s="10"/>
      <c r="H193" s="10"/>
      <c r="I193" s="7">
        <f>IF(FINANCIACION[[#This Row],[$ CAPITAL]]&gt;0,FINANCIACION[[#This Row],[$ CAPITAL]])</f>
        <v>17947</v>
      </c>
      <c r="J193" s="41">
        <f>IF(FINANCIACION[[#This Row],[$ CAPITAL]]&gt;=0,FINANCIACION[[#This Row],[$ CAPITAL]]+FINANCIACION[[#This Row],[$ INTERESES]],0)</f>
        <v>17947</v>
      </c>
    </row>
    <row r="194" spans="1:10" ht="24" hidden="1" customHeight="1" x14ac:dyDescent="0.3">
      <c r="A194" s="9">
        <v>43859</v>
      </c>
      <c r="B194" s="63" t="s">
        <v>1225</v>
      </c>
      <c r="C194" s="7">
        <v>-188459.05</v>
      </c>
      <c r="D194" s="7"/>
      <c r="E194" s="7" t="s">
        <v>146</v>
      </c>
      <c r="F194" s="7">
        <v>3512916.7682570303</v>
      </c>
      <c r="G194" s="10"/>
      <c r="H194" s="10"/>
      <c r="I194" s="7" t="b">
        <f>IF(FINANCIACION[[#This Row],[$ CAPITAL]]&gt;0,FINANCIACION[[#This Row],[$ CAPITAL]])</f>
        <v>0</v>
      </c>
      <c r="J194" s="41">
        <f>IF(FINANCIACION[[#This Row],[$ CAPITAL]]&gt;=0,FINANCIACION[[#This Row],[$ CAPITAL]]+FINANCIACION[[#This Row],[$ INTERESES]],0)</f>
        <v>0</v>
      </c>
    </row>
    <row r="195" spans="1:10" ht="24" hidden="1" customHeight="1" x14ac:dyDescent="0.3">
      <c r="A195" s="9">
        <v>43859</v>
      </c>
      <c r="B195" s="63" t="s">
        <v>1225</v>
      </c>
      <c r="C195" s="7">
        <v>-305459.05</v>
      </c>
      <c r="D195" s="7"/>
      <c r="E195" s="7" t="s">
        <v>146</v>
      </c>
      <c r="F195" s="7">
        <v>3512916.7682570303</v>
      </c>
      <c r="G195" s="10"/>
      <c r="H195" s="10"/>
      <c r="I195" s="7" t="b">
        <f>IF(FINANCIACION[[#This Row],[$ CAPITAL]]&gt;0,FINANCIACION[[#This Row],[$ CAPITAL]])</f>
        <v>0</v>
      </c>
      <c r="J195" s="41">
        <f>IF(FINANCIACION[[#This Row],[$ CAPITAL]]&gt;=0,FINANCIACION[[#This Row],[$ CAPITAL]]+FINANCIACION[[#This Row],[$ INTERESES]],0)</f>
        <v>0</v>
      </c>
    </row>
    <row r="196" spans="1:10" ht="24" hidden="1" customHeight="1" x14ac:dyDescent="0.3">
      <c r="A196" s="9">
        <v>43859</v>
      </c>
      <c r="B196" s="63" t="s">
        <v>1225</v>
      </c>
      <c r="C196" s="7">
        <v>-1999310.62</v>
      </c>
      <c r="D196" s="7"/>
      <c r="E196" s="7" t="s">
        <v>146</v>
      </c>
      <c r="F196" s="7">
        <v>3512916.7682570303</v>
      </c>
      <c r="G196" s="10"/>
      <c r="H196" s="10"/>
      <c r="I196" s="7" t="b">
        <f>IF(FINANCIACION[[#This Row],[$ CAPITAL]]&gt;0,FINANCIACION[[#This Row],[$ CAPITAL]])</f>
        <v>0</v>
      </c>
      <c r="J196" s="41">
        <f>IF(FINANCIACION[[#This Row],[$ CAPITAL]]&gt;=0,FINANCIACION[[#This Row],[$ CAPITAL]]+FINANCIACION[[#This Row],[$ INTERESES]],0)</f>
        <v>0</v>
      </c>
    </row>
    <row r="197" spans="1:10" ht="24" hidden="1" customHeight="1" x14ac:dyDescent="0.3">
      <c r="A197" s="9">
        <v>43859</v>
      </c>
      <c r="B197" s="63" t="s">
        <v>1225</v>
      </c>
      <c r="C197" s="7">
        <v>264241</v>
      </c>
      <c r="D197" s="7"/>
      <c r="E197" s="7">
        <v>264241</v>
      </c>
      <c r="F197" s="7">
        <v>3512916.7682570303</v>
      </c>
      <c r="G197" s="10"/>
      <c r="H197" s="10"/>
      <c r="I197" s="7">
        <f>IF(FINANCIACION[[#This Row],[$ CAPITAL]]&gt;0,FINANCIACION[[#This Row],[$ CAPITAL]])</f>
        <v>264241</v>
      </c>
      <c r="J197" s="41">
        <f>IF(FINANCIACION[[#This Row],[$ CAPITAL]]&gt;=0,FINANCIACION[[#This Row],[$ CAPITAL]]+FINANCIACION[[#This Row],[$ INTERESES]],0)</f>
        <v>264241</v>
      </c>
    </row>
    <row r="198" spans="1:10" ht="24" hidden="1" customHeight="1" x14ac:dyDescent="0.3">
      <c r="A198" s="9">
        <v>43860</v>
      </c>
      <c r="B198" s="63" t="s">
        <v>1225</v>
      </c>
      <c r="C198" s="7">
        <v>-53287.48</v>
      </c>
      <c r="D198" s="7"/>
      <c r="E198" s="7" t="s">
        <v>146</v>
      </c>
      <c r="F198" s="7">
        <v>3459629.2882570303</v>
      </c>
      <c r="G198" s="10"/>
      <c r="H198" s="10"/>
      <c r="I198" s="7" t="b">
        <f>IF(FINANCIACION[[#This Row],[$ CAPITAL]]&gt;0,FINANCIACION[[#This Row],[$ CAPITAL]])</f>
        <v>0</v>
      </c>
      <c r="J198" s="41">
        <f>IF(FINANCIACION[[#This Row],[$ CAPITAL]]&gt;=0,FINANCIACION[[#This Row],[$ CAPITAL]]+FINANCIACION[[#This Row],[$ INTERESES]],0)</f>
        <v>0</v>
      </c>
    </row>
    <row r="199" spans="1:10" ht="24" hidden="1" customHeight="1" x14ac:dyDescent="0.3">
      <c r="A199" s="9">
        <v>43862</v>
      </c>
      <c r="B199" s="63" t="s">
        <v>1225</v>
      </c>
      <c r="C199" s="7">
        <v>1000000</v>
      </c>
      <c r="D199" s="7"/>
      <c r="E199" s="7">
        <v>1000000</v>
      </c>
      <c r="F199" s="7">
        <v>4459629.2882570308</v>
      </c>
      <c r="G199" s="10"/>
      <c r="H199" s="10"/>
      <c r="I199" s="7">
        <f>IF(FINANCIACION[[#This Row],[$ CAPITAL]]&gt;0,FINANCIACION[[#This Row],[$ CAPITAL]])</f>
        <v>1000000</v>
      </c>
      <c r="J199" s="41">
        <f>IF(FINANCIACION[[#This Row],[$ CAPITAL]]&gt;=0,FINANCIACION[[#This Row],[$ CAPITAL]]+FINANCIACION[[#This Row],[$ INTERESES]],0)</f>
        <v>1000000</v>
      </c>
    </row>
    <row r="200" spans="1:10" ht="24" hidden="1" customHeight="1" x14ac:dyDescent="0.3">
      <c r="A200" s="9">
        <v>43864</v>
      </c>
      <c r="B200" s="63" t="s">
        <v>196</v>
      </c>
      <c r="C200" s="7">
        <v>3472222</v>
      </c>
      <c r="D200" s="7">
        <v>863672</v>
      </c>
      <c r="E200" s="7">
        <v>4335894</v>
      </c>
      <c r="F200" s="7">
        <v>-41333336</v>
      </c>
      <c r="G200" s="10"/>
      <c r="H200" s="10"/>
      <c r="I200" s="7">
        <f>IF(FINANCIACION[[#This Row],[$ CAPITAL]]&gt;0,FINANCIACION[[#This Row],[$ CAPITAL]])</f>
        <v>3472222</v>
      </c>
      <c r="J200" s="11">
        <f>IF(FINANCIACION[[#This Row],[$ CAPITAL]]&gt;=0,FINANCIACION[[#This Row],[$ CAPITAL]]+FINANCIACION[[#This Row],[$ INTERESES]],0)</f>
        <v>4335894</v>
      </c>
    </row>
    <row r="201" spans="1:10" ht="24" hidden="1" customHeight="1" x14ac:dyDescent="0.3">
      <c r="A201" s="9">
        <v>43865</v>
      </c>
      <c r="B201" s="63" t="s">
        <v>1225</v>
      </c>
      <c r="C201" s="7">
        <v>2500000</v>
      </c>
      <c r="D201" s="7">
        <v>352550</v>
      </c>
      <c r="E201" s="7">
        <v>2852550</v>
      </c>
      <c r="F201" s="7">
        <v>6925619.2882570308</v>
      </c>
      <c r="G201" s="10"/>
      <c r="H201" s="66"/>
      <c r="I201" s="7">
        <f>IF(FINANCIACION[[#This Row],[$ CAPITAL]]&gt;0,FINANCIACION[[#This Row],[$ CAPITAL]])</f>
        <v>2500000</v>
      </c>
      <c r="J201" s="11">
        <f>IF(FINANCIACION[[#This Row],[$ CAPITAL]]&gt;=0,FINANCIACION[[#This Row],[$ CAPITAL]]+FINANCIACION[[#This Row],[$ INTERESES]],0)</f>
        <v>2852550</v>
      </c>
    </row>
    <row r="202" spans="1:10" ht="24" hidden="1" customHeight="1" x14ac:dyDescent="0.3">
      <c r="A202" s="9">
        <v>43865</v>
      </c>
      <c r="B202" s="63" t="s">
        <v>1225</v>
      </c>
      <c r="C202" s="7">
        <v>-34010</v>
      </c>
      <c r="D202" s="7"/>
      <c r="E202" s="7" t="s">
        <v>146</v>
      </c>
      <c r="F202" s="7">
        <v>6925619.2882570308</v>
      </c>
      <c r="G202" s="10"/>
      <c r="H202" s="66"/>
      <c r="I202" s="7" t="b">
        <f>IF(FINANCIACION[[#This Row],[$ CAPITAL]]&gt;0,FINANCIACION[[#This Row],[$ CAPITAL]])</f>
        <v>0</v>
      </c>
      <c r="J202" s="11">
        <f>IF(FINANCIACION[[#This Row],[$ CAPITAL]]&gt;=0,FINANCIACION[[#This Row],[$ CAPITAL]]+FINANCIACION[[#This Row],[$ INTERESES]],0)</f>
        <v>0</v>
      </c>
    </row>
    <row r="203" spans="1:10" ht="24" hidden="1" customHeight="1" x14ac:dyDescent="0.3">
      <c r="A203" s="9">
        <v>43867</v>
      </c>
      <c r="B203" s="63" t="s">
        <v>1225</v>
      </c>
      <c r="C203" s="7">
        <v>-16776</v>
      </c>
      <c r="D203" s="7"/>
      <c r="E203" s="7" t="s">
        <v>146</v>
      </c>
      <c r="F203" s="7">
        <v>-32089.491742968559</v>
      </c>
      <c r="G203" s="10"/>
      <c r="H203" s="66"/>
      <c r="I203" s="7" t="b">
        <f>IF(FINANCIACION[[#This Row],[$ CAPITAL]]&gt;0,FINANCIACION[[#This Row],[$ CAPITAL]])</f>
        <v>0</v>
      </c>
      <c r="J203" s="11">
        <f>IF(FINANCIACION[[#This Row],[$ CAPITAL]]&gt;=0,FINANCIACION[[#This Row],[$ CAPITAL]]+FINANCIACION[[#This Row],[$ INTERESES]],0)</f>
        <v>0</v>
      </c>
    </row>
    <row r="204" spans="1:10" ht="24" hidden="1" customHeight="1" x14ac:dyDescent="0.3">
      <c r="A204" s="9">
        <v>43867</v>
      </c>
      <c r="B204" s="63" t="s">
        <v>1225</v>
      </c>
      <c r="C204" s="7">
        <v>-370225.85</v>
      </c>
      <c r="D204" s="7"/>
      <c r="E204" s="7" t="s">
        <v>146</v>
      </c>
      <c r="F204" s="7">
        <v>-32089.491742968559</v>
      </c>
      <c r="G204" s="10"/>
      <c r="H204" s="66"/>
      <c r="I204" s="7" t="b">
        <f>IF(FINANCIACION[[#This Row],[$ CAPITAL]]&gt;0,FINANCIACION[[#This Row],[$ CAPITAL]])</f>
        <v>0</v>
      </c>
      <c r="J204" s="11">
        <f>IF(FINANCIACION[[#This Row],[$ CAPITAL]]&gt;=0,FINANCIACION[[#This Row],[$ CAPITAL]]+FINANCIACION[[#This Row],[$ INTERESES]],0)</f>
        <v>0</v>
      </c>
    </row>
    <row r="205" spans="1:10" ht="24" hidden="1" customHeight="1" x14ac:dyDescent="0.3">
      <c r="A205" s="9">
        <v>43867</v>
      </c>
      <c r="B205" s="63" t="s">
        <v>1225</v>
      </c>
      <c r="C205" s="7">
        <v>-6570706.9299999997</v>
      </c>
      <c r="D205" s="7"/>
      <c r="E205" s="7" t="s">
        <v>146</v>
      </c>
      <c r="F205" s="7">
        <v>-32089.491742968559</v>
      </c>
      <c r="G205" s="66"/>
      <c r="H205" s="10"/>
      <c r="I205" s="7" t="b">
        <f>IF(FINANCIACION[[#This Row],[$ CAPITAL]]&gt;0,FINANCIACION[[#This Row],[$ CAPITAL]])</f>
        <v>0</v>
      </c>
      <c r="J205" s="41">
        <f>IF(FINANCIACION[[#This Row],[$ CAPITAL]]&gt;=0,FINANCIACION[[#This Row],[$ CAPITAL]]+FINANCIACION[[#This Row],[$ INTERESES]],0)</f>
        <v>0</v>
      </c>
    </row>
    <row r="206" spans="1:10" ht="24" hidden="1" customHeight="1" x14ac:dyDescent="0.3">
      <c r="A206" s="9">
        <v>43868</v>
      </c>
      <c r="B206" s="63" t="s">
        <v>199</v>
      </c>
      <c r="C206" s="7">
        <v>6250000</v>
      </c>
      <c r="D206" s="7">
        <v>1257774.8600000001</v>
      </c>
      <c r="E206" s="7">
        <v>7507774.8600000003</v>
      </c>
      <c r="F206" s="7">
        <v>-137500000</v>
      </c>
      <c r="G206" s="66"/>
      <c r="H206" s="10"/>
      <c r="I206" s="7">
        <f>IF(FINANCIACION[[#This Row],[$ CAPITAL]]&gt;0,FINANCIACION[[#This Row],[$ CAPITAL]])</f>
        <v>6250000</v>
      </c>
      <c r="J206" s="41">
        <f>IF(FINANCIACION[[#This Row],[$ CAPITAL]]&gt;=0,FINANCIACION[[#This Row],[$ CAPITAL]]+FINANCIACION[[#This Row],[$ INTERESES]],0)</f>
        <v>7507774.8600000003</v>
      </c>
    </row>
    <row r="207" spans="1:10" ht="24" hidden="1" customHeight="1" x14ac:dyDescent="0.3">
      <c r="A207" s="9">
        <v>43871</v>
      </c>
      <c r="B207" s="63" t="s">
        <v>1222</v>
      </c>
      <c r="C207" s="7"/>
      <c r="D207" s="7">
        <v>950000</v>
      </c>
      <c r="E207" s="7">
        <v>950000</v>
      </c>
      <c r="F207" s="7">
        <v>-94935167</v>
      </c>
      <c r="G207" s="66"/>
      <c r="H207" s="10"/>
      <c r="I207" s="7" t="b">
        <f>IF(FINANCIACION[[#This Row],[$ CAPITAL]]&gt;0,FINANCIACION[[#This Row],[$ CAPITAL]])</f>
        <v>0</v>
      </c>
      <c r="J207" s="41">
        <f>IF(FINANCIACION[[#This Row],[$ CAPITAL]]&gt;=0,FINANCIACION[[#This Row],[$ CAPITAL]]+FINANCIACION[[#This Row],[$ INTERESES]],0)</f>
        <v>950000</v>
      </c>
    </row>
    <row r="208" spans="1:10" ht="24" hidden="1" customHeight="1" x14ac:dyDescent="0.3">
      <c r="A208" s="9">
        <v>43871</v>
      </c>
      <c r="B208" s="63" t="s">
        <v>1225</v>
      </c>
      <c r="C208" s="7">
        <v>-496426.88</v>
      </c>
      <c r="D208" s="7"/>
      <c r="E208" s="7" t="s">
        <v>146</v>
      </c>
      <c r="F208" s="7">
        <v>-528516.37174296856</v>
      </c>
      <c r="G208" s="66"/>
      <c r="H208" s="10"/>
      <c r="I208" s="7" t="b">
        <f>IF(FINANCIACION[[#This Row],[$ CAPITAL]]&gt;0,FINANCIACION[[#This Row],[$ CAPITAL]])</f>
        <v>0</v>
      </c>
      <c r="J208" s="41">
        <f>IF(FINANCIACION[[#This Row],[$ CAPITAL]]&gt;=0,FINANCIACION[[#This Row],[$ CAPITAL]]+FINANCIACION[[#This Row],[$ INTERESES]],0)</f>
        <v>0</v>
      </c>
    </row>
    <row r="209" spans="1:10" ht="24" hidden="1" customHeight="1" x14ac:dyDescent="0.3">
      <c r="A209" s="9">
        <v>43874</v>
      </c>
      <c r="B209" s="63" t="s">
        <v>1225</v>
      </c>
      <c r="C209" s="7">
        <v>-75897.36</v>
      </c>
      <c r="D209" s="7"/>
      <c r="E209" s="7" t="s">
        <v>146</v>
      </c>
      <c r="F209" s="7">
        <v>-604413.73174296855</v>
      </c>
      <c r="G209" s="66"/>
      <c r="H209" s="10"/>
      <c r="I209" s="7" t="b">
        <f>IF(FINANCIACION[[#This Row],[$ CAPITAL]]&gt;0,FINANCIACION[[#This Row],[$ CAPITAL]])</f>
        <v>0</v>
      </c>
      <c r="J209" s="41">
        <f>IF(FINANCIACION[[#This Row],[$ CAPITAL]]&gt;=0,FINANCIACION[[#This Row],[$ CAPITAL]]+FINANCIACION[[#This Row],[$ INTERESES]],0)</f>
        <v>0</v>
      </c>
    </row>
    <row r="210" spans="1:10" ht="24" hidden="1" customHeight="1" x14ac:dyDescent="0.3">
      <c r="A210" s="9">
        <v>43879</v>
      </c>
      <c r="B210" s="63" t="s">
        <v>1224</v>
      </c>
      <c r="C210" s="7">
        <v>1491748</v>
      </c>
      <c r="D210" s="7">
        <v>4588198</v>
      </c>
      <c r="E210" s="7">
        <v>6079946</v>
      </c>
      <c r="F210" s="7">
        <v>-386165567.14314044</v>
      </c>
      <c r="G210" s="66"/>
      <c r="H210" s="10"/>
      <c r="I210" s="7">
        <f>IF(FINANCIACION[[#This Row],[$ CAPITAL]]&gt;0,FINANCIACION[[#This Row],[$ CAPITAL]])</f>
        <v>1491748</v>
      </c>
      <c r="J210" s="41">
        <f>IF(FINANCIACION[[#This Row],[$ CAPITAL]]&gt;=0,FINANCIACION[[#This Row],[$ CAPITAL]]+FINANCIACION[[#This Row],[$ INTERESES]],0)</f>
        <v>6079946</v>
      </c>
    </row>
    <row r="211" spans="1:10" ht="24" hidden="1" customHeight="1" x14ac:dyDescent="0.3">
      <c r="A211" s="9">
        <v>43879</v>
      </c>
      <c r="B211" s="63" t="s">
        <v>1225</v>
      </c>
      <c r="C211" s="7">
        <v>1181094</v>
      </c>
      <c r="D211" s="7"/>
      <c r="E211" s="7">
        <v>1181094</v>
      </c>
      <c r="F211" s="7">
        <v>5076680.2682570312</v>
      </c>
      <c r="G211" s="66"/>
      <c r="H211" s="10"/>
      <c r="I211" s="7">
        <f>IF(FINANCIACION[[#This Row],[$ CAPITAL]]&gt;0,FINANCIACION[[#This Row],[$ CAPITAL]])</f>
        <v>1181094</v>
      </c>
      <c r="J211" s="41">
        <f>IF(FINANCIACION[[#This Row],[$ CAPITAL]]&gt;=0,FINANCIACION[[#This Row],[$ CAPITAL]]+FINANCIACION[[#This Row],[$ INTERESES]],0)</f>
        <v>1181094</v>
      </c>
    </row>
    <row r="212" spans="1:10" ht="24" hidden="1" customHeight="1" x14ac:dyDescent="0.3">
      <c r="A212" s="9">
        <v>43879</v>
      </c>
      <c r="B212" s="63" t="s">
        <v>1225</v>
      </c>
      <c r="C212" s="7">
        <v>1500000</v>
      </c>
      <c r="D212" s="7"/>
      <c r="E212" s="7">
        <v>1500000</v>
      </c>
      <c r="F212" s="7">
        <v>5076680.2682570312</v>
      </c>
      <c r="G212" s="66"/>
      <c r="H212" s="10"/>
      <c r="I212" s="7">
        <f>IF(FINANCIACION[[#This Row],[$ CAPITAL]]&gt;0,FINANCIACION[[#This Row],[$ CAPITAL]])</f>
        <v>1500000</v>
      </c>
      <c r="J212" s="41">
        <f>IF(FINANCIACION[[#This Row],[$ CAPITAL]]&gt;=0,FINANCIACION[[#This Row],[$ CAPITAL]]+FINANCIACION[[#This Row],[$ INTERESES]],0)</f>
        <v>1500000</v>
      </c>
    </row>
    <row r="213" spans="1:10" ht="24" hidden="1" customHeight="1" x14ac:dyDescent="0.3">
      <c r="A213" s="9">
        <v>43879</v>
      </c>
      <c r="B213" s="63" t="s">
        <v>1225</v>
      </c>
      <c r="C213" s="7">
        <v>3000000</v>
      </c>
      <c r="D213" s="7"/>
      <c r="E213" s="7">
        <v>3000000</v>
      </c>
      <c r="F213" s="7">
        <v>5076680.2682570312</v>
      </c>
      <c r="G213" s="66"/>
      <c r="H213" s="10"/>
      <c r="I213" s="7">
        <f>IF(FINANCIACION[[#This Row],[$ CAPITAL]]&gt;0,FINANCIACION[[#This Row],[$ CAPITAL]])</f>
        <v>3000000</v>
      </c>
      <c r="J213" s="41">
        <f>IF(FINANCIACION[[#This Row],[$ CAPITAL]]&gt;=0,FINANCIACION[[#This Row],[$ CAPITAL]]+FINANCIACION[[#This Row],[$ INTERESES]],0)</f>
        <v>3000000</v>
      </c>
    </row>
    <row r="214" spans="1:10" ht="24" hidden="1" customHeight="1" x14ac:dyDescent="0.3">
      <c r="A214" s="84">
        <v>43880</v>
      </c>
      <c r="B214" s="63" t="s">
        <v>1225</v>
      </c>
      <c r="C214" s="85">
        <v>-2091546</v>
      </c>
      <c r="D214" s="7"/>
      <c r="E214" s="7" t="s">
        <v>146</v>
      </c>
      <c r="F214" s="85">
        <v>2985134.2682570312</v>
      </c>
      <c r="G214" s="86"/>
      <c r="H214" s="87"/>
      <c r="I214" s="85" t="b">
        <f>IF(FINANCIACION[[#This Row],[$ CAPITAL]]&gt;0,FINANCIACION[[#This Row],[$ CAPITAL]])</f>
        <v>0</v>
      </c>
      <c r="J214" s="88">
        <f>IF(FINANCIACION[[#This Row],[$ CAPITAL]]&gt;=0,FINANCIACION[[#This Row],[$ CAPITAL]]+FINANCIACION[[#This Row],[$ INTERESES]],0)</f>
        <v>0</v>
      </c>
    </row>
    <row r="215" spans="1:10" ht="24" hidden="1" customHeight="1" x14ac:dyDescent="0.3">
      <c r="A215" s="9">
        <v>43881</v>
      </c>
      <c r="B215" s="63" t="s">
        <v>1223</v>
      </c>
      <c r="C215" s="7">
        <v>260000</v>
      </c>
      <c r="D215" s="7">
        <v>740000</v>
      </c>
      <c r="E215" s="7">
        <v>1000000</v>
      </c>
      <c r="F215" s="7">
        <v>-66369154</v>
      </c>
      <c r="G215" s="10"/>
      <c r="H215" s="66"/>
      <c r="I215" s="7">
        <f>IF(FINANCIACION[[#This Row],[$ CAPITAL]]&gt;0,FINANCIACION[[#This Row],[$ CAPITAL]])</f>
        <v>260000</v>
      </c>
      <c r="J215" s="41">
        <f>IF(FINANCIACION[[#This Row],[$ CAPITAL]]&gt;=0,FINANCIACION[[#This Row],[$ CAPITAL]]+FINANCIACION[[#This Row],[$ INTERESES]],0)</f>
        <v>1000000</v>
      </c>
    </row>
    <row r="216" spans="1:10" ht="24" hidden="1" customHeight="1" x14ac:dyDescent="0.3">
      <c r="A216" s="9">
        <v>43881</v>
      </c>
      <c r="B216" s="63" t="s">
        <v>1223</v>
      </c>
      <c r="C216" s="7">
        <v>310000</v>
      </c>
      <c r="D216" s="7">
        <v>86900</v>
      </c>
      <c r="E216" s="7">
        <v>396900</v>
      </c>
      <c r="F216" s="7">
        <v>-66369154</v>
      </c>
      <c r="G216" s="10"/>
      <c r="H216" s="66"/>
      <c r="I216" s="7">
        <f>IF(FINANCIACION[[#This Row],[$ CAPITAL]]&gt;0,FINANCIACION[[#This Row],[$ CAPITAL]])</f>
        <v>310000</v>
      </c>
      <c r="J216" s="11">
        <f>IF(FINANCIACION[[#This Row],[$ CAPITAL]]&gt;=0,FINANCIACION[[#This Row],[$ CAPITAL]]+FINANCIACION[[#This Row],[$ INTERESES]],0)</f>
        <v>396900</v>
      </c>
    </row>
    <row r="217" spans="1:10" ht="24" hidden="1" customHeight="1" x14ac:dyDescent="0.3">
      <c r="A217" s="9">
        <v>43881</v>
      </c>
      <c r="B217" s="63" t="s">
        <v>1225</v>
      </c>
      <c r="C217" s="7">
        <v>500000</v>
      </c>
      <c r="D217" s="7"/>
      <c r="E217" s="7">
        <v>500000</v>
      </c>
      <c r="F217" s="7">
        <v>4985134.2682570312</v>
      </c>
      <c r="G217" s="10"/>
      <c r="H217" s="66"/>
      <c r="I217" s="7">
        <f>IF(FINANCIACION[[#This Row],[$ CAPITAL]]&gt;0,FINANCIACION[[#This Row],[$ CAPITAL]])</f>
        <v>500000</v>
      </c>
      <c r="J217" s="11">
        <f>IF(FINANCIACION[[#This Row],[$ CAPITAL]]&gt;=0,FINANCIACION[[#This Row],[$ CAPITAL]]+FINANCIACION[[#This Row],[$ INTERESES]],0)</f>
        <v>500000</v>
      </c>
    </row>
    <row r="218" spans="1:10" ht="24" hidden="1" customHeight="1" x14ac:dyDescent="0.3">
      <c r="A218" s="9">
        <v>43881</v>
      </c>
      <c r="B218" s="63" t="s">
        <v>1225</v>
      </c>
      <c r="C218" s="7">
        <v>1500000</v>
      </c>
      <c r="D218" s="7"/>
      <c r="E218" s="7">
        <v>1500000</v>
      </c>
      <c r="F218" s="7">
        <v>4985134.2682570312</v>
      </c>
      <c r="G218" s="10"/>
      <c r="H218" s="66"/>
      <c r="I218" s="7">
        <f>IF(FINANCIACION[[#This Row],[$ CAPITAL]]&gt;0,FINANCIACION[[#This Row],[$ CAPITAL]])</f>
        <v>1500000</v>
      </c>
      <c r="J218" s="41">
        <f>IF(FINANCIACION[[#This Row],[$ CAPITAL]]&gt;=0,FINANCIACION[[#This Row],[$ CAPITAL]]+FINANCIACION[[#This Row],[$ INTERESES]],0)</f>
        <v>1500000</v>
      </c>
    </row>
    <row r="219" spans="1:10" ht="24" hidden="1" customHeight="1" x14ac:dyDescent="0.3">
      <c r="A219" s="9">
        <v>43882</v>
      </c>
      <c r="B219" s="63" t="s">
        <v>1225</v>
      </c>
      <c r="C219" s="7">
        <v>-238000</v>
      </c>
      <c r="D219" s="7"/>
      <c r="E219" s="7" t="s">
        <v>146</v>
      </c>
      <c r="F219" s="7">
        <v>4747134.2682570312</v>
      </c>
      <c r="G219" s="75"/>
      <c r="H219" s="66"/>
      <c r="I219" s="7" t="b">
        <f>IF(FINANCIACION[[#This Row],[$ CAPITAL]]&gt;0,FINANCIACION[[#This Row],[$ CAPITAL]])</f>
        <v>0</v>
      </c>
      <c r="J219" s="41">
        <f>IF(FINANCIACION[[#This Row],[$ CAPITAL]]&gt;=0,FINANCIACION[[#This Row],[$ CAPITAL]]+FINANCIACION[[#This Row],[$ INTERESES]],0)</f>
        <v>0</v>
      </c>
    </row>
    <row r="220" spans="1:10" ht="24" hidden="1" customHeight="1" x14ac:dyDescent="0.3">
      <c r="A220" s="9">
        <v>43886</v>
      </c>
      <c r="B220" s="63" t="s">
        <v>195</v>
      </c>
      <c r="C220" s="65">
        <v>1250000</v>
      </c>
      <c r="D220" s="7">
        <v>229080</v>
      </c>
      <c r="E220" s="7">
        <v>1479080</v>
      </c>
      <c r="F220" s="7">
        <v>-17500000</v>
      </c>
      <c r="G220" s="66"/>
      <c r="H220" s="10"/>
      <c r="I220" s="7">
        <f>IF(FINANCIACION[[#This Row],[$ CAPITAL]]&gt;0,FINANCIACION[[#This Row],[$ CAPITAL]])</f>
        <v>1250000</v>
      </c>
      <c r="J220" s="41">
        <f>IF(FINANCIACION[[#This Row],[$ CAPITAL]]&gt;=0,FINANCIACION[[#This Row],[$ CAPITAL]]+FINANCIACION[[#This Row],[$ INTERESES]],0)</f>
        <v>1479080</v>
      </c>
    </row>
    <row r="221" spans="1:10" ht="24" hidden="1" customHeight="1" x14ac:dyDescent="0.3">
      <c r="A221" s="9">
        <v>43887</v>
      </c>
      <c r="B221" s="63" t="s">
        <v>1225</v>
      </c>
      <c r="C221" s="7">
        <v>-204035</v>
      </c>
      <c r="D221" s="7"/>
      <c r="E221" s="7" t="s">
        <v>146</v>
      </c>
      <c r="F221" s="7">
        <v>4543099.2682570312</v>
      </c>
      <c r="G221" s="66"/>
      <c r="H221" s="66"/>
      <c r="I221" s="7" t="b">
        <f>IF(FINANCIACION[[#This Row],[$ CAPITAL]]&gt;0,FINANCIACION[[#This Row],[$ CAPITAL]])</f>
        <v>0</v>
      </c>
      <c r="J221" s="41">
        <f>IF(FINANCIACION[[#This Row],[$ CAPITAL]]&gt;=0,FINANCIACION[[#This Row],[$ CAPITAL]]+FINANCIACION[[#This Row],[$ INTERESES]],0)</f>
        <v>0</v>
      </c>
    </row>
    <row r="222" spans="1:10" ht="24" hidden="1" customHeight="1" x14ac:dyDescent="0.3">
      <c r="A222" s="9">
        <v>43888</v>
      </c>
      <c r="B222" s="63" t="s">
        <v>1225</v>
      </c>
      <c r="C222" s="7">
        <v>-259615.63</v>
      </c>
      <c r="D222" s="7"/>
      <c r="E222" s="7" t="s">
        <v>146</v>
      </c>
      <c r="F222" s="7">
        <v>4283483.6382570313</v>
      </c>
      <c r="G222" s="66"/>
      <c r="H222" s="10"/>
      <c r="I222" s="7" t="b">
        <f>IF(FINANCIACION[[#This Row],[$ CAPITAL]]&gt;0,FINANCIACION[[#This Row],[$ CAPITAL]])</f>
        <v>0</v>
      </c>
      <c r="J222" s="41">
        <f>IF(FINANCIACION[[#This Row],[$ CAPITAL]]&gt;=0,FINANCIACION[[#This Row],[$ CAPITAL]]+FINANCIACION[[#This Row],[$ INTERESES]],0)</f>
        <v>0</v>
      </c>
    </row>
    <row r="223" spans="1:10" ht="24" hidden="1" customHeight="1" x14ac:dyDescent="0.3">
      <c r="A223" s="9">
        <v>43890</v>
      </c>
      <c r="B223" s="63" t="s">
        <v>1226</v>
      </c>
      <c r="C223" s="7"/>
      <c r="D223" s="7">
        <v>840000</v>
      </c>
      <c r="E223" s="7">
        <v>840000</v>
      </c>
      <c r="F223" s="7">
        <v>-84000000</v>
      </c>
      <c r="G223" s="66"/>
      <c r="H223" s="10"/>
      <c r="I223" s="7" t="b">
        <f>IF(FINANCIACION[[#This Row],[$ CAPITAL]]&gt;0,FINANCIACION[[#This Row],[$ CAPITAL]])</f>
        <v>0</v>
      </c>
      <c r="J223" s="41">
        <f>IF(FINANCIACION[[#This Row],[$ CAPITAL]]&gt;=0,FINANCIACION[[#This Row],[$ CAPITAL]]+FINANCIACION[[#This Row],[$ INTERESES]],0)</f>
        <v>840000</v>
      </c>
    </row>
    <row r="224" spans="1:10" ht="24" hidden="1" customHeight="1" x14ac:dyDescent="0.3">
      <c r="A224" s="9">
        <v>43890</v>
      </c>
      <c r="B224" s="63" t="s">
        <v>1223</v>
      </c>
      <c r="C224" s="7">
        <v>-829906</v>
      </c>
      <c r="D224" s="7"/>
      <c r="E224" s="7" t="s">
        <v>146</v>
      </c>
      <c r="F224" s="7">
        <v>-67199060</v>
      </c>
      <c r="G224" s="66"/>
      <c r="H224" s="10"/>
      <c r="I224" s="7" t="b">
        <f>IF(FINANCIACION[[#This Row],[$ CAPITAL]]&gt;0,FINANCIACION[[#This Row],[$ CAPITAL]])</f>
        <v>0</v>
      </c>
      <c r="J224" s="41">
        <f>IF(FINANCIACION[[#This Row],[$ CAPITAL]]&gt;=0,FINANCIACION[[#This Row],[$ CAPITAL]]+FINANCIACION[[#This Row],[$ INTERESES]],0)</f>
        <v>0</v>
      </c>
    </row>
    <row r="225" spans="1:10" ht="24" hidden="1" customHeight="1" x14ac:dyDescent="0.3">
      <c r="A225" s="9">
        <v>43890</v>
      </c>
      <c r="B225" s="63" t="s">
        <v>1225</v>
      </c>
      <c r="C225" s="7">
        <v>-2051310.6682570393</v>
      </c>
      <c r="D225" s="7"/>
      <c r="E225" s="7" t="s">
        <v>146</v>
      </c>
      <c r="F225" s="7">
        <v>261463.04999999236</v>
      </c>
      <c r="G225" s="66"/>
      <c r="H225" s="10"/>
      <c r="I225" s="7" t="b">
        <f>IF(FINANCIACION[[#This Row],[$ CAPITAL]]&gt;0,FINANCIACION[[#This Row],[$ CAPITAL]])</f>
        <v>0</v>
      </c>
      <c r="J225" s="41">
        <f>IF(FINANCIACION[[#This Row],[$ CAPITAL]]&gt;=0,FINANCIACION[[#This Row],[$ CAPITAL]]+FINANCIACION[[#This Row],[$ INTERESES]],0)</f>
        <v>0</v>
      </c>
    </row>
    <row r="226" spans="1:10" ht="24" hidden="1" customHeight="1" x14ac:dyDescent="0.3">
      <c r="A226" s="9">
        <v>43890</v>
      </c>
      <c r="B226" s="63" t="s">
        <v>1225</v>
      </c>
      <c r="C226" s="7">
        <v>-1970709.92</v>
      </c>
      <c r="D226" s="7"/>
      <c r="E226" s="7" t="s">
        <v>146</v>
      </c>
      <c r="F226" s="7">
        <v>261463.04999999236</v>
      </c>
      <c r="G226" s="66"/>
      <c r="H226" s="10"/>
      <c r="I226" s="7" t="b">
        <f>IF(FINANCIACION[[#This Row],[$ CAPITAL]]&gt;0,FINANCIACION[[#This Row],[$ CAPITAL]])</f>
        <v>0</v>
      </c>
      <c r="J226" s="41">
        <f>IF(FINANCIACION[[#This Row],[$ CAPITAL]]&gt;=0,FINANCIACION[[#This Row],[$ CAPITAL]]+FINANCIACION[[#This Row],[$ INTERESES]],0)</f>
        <v>0</v>
      </c>
    </row>
    <row r="227" spans="1:10" ht="24" hidden="1" customHeight="1" x14ac:dyDescent="0.3">
      <c r="A227" s="9">
        <v>43893</v>
      </c>
      <c r="B227" s="63" t="s">
        <v>196</v>
      </c>
      <c r="C227" s="7">
        <v>3472222</v>
      </c>
      <c r="D227" s="7">
        <v>2169302</v>
      </c>
      <c r="E227" s="7">
        <v>5641524</v>
      </c>
      <c r="F227" s="7">
        <v>-37861114</v>
      </c>
      <c r="G227" s="66"/>
      <c r="H227" s="10"/>
      <c r="I227" s="7">
        <f>IF(FINANCIACION[[#This Row],[$ CAPITAL]]&gt;0,FINANCIACION[[#This Row],[$ CAPITAL]])</f>
        <v>3472222</v>
      </c>
      <c r="J227" s="41">
        <f>IF(FINANCIACION[[#This Row],[$ CAPITAL]]&gt;=0,FINANCIACION[[#This Row],[$ CAPITAL]]+FINANCIACION[[#This Row],[$ INTERESES]],0)</f>
        <v>5641524</v>
      </c>
    </row>
    <row r="228" spans="1:10" ht="24" hidden="1" customHeight="1" x14ac:dyDescent="0.3">
      <c r="A228" s="9">
        <v>43894</v>
      </c>
      <c r="B228" s="63" t="s">
        <v>1225</v>
      </c>
      <c r="C228" s="7">
        <v>2500000</v>
      </c>
      <c r="D228" s="7">
        <v>323170.83999999985</v>
      </c>
      <c r="E228" s="7">
        <v>2823170.84</v>
      </c>
      <c r="F228" s="7">
        <v>2761463.0499999924</v>
      </c>
      <c r="G228" s="10"/>
      <c r="H228" s="66"/>
      <c r="I228" s="7">
        <f>IF(FINANCIACION[[#This Row],[$ CAPITAL]]&gt;0,FINANCIACION[[#This Row],[$ CAPITAL]])</f>
        <v>2500000</v>
      </c>
      <c r="J228" s="11">
        <f>IF(FINANCIACION[[#This Row],[$ CAPITAL]]&gt;=0,FINANCIACION[[#This Row],[$ CAPITAL]]+FINANCIACION[[#This Row],[$ INTERESES]],0)</f>
        <v>2823170.84</v>
      </c>
    </row>
    <row r="229" spans="1:10" ht="24" hidden="1" customHeight="1" x14ac:dyDescent="0.3">
      <c r="A229" s="9">
        <v>43899</v>
      </c>
      <c r="B229" s="63" t="s">
        <v>199</v>
      </c>
      <c r="C229" s="7">
        <v>6250000</v>
      </c>
      <c r="D229" s="7">
        <v>1229000</v>
      </c>
      <c r="E229" s="7">
        <v>7479000</v>
      </c>
      <c r="F229" s="7">
        <v>-131250000</v>
      </c>
      <c r="G229" s="10"/>
      <c r="H229" s="66"/>
      <c r="I229" s="7">
        <f>IF(FINANCIACION[[#This Row],[$ CAPITAL]]&gt;0,FINANCIACION[[#This Row],[$ CAPITAL]])</f>
        <v>6250000</v>
      </c>
      <c r="J229" s="11">
        <f>IF(FINANCIACION[[#This Row],[$ CAPITAL]]&gt;=0,FINANCIACION[[#This Row],[$ CAPITAL]]+FINANCIACION[[#This Row],[$ INTERESES]],0)</f>
        <v>7479000</v>
      </c>
    </row>
    <row r="230" spans="1:10" ht="24" hidden="1" customHeight="1" x14ac:dyDescent="0.3">
      <c r="A230" s="9">
        <v>43900</v>
      </c>
      <c r="B230" s="63" t="s">
        <v>1227</v>
      </c>
      <c r="C230" s="7">
        <v>-75000000</v>
      </c>
      <c r="D230" s="7"/>
      <c r="E230" s="7" t="s">
        <v>146</v>
      </c>
      <c r="F230" s="7">
        <v>-75000000</v>
      </c>
      <c r="G230" s="10"/>
      <c r="H230" s="10"/>
      <c r="I230" s="7" t="b">
        <f>IF(FINANCIACION[[#This Row],[$ CAPITAL]]&gt;0,FINANCIACION[[#This Row],[$ CAPITAL]])</f>
        <v>0</v>
      </c>
      <c r="J230" s="41">
        <f>IF(FINANCIACION[[#This Row],[$ CAPITAL]]&gt;=0,FINANCIACION[[#This Row],[$ CAPITAL]]+FINANCIACION[[#This Row],[$ INTERESES]],0)</f>
        <v>0</v>
      </c>
    </row>
    <row r="231" spans="1:10" ht="24" hidden="1" customHeight="1" x14ac:dyDescent="0.3">
      <c r="A231" s="9">
        <v>43901</v>
      </c>
      <c r="B231" s="63" t="s">
        <v>1225</v>
      </c>
      <c r="C231" s="65">
        <v>3000000</v>
      </c>
      <c r="D231" s="7"/>
      <c r="E231" s="7">
        <v>3000000</v>
      </c>
      <c r="F231" s="7">
        <v>5761463.0499999924</v>
      </c>
      <c r="G231" s="66"/>
      <c r="H231" s="10"/>
      <c r="I231" s="7">
        <f>IF(FINANCIACION[[#This Row],[$ CAPITAL]]&gt;0,FINANCIACION[[#This Row],[$ CAPITAL]])</f>
        <v>3000000</v>
      </c>
      <c r="J231" s="41">
        <f>IF(FINANCIACION[[#This Row],[$ CAPITAL]]&gt;=0,FINANCIACION[[#This Row],[$ CAPITAL]]+FINANCIACION[[#This Row],[$ INTERESES]],0)</f>
        <v>3000000</v>
      </c>
    </row>
    <row r="232" spans="1:10" ht="24" hidden="1" customHeight="1" x14ac:dyDescent="0.3">
      <c r="A232" s="9">
        <v>43906</v>
      </c>
      <c r="B232" s="63" t="s">
        <v>1225</v>
      </c>
      <c r="C232" s="7">
        <v>1000000</v>
      </c>
      <c r="D232" s="7"/>
      <c r="E232" s="7">
        <v>1000000</v>
      </c>
      <c r="F232" s="7">
        <v>8761463.0499999933</v>
      </c>
      <c r="G232" s="66"/>
      <c r="H232" s="10"/>
      <c r="I232" s="7">
        <f>IF(FINANCIACION[[#This Row],[$ CAPITAL]]&gt;0,FINANCIACION[[#This Row],[$ CAPITAL]])</f>
        <v>1000000</v>
      </c>
      <c r="J232" s="41">
        <f>IF(FINANCIACION[[#This Row],[$ CAPITAL]]&gt;=0,FINANCIACION[[#This Row],[$ CAPITAL]]+FINANCIACION[[#This Row],[$ INTERESES]],0)</f>
        <v>1000000</v>
      </c>
    </row>
    <row r="233" spans="1:10" ht="24" hidden="1" customHeight="1" x14ac:dyDescent="0.3">
      <c r="A233" s="9">
        <v>43906</v>
      </c>
      <c r="B233" s="63" t="s">
        <v>1225</v>
      </c>
      <c r="C233" s="7">
        <v>2000000</v>
      </c>
      <c r="D233" s="7"/>
      <c r="E233" s="7">
        <v>2000000</v>
      </c>
      <c r="F233" s="7">
        <v>8761463.0499999933</v>
      </c>
      <c r="G233" s="66"/>
      <c r="H233" s="10"/>
      <c r="I233" s="7">
        <f>IF(FINANCIACION[[#This Row],[$ CAPITAL]]&gt;0,FINANCIACION[[#This Row],[$ CAPITAL]])</f>
        <v>2000000</v>
      </c>
      <c r="J233" s="41">
        <f>IF(FINANCIACION[[#This Row],[$ CAPITAL]]&gt;=0,FINANCIACION[[#This Row],[$ CAPITAL]]+FINANCIACION[[#This Row],[$ INTERESES]],0)</f>
        <v>2000000</v>
      </c>
    </row>
    <row r="234" spans="1:10" ht="24" hidden="1" customHeight="1" x14ac:dyDescent="0.3">
      <c r="A234" s="9">
        <v>43908</v>
      </c>
      <c r="B234" s="63" t="s">
        <v>1224</v>
      </c>
      <c r="C234" s="7">
        <v>1513636.1431404999</v>
      </c>
      <c r="D234" s="7">
        <v>4992178.8568594996</v>
      </c>
      <c r="E234" s="7">
        <v>6505815</v>
      </c>
      <c r="F234" s="7">
        <v>-384651930.99999994</v>
      </c>
      <c r="G234" s="66"/>
      <c r="H234" s="10"/>
      <c r="I234" s="7">
        <f>IF(FINANCIACION[[#This Row],[$ CAPITAL]]&gt;0,FINANCIACION[[#This Row],[$ CAPITAL]])</f>
        <v>1513636.1431404999</v>
      </c>
      <c r="J234" s="41">
        <f>IF(FINANCIACION[[#This Row],[$ CAPITAL]]&gt;=0,FINANCIACION[[#This Row],[$ CAPITAL]]+FINANCIACION[[#This Row],[$ INTERESES]],0)</f>
        <v>6505815</v>
      </c>
    </row>
    <row r="235" spans="1:10" ht="24" hidden="1" customHeight="1" x14ac:dyDescent="0.3">
      <c r="A235" s="9">
        <v>43915</v>
      </c>
      <c r="B235" s="63" t="s">
        <v>195</v>
      </c>
      <c r="C235" s="7">
        <v>1250000</v>
      </c>
      <c r="D235" s="7">
        <v>214114</v>
      </c>
      <c r="E235" s="7">
        <v>1464114</v>
      </c>
      <c r="F235" s="7">
        <v>-16250000</v>
      </c>
      <c r="G235" s="66"/>
      <c r="H235" s="76"/>
      <c r="I235" s="7">
        <f>IF(FINANCIACION[[#This Row],[$ CAPITAL]]&gt;0,FINANCIACION[[#This Row],[$ CAPITAL]])</f>
        <v>1250000</v>
      </c>
      <c r="J235" s="41">
        <f>IF(FINANCIACION[[#This Row],[$ CAPITAL]]&gt;=0,FINANCIACION[[#This Row],[$ CAPITAL]]+FINANCIACION[[#This Row],[$ INTERESES]],0)</f>
        <v>1464114</v>
      </c>
    </row>
    <row r="236" spans="1:10" ht="24" hidden="1" customHeight="1" x14ac:dyDescent="0.3">
      <c r="A236" s="9">
        <v>43927</v>
      </c>
      <c r="B236" s="63" t="s">
        <v>1225</v>
      </c>
      <c r="C236" s="7">
        <v>1063762</v>
      </c>
      <c r="D236" s="7"/>
      <c r="E236" s="7">
        <v>1063762</v>
      </c>
      <c r="F236" s="7">
        <v>9825225.0499999933</v>
      </c>
      <c r="G236" s="10"/>
      <c r="H236" s="10"/>
      <c r="I236" s="7">
        <f>IF(FINANCIACION[[#This Row],[$ CAPITAL]]&gt;0,FINANCIACION[[#This Row],[$ CAPITAL]])</f>
        <v>1063762</v>
      </c>
      <c r="J236" s="41">
        <f>IF(FINANCIACION[[#This Row],[$ CAPITAL]]&gt;=0,FINANCIACION[[#This Row],[$ CAPITAL]]+FINANCIACION[[#This Row],[$ INTERESES]],0)</f>
        <v>1063762</v>
      </c>
    </row>
    <row r="237" spans="1:10" ht="24" hidden="1" customHeight="1" x14ac:dyDescent="0.3">
      <c r="A237" s="9">
        <v>43930</v>
      </c>
      <c r="B237" s="63" t="s">
        <v>1225</v>
      </c>
      <c r="C237" s="65">
        <v>-1235000</v>
      </c>
      <c r="D237" s="7"/>
      <c r="E237" s="7" t="s">
        <v>146</v>
      </c>
      <c r="F237" s="7">
        <v>8590225.0499999933</v>
      </c>
      <c r="G237" s="66"/>
      <c r="H237" s="10"/>
      <c r="I237" s="7" t="b">
        <f>IF(FINANCIACION[[#This Row],[$ CAPITAL]]&gt;0,FINANCIACION[[#This Row],[$ CAPITAL]])</f>
        <v>0</v>
      </c>
      <c r="J237" s="41">
        <f>IF(FINANCIACION[[#This Row],[$ CAPITAL]]&gt;=0,FINANCIACION[[#This Row],[$ CAPITAL]]+FINANCIACION[[#This Row],[$ INTERESES]],0)</f>
        <v>0</v>
      </c>
    </row>
    <row r="238" spans="1:10" ht="24" hidden="1" customHeight="1" x14ac:dyDescent="0.3">
      <c r="A238" s="9">
        <v>43935</v>
      </c>
      <c r="B238" s="63" t="s">
        <v>1225</v>
      </c>
      <c r="C238" s="7">
        <v>1030593</v>
      </c>
      <c r="D238" s="7"/>
      <c r="E238" s="7">
        <v>1030593</v>
      </c>
      <c r="F238" s="7">
        <v>9620818.0499999933</v>
      </c>
      <c r="G238" s="66"/>
      <c r="H238" s="10"/>
      <c r="I238" s="7">
        <f>IF(FINANCIACION[[#This Row],[$ CAPITAL]]&gt;0,FINANCIACION[[#This Row],[$ CAPITAL]])</f>
        <v>1030593</v>
      </c>
      <c r="J238" s="41">
        <f>IF(FINANCIACION[[#This Row],[$ CAPITAL]]&gt;=0,FINANCIACION[[#This Row],[$ CAPITAL]]+FINANCIACION[[#This Row],[$ INTERESES]],0)</f>
        <v>1030593</v>
      </c>
    </row>
    <row r="239" spans="1:10" ht="24" hidden="1" customHeight="1" x14ac:dyDescent="0.3">
      <c r="A239" s="9">
        <v>43948</v>
      </c>
      <c r="B239" s="63" t="s">
        <v>1225</v>
      </c>
      <c r="C239" s="7">
        <v>194501</v>
      </c>
      <c r="D239" s="7"/>
      <c r="E239" s="7">
        <v>194501</v>
      </c>
      <c r="F239" s="7">
        <v>9815319.0499999933</v>
      </c>
      <c r="G239" s="66"/>
      <c r="H239" s="10"/>
      <c r="I239" s="7">
        <f>IF(FINANCIACION[[#This Row],[$ CAPITAL]]&gt;0,FINANCIACION[[#This Row],[$ CAPITAL]])</f>
        <v>194501</v>
      </c>
      <c r="J239" s="41">
        <f>IF(FINANCIACION[[#This Row],[$ CAPITAL]]&gt;=0,FINANCIACION[[#This Row],[$ CAPITAL]]+FINANCIACION[[#This Row],[$ INTERESES]],0)</f>
        <v>194501</v>
      </c>
    </row>
    <row r="240" spans="1:10" ht="24" hidden="1" customHeight="1" x14ac:dyDescent="0.3">
      <c r="A240" s="9">
        <v>43951</v>
      </c>
      <c r="B240" s="63" t="s">
        <v>1225</v>
      </c>
      <c r="C240" s="7">
        <v>-2289805</v>
      </c>
      <c r="D240" s="7"/>
      <c r="E240" s="7" t="s">
        <v>146</v>
      </c>
      <c r="F240" s="7">
        <v>7525514.0499999933</v>
      </c>
      <c r="G240" s="66"/>
      <c r="H240" s="10"/>
      <c r="I240" s="7" t="b">
        <f>IF(FINANCIACION[[#This Row],[$ CAPITAL]]&gt;0,FINANCIACION[[#This Row],[$ CAPITAL]])</f>
        <v>0</v>
      </c>
      <c r="J240" s="41">
        <f>IF(FINANCIACION[[#This Row],[$ CAPITAL]]&gt;=0,FINANCIACION[[#This Row],[$ CAPITAL]]+FINANCIACION[[#This Row],[$ INTERESES]],0)</f>
        <v>0</v>
      </c>
    </row>
    <row r="241" spans="1:10" ht="24" hidden="1" customHeight="1" x14ac:dyDescent="0.3">
      <c r="A241" s="9">
        <v>43952</v>
      </c>
      <c r="B241" s="63" t="s">
        <v>1225</v>
      </c>
      <c r="C241" s="7">
        <v>-39625275</v>
      </c>
      <c r="D241" s="7"/>
      <c r="E241" s="7" t="s">
        <v>146</v>
      </c>
      <c r="F241" s="7">
        <v>-32099760.950000007</v>
      </c>
      <c r="G241" s="66"/>
      <c r="H241" s="66"/>
      <c r="I241" s="7" t="b">
        <f>IF(FINANCIACION[[#This Row],[$ CAPITAL]]&gt;0,FINANCIACION[[#This Row],[$ CAPITAL]])</f>
        <v>0</v>
      </c>
      <c r="J241" s="41">
        <f>IF(FINANCIACION[[#This Row],[$ CAPITAL]]&gt;=0,FINANCIACION[[#This Row],[$ CAPITAL]]+FINANCIACION[[#This Row],[$ INTERESES]],0)</f>
        <v>0</v>
      </c>
    </row>
    <row r="242" spans="1:10" ht="24" hidden="1" customHeight="1" x14ac:dyDescent="0.3">
      <c r="A242" s="9">
        <v>43952</v>
      </c>
      <c r="B242" s="63" t="s">
        <v>1225</v>
      </c>
      <c r="C242" s="7"/>
      <c r="D242" s="7">
        <v>1688036.71</v>
      </c>
      <c r="E242" s="7">
        <v>1688036.71</v>
      </c>
      <c r="F242" s="7">
        <v>-32099760.950000007</v>
      </c>
      <c r="G242" s="66"/>
      <c r="H242" s="10"/>
      <c r="I242" s="7" t="b">
        <f>IF(FINANCIACION[[#This Row],[$ CAPITAL]]&gt;0,FINANCIACION[[#This Row],[$ CAPITAL]])</f>
        <v>0</v>
      </c>
      <c r="J242" s="41">
        <f>IF(FINANCIACION[[#This Row],[$ CAPITAL]]&gt;=0,FINANCIACION[[#This Row],[$ CAPITAL]]+FINANCIACION[[#This Row],[$ INTERESES]],0)</f>
        <v>1688036.71</v>
      </c>
    </row>
    <row r="243" spans="1:10" ht="24" hidden="1" customHeight="1" x14ac:dyDescent="0.3">
      <c r="A243" s="9">
        <v>43958</v>
      </c>
      <c r="B243" s="63" t="s">
        <v>1225</v>
      </c>
      <c r="C243" s="7">
        <v>-1532050</v>
      </c>
      <c r="D243" s="7"/>
      <c r="E243" s="7" t="s">
        <v>146</v>
      </c>
      <c r="F243" s="7">
        <v>-39372691.950000003</v>
      </c>
      <c r="G243" s="66"/>
      <c r="H243" s="10"/>
      <c r="I243" s="7" t="b">
        <f>IF(FINANCIACION[[#This Row],[$ CAPITAL]]&gt;0,FINANCIACION[[#This Row],[$ CAPITAL]])</f>
        <v>0</v>
      </c>
      <c r="J243" s="41">
        <f>IF(FINANCIACION[[#This Row],[$ CAPITAL]]&gt;=0,FINANCIACION[[#This Row],[$ CAPITAL]]+FINANCIACION[[#This Row],[$ INTERESES]],0)</f>
        <v>0</v>
      </c>
    </row>
    <row r="244" spans="1:10" ht="24" hidden="1" customHeight="1" x14ac:dyDescent="0.3">
      <c r="A244" s="9">
        <v>43958</v>
      </c>
      <c r="B244" s="63" t="s">
        <v>1225</v>
      </c>
      <c r="C244" s="7">
        <v>800765</v>
      </c>
      <c r="D244" s="7"/>
      <c r="E244" s="7">
        <v>800765</v>
      </c>
      <c r="F244" s="7">
        <v>-39372691.950000003</v>
      </c>
      <c r="G244" s="66"/>
      <c r="H244" s="10"/>
      <c r="I244" s="7">
        <f>IF(FINANCIACION[[#This Row],[$ CAPITAL]]&gt;0,FINANCIACION[[#This Row],[$ CAPITAL]])</f>
        <v>800765</v>
      </c>
      <c r="J244" s="41">
        <f>IF(FINANCIACION[[#This Row],[$ CAPITAL]]&gt;=0,FINANCIACION[[#This Row],[$ CAPITAL]]+FINANCIACION[[#This Row],[$ INTERESES]],0)</f>
        <v>800765</v>
      </c>
    </row>
    <row r="245" spans="1:10" ht="24" hidden="1" customHeight="1" x14ac:dyDescent="0.3">
      <c r="A245" s="9">
        <v>43958</v>
      </c>
      <c r="B245" s="63" t="s">
        <v>1225</v>
      </c>
      <c r="C245" s="7">
        <v>-6541646</v>
      </c>
      <c r="D245" s="7"/>
      <c r="E245" s="7" t="s">
        <v>146</v>
      </c>
      <c r="F245" s="7">
        <v>-39372691.950000003</v>
      </c>
      <c r="G245" s="10"/>
      <c r="H245" s="10"/>
      <c r="I245" s="7" t="b">
        <f>IF(FINANCIACION[[#This Row],[$ CAPITAL]]&gt;0,FINANCIACION[[#This Row],[$ CAPITAL]])</f>
        <v>0</v>
      </c>
      <c r="J245" s="41">
        <f>IF(FINANCIACION[[#This Row],[$ CAPITAL]]&gt;=0,FINANCIACION[[#This Row],[$ CAPITAL]]+FINANCIACION[[#This Row],[$ INTERESES]],0)</f>
        <v>0</v>
      </c>
    </row>
    <row r="246" spans="1:10" ht="24" hidden="1" customHeight="1" x14ac:dyDescent="0.3">
      <c r="A246" s="9">
        <v>43970</v>
      </c>
      <c r="B246" s="63" t="s">
        <v>1225</v>
      </c>
      <c r="C246" s="7">
        <v>-18600000</v>
      </c>
      <c r="D246" s="7"/>
      <c r="E246" s="7" t="s">
        <v>146</v>
      </c>
      <c r="F246" s="7">
        <v>-57972691.950000003</v>
      </c>
      <c r="G246" s="10"/>
      <c r="H246" s="10"/>
      <c r="I246" s="7" t="b">
        <f>IF(FINANCIACION[[#This Row],[$ CAPITAL]]&gt;0,FINANCIACION[[#This Row],[$ CAPITAL]])</f>
        <v>0</v>
      </c>
      <c r="J246" s="41">
        <f>IF(FINANCIACION[[#This Row],[$ CAPITAL]]&gt;=0,FINANCIACION[[#This Row],[$ CAPITAL]]+FINANCIACION[[#This Row],[$ INTERESES]],0)</f>
        <v>0</v>
      </c>
    </row>
    <row r="247" spans="1:10" ht="24" hidden="1" customHeight="1" x14ac:dyDescent="0.3">
      <c r="A247" s="9">
        <v>43971</v>
      </c>
      <c r="B247" s="63" t="s">
        <v>1226</v>
      </c>
      <c r="C247" s="7"/>
      <c r="D247" s="7">
        <v>840000</v>
      </c>
      <c r="E247" s="7">
        <v>840000</v>
      </c>
      <c r="F247" s="7">
        <v>-84000000</v>
      </c>
      <c r="G247" s="10"/>
      <c r="H247" s="10"/>
      <c r="I247" s="7" t="b">
        <f>IF(FINANCIACION[[#This Row],[$ CAPITAL]]&gt;0,FINANCIACION[[#This Row],[$ CAPITAL]])</f>
        <v>0</v>
      </c>
      <c r="J247" s="41">
        <f>IF(FINANCIACION[[#This Row],[$ CAPITAL]]&gt;=0,FINANCIACION[[#This Row],[$ CAPITAL]]+FINANCIACION[[#This Row],[$ INTERESES]],0)</f>
        <v>840000</v>
      </c>
    </row>
    <row r="248" spans="1:10" ht="24" hidden="1" customHeight="1" x14ac:dyDescent="0.3">
      <c r="A248" s="9">
        <v>43973</v>
      </c>
      <c r="B248" s="63" t="s">
        <v>1225</v>
      </c>
      <c r="C248" s="7">
        <v>113227.5</v>
      </c>
      <c r="D248" s="7"/>
      <c r="E248" s="7">
        <v>113227.5</v>
      </c>
      <c r="F248" s="7">
        <v>-48459464.450000003</v>
      </c>
      <c r="G248" s="10"/>
      <c r="H248" s="10"/>
      <c r="I248" s="7">
        <f>IF(FINANCIACION[[#This Row],[$ CAPITAL]]&gt;0,FINANCIACION[[#This Row],[$ CAPITAL]])</f>
        <v>113227.5</v>
      </c>
      <c r="J248" s="41">
        <f>IF(FINANCIACION[[#This Row],[$ CAPITAL]]&gt;=0,FINANCIACION[[#This Row],[$ CAPITAL]]+FINANCIACION[[#This Row],[$ INTERESES]],0)</f>
        <v>113227.5</v>
      </c>
    </row>
    <row r="249" spans="1:10" ht="24" hidden="1" customHeight="1" x14ac:dyDescent="0.3">
      <c r="A249" s="9">
        <v>43973</v>
      </c>
      <c r="B249" s="63" t="s">
        <v>1225</v>
      </c>
      <c r="C249" s="7">
        <v>9400000</v>
      </c>
      <c r="D249" s="7"/>
      <c r="E249" s="7">
        <v>9400000</v>
      </c>
      <c r="F249" s="7">
        <v>-48459464.450000003</v>
      </c>
      <c r="G249" s="10"/>
      <c r="H249" s="10"/>
      <c r="I249" s="7">
        <f>IF(FINANCIACION[[#This Row],[$ CAPITAL]]&gt;0,FINANCIACION[[#This Row],[$ CAPITAL]])</f>
        <v>9400000</v>
      </c>
      <c r="J249" s="41">
        <f>IF(FINANCIACION[[#This Row],[$ CAPITAL]]&gt;=0,FINANCIACION[[#This Row],[$ CAPITAL]]+FINANCIACION[[#This Row],[$ INTERESES]],0)</f>
        <v>9400000</v>
      </c>
    </row>
    <row r="250" spans="1:10" ht="24" hidden="1" customHeight="1" x14ac:dyDescent="0.3">
      <c r="A250" s="9">
        <v>43977</v>
      </c>
      <c r="B250" s="63" t="s">
        <v>1225</v>
      </c>
      <c r="C250" s="7">
        <v>1215058</v>
      </c>
      <c r="D250" s="7"/>
      <c r="E250" s="7">
        <v>1215058</v>
      </c>
      <c r="F250" s="7">
        <v>-46244406.450000003</v>
      </c>
      <c r="G250" s="10"/>
      <c r="H250" s="10"/>
      <c r="I250" s="7">
        <f>IF(FINANCIACION[[#This Row],[$ CAPITAL]]&gt;0,FINANCIACION[[#This Row],[$ CAPITAL]])</f>
        <v>1215058</v>
      </c>
      <c r="J250" s="41">
        <f>IF(FINANCIACION[[#This Row],[$ CAPITAL]]&gt;=0,FINANCIACION[[#This Row],[$ CAPITAL]]+FINANCIACION[[#This Row],[$ INTERESES]],0)</f>
        <v>1215058</v>
      </c>
    </row>
    <row r="251" spans="1:10" ht="24" hidden="1" customHeight="1" x14ac:dyDescent="0.3">
      <c r="A251" s="9">
        <v>43977</v>
      </c>
      <c r="B251" s="63" t="s">
        <v>1225</v>
      </c>
      <c r="C251" s="7">
        <v>1000000</v>
      </c>
      <c r="D251" s="7"/>
      <c r="E251" s="7">
        <v>1000000</v>
      </c>
      <c r="F251" s="7">
        <v>-46244406.450000003</v>
      </c>
      <c r="G251" s="10"/>
      <c r="H251" s="10"/>
      <c r="I251" s="7">
        <f>IF(FINANCIACION[[#This Row],[$ CAPITAL]]&gt;0,FINANCIACION[[#This Row],[$ CAPITAL]])</f>
        <v>1000000</v>
      </c>
      <c r="J251" s="41">
        <f>IF(FINANCIACION[[#This Row],[$ CAPITAL]]&gt;=0,FINANCIACION[[#This Row],[$ CAPITAL]]+FINANCIACION[[#This Row],[$ INTERESES]],0)</f>
        <v>1000000</v>
      </c>
    </row>
    <row r="252" spans="1:10" ht="24" hidden="1" customHeight="1" x14ac:dyDescent="0.3">
      <c r="A252" s="9">
        <v>43978</v>
      </c>
      <c r="B252" s="63" t="s">
        <v>1225</v>
      </c>
      <c r="C252" s="7">
        <v>2000000</v>
      </c>
      <c r="D252" s="7"/>
      <c r="E252" s="7">
        <v>2000000</v>
      </c>
      <c r="F252" s="7">
        <v>-44244406.450000003</v>
      </c>
      <c r="G252" s="10"/>
      <c r="H252" s="10"/>
      <c r="I252" s="7">
        <f>IF(FINANCIACION[[#This Row],[$ CAPITAL]]&gt;0,FINANCIACION[[#This Row],[$ CAPITAL]])</f>
        <v>2000000</v>
      </c>
      <c r="J252" s="41">
        <f>IF(FINANCIACION[[#This Row],[$ CAPITAL]]&gt;=0,FINANCIACION[[#This Row],[$ CAPITAL]]+FINANCIACION[[#This Row],[$ INTERESES]],0)</f>
        <v>2000000</v>
      </c>
    </row>
    <row r="253" spans="1:10" ht="24" hidden="1" customHeight="1" x14ac:dyDescent="0.3">
      <c r="A253" s="9">
        <v>43980</v>
      </c>
      <c r="B253" s="63" t="s">
        <v>1225</v>
      </c>
      <c r="C253" s="7">
        <v>1000000</v>
      </c>
      <c r="D253" s="7"/>
      <c r="E253" s="7">
        <v>1000000</v>
      </c>
      <c r="F253" s="7">
        <v>-43244406.450000003</v>
      </c>
      <c r="G253" s="10"/>
      <c r="H253" s="10"/>
      <c r="I253" s="7">
        <f>IF(FINANCIACION[[#This Row],[$ CAPITAL]]&gt;0,FINANCIACION[[#This Row],[$ CAPITAL]])</f>
        <v>1000000</v>
      </c>
      <c r="J253" s="41">
        <f>IF(FINANCIACION[[#This Row],[$ CAPITAL]]&gt;=0,FINANCIACION[[#This Row],[$ CAPITAL]]+FINANCIACION[[#This Row],[$ INTERESES]],0)</f>
        <v>1000000</v>
      </c>
    </row>
    <row r="254" spans="1:10" ht="24" hidden="1" customHeight="1" x14ac:dyDescent="0.3">
      <c r="A254" s="9">
        <v>43982</v>
      </c>
      <c r="B254" s="63" t="s">
        <v>1225</v>
      </c>
      <c r="C254" s="7">
        <v>607650</v>
      </c>
      <c r="D254" s="7"/>
      <c r="E254" s="7">
        <v>607650</v>
      </c>
      <c r="F254" s="7">
        <v>-44947351.950000003</v>
      </c>
      <c r="G254" s="10"/>
      <c r="H254" s="10"/>
      <c r="I254" s="7">
        <f>IF(FINANCIACION[[#This Row],[$ CAPITAL]]&gt;0,FINANCIACION[[#This Row],[$ CAPITAL]])</f>
        <v>607650</v>
      </c>
      <c r="J254" s="41">
        <f>IF(FINANCIACION[[#This Row],[$ CAPITAL]]&gt;=0,FINANCIACION[[#This Row],[$ CAPITAL]]+FINANCIACION[[#This Row],[$ INTERESES]],0)</f>
        <v>607650</v>
      </c>
    </row>
    <row r="255" spans="1:10" ht="24" hidden="1" customHeight="1" x14ac:dyDescent="0.3">
      <c r="A255" s="9">
        <v>43982</v>
      </c>
      <c r="B255" s="63" t="s">
        <v>1225</v>
      </c>
      <c r="C255" s="7">
        <v>-1739144.5</v>
      </c>
      <c r="D255" s="7"/>
      <c r="E255" s="7" t="s">
        <v>146</v>
      </c>
      <c r="F255" s="7">
        <v>-44947351.950000003</v>
      </c>
      <c r="G255" s="10"/>
      <c r="H255" s="10"/>
      <c r="I255" s="7" t="b">
        <f>IF(FINANCIACION[[#This Row],[$ CAPITAL]]&gt;0,FINANCIACION[[#This Row],[$ CAPITAL]])</f>
        <v>0</v>
      </c>
      <c r="J255" s="41">
        <f>IF(FINANCIACION[[#This Row],[$ CAPITAL]]&gt;=0,FINANCIACION[[#This Row],[$ CAPITAL]]+FINANCIACION[[#This Row],[$ INTERESES]],0)</f>
        <v>0</v>
      </c>
    </row>
    <row r="256" spans="1:10" ht="24" hidden="1" customHeight="1" x14ac:dyDescent="0.3">
      <c r="A256" s="9">
        <v>43982</v>
      </c>
      <c r="B256" s="63" t="s">
        <v>1225</v>
      </c>
      <c r="C256" s="7">
        <v>-571451</v>
      </c>
      <c r="D256" s="7"/>
      <c r="E256" s="7" t="s">
        <v>146</v>
      </c>
      <c r="F256" s="7">
        <v>-44947351.950000003</v>
      </c>
      <c r="G256" s="10"/>
      <c r="H256" s="10"/>
      <c r="I256" s="7" t="b">
        <f>IF(FINANCIACION[[#This Row],[$ CAPITAL]]&gt;0,FINANCIACION[[#This Row],[$ CAPITAL]])</f>
        <v>0</v>
      </c>
      <c r="J256" s="41">
        <f>IF(FINANCIACION[[#This Row],[$ CAPITAL]]&gt;=0,FINANCIACION[[#This Row],[$ CAPITAL]]+FINANCIACION[[#This Row],[$ INTERESES]],0)</f>
        <v>0</v>
      </c>
    </row>
    <row r="257" spans="1:10" ht="24" hidden="1" customHeight="1" x14ac:dyDescent="0.3">
      <c r="A257" s="9">
        <v>43985</v>
      </c>
      <c r="B257" s="63" t="s">
        <v>1225</v>
      </c>
      <c r="C257" s="7">
        <v>-32325882</v>
      </c>
      <c r="D257" s="7"/>
      <c r="E257" s="7" t="s">
        <v>146</v>
      </c>
      <c r="F257" s="7">
        <v>-77273233.950000003</v>
      </c>
      <c r="G257" s="10"/>
      <c r="H257" s="10"/>
      <c r="I257" s="7" t="b">
        <f>IF(FINANCIACION[[#This Row],[$ CAPITAL]]&gt;0,FINANCIACION[[#This Row],[$ CAPITAL]])</f>
        <v>0</v>
      </c>
      <c r="J257" s="41">
        <f>IF(FINANCIACION[[#This Row],[$ CAPITAL]]&gt;=0,FINANCIACION[[#This Row],[$ CAPITAL]]+FINANCIACION[[#This Row],[$ INTERESES]],0)</f>
        <v>0</v>
      </c>
    </row>
    <row r="258" spans="1:10" ht="24" hidden="1" customHeight="1" x14ac:dyDescent="0.3">
      <c r="A258" s="9">
        <v>43985</v>
      </c>
      <c r="B258" s="63" t="s">
        <v>1225</v>
      </c>
      <c r="C258" s="7"/>
      <c r="D258" s="7">
        <v>1377082.57</v>
      </c>
      <c r="E258" s="7">
        <v>1377082.57</v>
      </c>
      <c r="F258" s="7">
        <v>-77273233.950000003</v>
      </c>
      <c r="G258" s="10"/>
      <c r="H258" s="10"/>
      <c r="I258" s="7" t="b">
        <f>IF(FINANCIACION[[#This Row],[$ CAPITAL]]&gt;0,FINANCIACION[[#This Row],[$ CAPITAL]])</f>
        <v>0</v>
      </c>
      <c r="J258" s="41">
        <f>IF(FINANCIACION[[#This Row],[$ CAPITAL]]&gt;=0,FINANCIACION[[#This Row],[$ CAPITAL]]+FINANCIACION[[#This Row],[$ INTERESES]],0)</f>
        <v>1377082.57</v>
      </c>
    </row>
    <row r="259" spans="1:10" ht="24" hidden="1" customHeight="1" x14ac:dyDescent="0.3">
      <c r="A259" s="9">
        <v>43990</v>
      </c>
      <c r="B259" s="63" t="s">
        <v>1225</v>
      </c>
      <c r="C259" s="7">
        <v>1000000</v>
      </c>
      <c r="D259" s="7"/>
      <c r="E259" s="7">
        <v>1000000</v>
      </c>
      <c r="F259" s="7">
        <v>-76273233.950000003</v>
      </c>
      <c r="G259" s="10"/>
      <c r="H259" s="10"/>
      <c r="I259" s="7">
        <f>IF(FINANCIACION[[#This Row],[$ CAPITAL]]&gt;0,FINANCIACION[[#This Row],[$ CAPITAL]])</f>
        <v>1000000</v>
      </c>
      <c r="J259" s="41">
        <f>IF(FINANCIACION[[#This Row],[$ CAPITAL]]&gt;=0,FINANCIACION[[#This Row],[$ CAPITAL]]+FINANCIACION[[#This Row],[$ INTERESES]],0)</f>
        <v>1000000</v>
      </c>
    </row>
    <row r="260" spans="1:10" ht="24" hidden="1" customHeight="1" x14ac:dyDescent="0.3">
      <c r="A260" s="9">
        <v>43992</v>
      </c>
      <c r="B260" s="63" t="s">
        <v>1225</v>
      </c>
      <c r="C260" s="7">
        <v>2000000</v>
      </c>
      <c r="D260" s="7"/>
      <c r="E260" s="7">
        <v>2000000</v>
      </c>
      <c r="F260" s="7">
        <v>-69273233.950000003</v>
      </c>
      <c r="G260" s="10"/>
      <c r="H260" s="10"/>
      <c r="I260" s="7">
        <f>IF(FINANCIACION[[#This Row],[$ CAPITAL]]&gt;0,FINANCIACION[[#This Row],[$ CAPITAL]])</f>
        <v>2000000</v>
      </c>
      <c r="J260" s="41">
        <f>IF(FINANCIACION[[#This Row],[$ CAPITAL]]&gt;=0,FINANCIACION[[#This Row],[$ CAPITAL]]+FINANCIACION[[#This Row],[$ INTERESES]],0)</f>
        <v>2000000</v>
      </c>
    </row>
    <row r="261" spans="1:10" ht="24" hidden="1" customHeight="1" x14ac:dyDescent="0.3">
      <c r="A261" s="9">
        <v>43992</v>
      </c>
      <c r="B261" s="63" t="s">
        <v>1225</v>
      </c>
      <c r="C261" s="7">
        <v>3000000</v>
      </c>
      <c r="D261" s="7"/>
      <c r="E261" s="7">
        <v>3000000</v>
      </c>
      <c r="F261" s="7">
        <v>-69273233.950000003</v>
      </c>
      <c r="G261" s="10"/>
      <c r="H261" s="10"/>
      <c r="I261" s="7">
        <f>IF(FINANCIACION[[#This Row],[$ CAPITAL]]&gt;0,FINANCIACION[[#This Row],[$ CAPITAL]])</f>
        <v>3000000</v>
      </c>
      <c r="J261" s="41">
        <f>IF(FINANCIACION[[#This Row],[$ CAPITAL]]&gt;=0,FINANCIACION[[#This Row],[$ CAPITAL]]+FINANCIACION[[#This Row],[$ INTERESES]],0)</f>
        <v>3000000</v>
      </c>
    </row>
    <row r="262" spans="1:10" ht="24" hidden="1" customHeight="1" x14ac:dyDescent="0.3">
      <c r="A262" s="9">
        <v>43992</v>
      </c>
      <c r="B262" s="63" t="s">
        <v>1225</v>
      </c>
      <c r="C262" s="7">
        <v>2000000</v>
      </c>
      <c r="D262" s="7"/>
      <c r="E262" s="7">
        <v>2000000</v>
      </c>
      <c r="F262" s="7">
        <v>-69273233.950000003</v>
      </c>
      <c r="G262" s="10"/>
      <c r="H262" s="10"/>
      <c r="I262" s="7">
        <f>IF(FINANCIACION[[#This Row],[$ CAPITAL]]&gt;0,FINANCIACION[[#This Row],[$ CAPITAL]])</f>
        <v>2000000</v>
      </c>
      <c r="J262" s="41">
        <f>IF(FINANCIACION[[#This Row],[$ CAPITAL]]&gt;=0,FINANCIACION[[#This Row],[$ CAPITAL]]+FINANCIACION[[#This Row],[$ INTERESES]],0)</f>
        <v>2000000</v>
      </c>
    </row>
    <row r="263" spans="1:10" ht="24" hidden="1" customHeight="1" x14ac:dyDescent="0.3">
      <c r="A263" s="9">
        <v>43995</v>
      </c>
      <c r="B263" s="63" t="s">
        <v>1225</v>
      </c>
      <c r="C263" s="7">
        <v>578591</v>
      </c>
      <c r="D263" s="7"/>
      <c r="E263" s="7">
        <v>578591</v>
      </c>
      <c r="F263" s="7">
        <v>-62021870.950000003</v>
      </c>
      <c r="G263" s="10"/>
      <c r="H263" s="10"/>
      <c r="I263" s="7">
        <f>IF(FINANCIACION[[#This Row],[$ CAPITAL]]&gt;0,FINANCIACION[[#This Row],[$ CAPITAL]])</f>
        <v>578591</v>
      </c>
      <c r="J263" s="41">
        <f>IF(FINANCIACION[[#This Row],[$ CAPITAL]]&gt;=0,FINANCIACION[[#This Row],[$ CAPITAL]]+FINANCIACION[[#This Row],[$ INTERESES]],0)</f>
        <v>578591</v>
      </c>
    </row>
    <row r="264" spans="1:10" ht="24" hidden="1" customHeight="1" x14ac:dyDescent="0.3">
      <c r="A264" s="9">
        <v>43995</v>
      </c>
      <c r="B264" s="63" t="s">
        <v>1225</v>
      </c>
      <c r="C264" s="7">
        <v>1672772</v>
      </c>
      <c r="D264" s="7"/>
      <c r="E264" s="7">
        <v>1672772</v>
      </c>
      <c r="F264" s="7">
        <v>-62021870.950000003</v>
      </c>
      <c r="G264" s="10"/>
      <c r="H264" s="10"/>
      <c r="I264" s="7">
        <f>IF(FINANCIACION[[#This Row],[$ CAPITAL]]&gt;0,FINANCIACION[[#This Row],[$ CAPITAL]])</f>
        <v>1672772</v>
      </c>
      <c r="J264" s="41">
        <f>IF(FINANCIACION[[#This Row],[$ CAPITAL]]&gt;=0,FINANCIACION[[#This Row],[$ CAPITAL]]+FINANCIACION[[#This Row],[$ INTERESES]],0)</f>
        <v>1672772</v>
      </c>
    </row>
    <row r="265" spans="1:10" ht="24" hidden="1" customHeight="1" x14ac:dyDescent="0.3">
      <c r="A265" s="9">
        <v>43995</v>
      </c>
      <c r="B265" s="63" t="s">
        <v>1225</v>
      </c>
      <c r="C265" s="7">
        <v>5000000</v>
      </c>
      <c r="D265" s="7"/>
      <c r="E265" s="7">
        <v>5000000</v>
      </c>
      <c r="F265" s="7">
        <v>-62021870.950000003</v>
      </c>
      <c r="G265" s="10"/>
      <c r="H265" s="10"/>
      <c r="I265" s="7">
        <f>IF(FINANCIACION[[#This Row],[$ CAPITAL]]&gt;0,FINANCIACION[[#This Row],[$ CAPITAL]])</f>
        <v>5000000</v>
      </c>
      <c r="J265" s="41">
        <f>IF(FINANCIACION[[#This Row],[$ CAPITAL]]&gt;=0,FINANCIACION[[#This Row],[$ CAPITAL]]+FINANCIACION[[#This Row],[$ INTERESES]],0)</f>
        <v>5000000</v>
      </c>
    </row>
    <row r="266" spans="1:10" ht="24" hidden="1" customHeight="1" x14ac:dyDescent="0.3">
      <c r="A266" s="9">
        <v>44000</v>
      </c>
      <c r="B266" s="63" t="s">
        <v>1226</v>
      </c>
      <c r="C266" s="7"/>
      <c r="D266" s="7">
        <v>840000</v>
      </c>
      <c r="E266" s="7">
        <v>840000</v>
      </c>
      <c r="F266" s="7">
        <v>-84000000</v>
      </c>
      <c r="G266" s="10"/>
      <c r="H266" s="10"/>
      <c r="I266" s="7" t="b">
        <f>IF(FINANCIACION[[#This Row],[$ CAPITAL]]&gt;0,FINANCIACION[[#This Row],[$ CAPITAL]])</f>
        <v>0</v>
      </c>
      <c r="J266" s="41">
        <f>IF(FINANCIACION[[#This Row],[$ CAPITAL]]&gt;=0,FINANCIACION[[#This Row],[$ CAPITAL]]+FINANCIACION[[#This Row],[$ INTERESES]],0)</f>
        <v>840000</v>
      </c>
    </row>
    <row r="267" spans="1:10" ht="24" hidden="1" customHeight="1" x14ac:dyDescent="0.3">
      <c r="A267" s="9">
        <v>44000</v>
      </c>
      <c r="B267" s="63" t="s">
        <v>1223</v>
      </c>
      <c r="C267" s="7">
        <v>260000</v>
      </c>
      <c r="D267" s="7">
        <v>740000</v>
      </c>
      <c r="E267" s="7">
        <v>1000000</v>
      </c>
      <c r="F267" s="7">
        <v>-66939060</v>
      </c>
      <c r="G267" s="10"/>
      <c r="H267" s="10"/>
      <c r="I267" s="7">
        <f>IF(FINANCIACION[[#This Row],[$ CAPITAL]]&gt;0,FINANCIACION[[#This Row],[$ CAPITAL]])</f>
        <v>260000</v>
      </c>
      <c r="J267" s="41">
        <f>IF(FINANCIACION[[#This Row],[$ CAPITAL]]&gt;=0,FINANCIACION[[#This Row],[$ CAPITAL]]+FINANCIACION[[#This Row],[$ INTERESES]],0)</f>
        <v>1000000</v>
      </c>
    </row>
    <row r="268" spans="1:10" ht="24" hidden="1" customHeight="1" x14ac:dyDescent="0.3">
      <c r="A268" s="9">
        <v>44000</v>
      </c>
      <c r="B268" s="63" t="s">
        <v>1225</v>
      </c>
      <c r="C268" s="7">
        <v>2000000</v>
      </c>
      <c r="D268" s="7"/>
      <c r="E268" s="7">
        <v>2000000</v>
      </c>
      <c r="F268" s="7">
        <v>-60021870.950000003</v>
      </c>
      <c r="G268" s="10"/>
      <c r="H268" s="10"/>
      <c r="I268" s="7">
        <f>IF(FINANCIACION[[#This Row],[$ CAPITAL]]&gt;0,FINANCIACION[[#This Row],[$ CAPITAL]])</f>
        <v>2000000</v>
      </c>
      <c r="J268" s="41">
        <f>IF(FINANCIACION[[#This Row],[$ CAPITAL]]&gt;=0,FINANCIACION[[#This Row],[$ CAPITAL]]+FINANCIACION[[#This Row],[$ INTERESES]],0)</f>
        <v>2000000</v>
      </c>
    </row>
    <row r="269" spans="1:10" ht="24" hidden="1" customHeight="1" x14ac:dyDescent="0.3">
      <c r="A269" s="9">
        <v>44006</v>
      </c>
      <c r="B269" s="63" t="s">
        <v>1228</v>
      </c>
      <c r="C269" s="7">
        <v>-65285277</v>
      </c>
      <c r="D269" s="7">
        <v>2792278</v>
      </c>
      <c r="E269" s="7" t="s">
        <v>146</v>
      </c>
      <c r="F269" s="7">
        <v>-65285277</v>
      </c>
      <c r="G269" s="10"/>
      <c r="H269" s="10"/>
      <c r="I269" s="7" t="b">
        <f>IF(FINANCIACION[[#This Row],[$ CAPITAL]]&gt;0,FINANCIACION[[#This Row],[$ CAPITAL]])</f>
        <v>0</v>
      </c>
      <c r="J269" s="41">
        <f>IF(FINANCIACION[[#This Row],[$ CAPITAL]]&gt;=0,FINANCIACION[[#This Row],[$ CAPITAL]]+FINANCIACION[[#This Row],[$ INTERESES]],0)</f>
        <v>0</v>
      </c>
    </row>
    <row r="270" spans="1:10" ht="24" hidden="1" customHeight="1" x14ac:dyDescent="0.3">
      <c r="A270" s="9">
        <v>44006</v>
      </c>
      <c r="B270" s="63" t="s">
        <v>1229</v>
      </c>
      <c r="C270" s="7">
        <v>-95000000</v>
      </c>
      <c r="D270" s="7">
        <v>3947242</v>
      </c>
      <c r="E270" s="7" t="s">
        <v>146</v>
      </c>
      <c r="F270" s="7">
        <v>-95000000</v>
      </c>
      <c r="G270" s="10"/>
      <c r="H270" s="10"/>
      <c r="I270" s="7" t="b">
        <f>IF(FINANCIACION[[#This Row],[$ CAPITAL]]&gt;0,FINANCIACION[[#This Row],[$ CAPITAL]])</f>
        <v>0</v>
      </c>
      <c r="J270" s="41">
        <f>IF(FINANCIACION[[#This Row],[$ CAPITAL]]&gt;=0,FINANCIACION[[#This Row],[$ CAPITAL]]+FINANCIACION[[#This Row],[$ INTERESES]],0)</f>
        <v>0</v>
      </c>
    </row>
    <row r="271" spans="1:10" ht="24" hidden="1" customHeight="1" x14ac:dyDescent="0.3">
      <c r="A271" s="9">
        <v>44007</v>
      </c>
      <c r="B271" s="63" t="s">
        <v>1225</v>
      </c>
      <c r="C271" s="7">
        <v>500000</v>
      </c>
      <c r="D271" s="7"/>
      <c r="E271" s="7">
        <v>500000</v>
      </c>
      <c r="F271" s="7">
        <v>-59521870.950000003</v>
      </c>
      <c r="G271" s="10"/>
      <c r="H271" s="10"/>
      <c r="I271" s="7">
        <f>IF(FINANCIACION[[#This Row],[$ CAPITAL]]&gt;0,FINANCIACION[[#This Row],[$ CAPITAL]])</f>
        <v>500000</v>
      </c>
      <c r="J271" s="41">
        <f>IF(FINANCIACION[[#This Row],[$ CAPITAL]]&gt;=0,FINANCIACION[[#This Row],[$ CAPITAL]]+FINANCIACION[[#This Row],[$ INTERESES]],0)</f>
        <v>500000</v>
      </c>
    </row>
    <row r="272" spans="1:10" ht="24" hidden="1" customHeight="1" x14ac:dyDescent="0.3">
      <c r="A272" s="9">
        <v>44012</v>
      </c>
      <c r="B272" s="63" t="s">
        <v>196</v>
      </c>
      <c r="C272" s="7">
        <v>-219719</v>
      </c>
      <c r="D272" s="7"/>
      <c r="E272" s="7" t="s">
        <v>146</v>
      </c>
      <c r="F272" s="7">
        <v>-38080833</v>
      </c>
      <c r="G272" s="10"/>
      <c r="H272" s="66"/>
      <c r="I272" s="7" t="b">
        <f>IF(FINANCIACION[[#This Row],[$ CAPITAL]]&gt;0,FINANCIACION[[#This Row],[$ CAPITAL]])</f>
        <v>0</v>
      </c>
      <c r="J272" s="11">
        <f>IF(FINANCIACION[[#This Row],[$ CAPITAL]]&gt;=0,FINANCIACION[[#This Row],[$ CAPITAL]]+FINANCIACION[[#This Row],[$ INTERESES]],0)</f>
        <v>0</v>
      </c>
    </row>
    <row r="273" spans="1:10" ht="24" hidden="1" customHeight="1" x14ac:dyDescent="0.3">
      <c r="A273" s="9">
        <v>44012</v>
      </c>
      <c r="B273" s="63" t="s">
        <v>1225</v>
      </c>
      <c r="C273" s="7">
        <v>-311626.27</v>
      </c>
      <c r="D273" s="7"/>
      <c r="E273" s="7" t="s">
        <v>146</v>
      </c>
      <c r="F273" s="7">
        <v>-78383579.760000005</v>
      </c>
      <c r="G273" s="10"/>
      <c r="H273" s="66"/>
      <c r="I273" s="7" t="b">
        <f>IF(FINANCIACION[[#This Row],[$ CAPITAL]]&gt;0,FINANCIACION[[#This Row],[$ CAPITAL]])</f>
        <v>0</v>
      </c>
      <c r="J273" s="11">
        <f>IF(FINANCIACION[[#This Row],[$ CAPITAL]]&gt;=0,FINANCIACION[[#This Row],[$ CAPITAL]]+FINANCIACION[[#This Row],[$ INTERESES]],0)</f>
        <v>0</v>
      </c>
    </row>
    <row r="274" spans="1:10" ht="24" hidden="1" customHeight="1" x14ac:dyDescent="0.3">
      <c r="A274" s="9">
        <v>44012</v>
      </c>
      <c r="B274" s="63" t="s">
        <v>1225</v>
      </c>
      <c r="C274" s="7">
        <v>-640763.53999999911</v>
      </c>
      <c r="D274" s="7"/>
      <c r="E274" s="7" t="s">
        <v>146</v>
      </c>
      <c r="F274" s="7">
        <v>-78383579.760000005</v>
      </c>
      <c r="G274" s="10"/>
      <c r="H274" s="66"/>
      <c r="I274" s="7" t="b">
        <f>IF(FINANCIACION[[#This Row],[$ CAPITAL]]&gt;0,FINANCIACION[[#This Row],[$ CAPITAL]])</f>
        <v>0</v>
      </c>
      <c r="J274" s="11">
        <f>IF(FINANCIACION[[#This Row],[$ CAPITAL]]&gt;=0,FINANCIACION[[#This Row],[$ CAPITAL]]+FINANCIACION[[#This Row],[$ INTERESES]],0)</f>
        <v>0</v>
      </c>
    </row>
    <row r="275" spans="1:10" ht="24" hidden="1" customHeight="1" x14ac:dyDescent="0.3">
      <c r="A275" s="9">
        <v>44012</v>
      </c>
      <c r="B275" s="63" t="s">
        <v>1225</v>
      </c>
      <c r="C275" s="7">
        <v>-1181776</v>
      </c>
      <c r="D275" s="7"/>
      <c r="E275" s="7" t="s">
        <v>146</v>
      </c>
      <c r="F275" s="7">
        <v>-78383579.760000005</v>
      </c>
      <c r="G275" s="66"/>
      <c r="H275" s="10"/>
      <c r="I275" s="7" t="b">
        <f>IF(FINANCIACION[[#This Row],[$ CAPITAL]]&gt;0,FINANCIACION[[#This Row],[$ CAPITAL]])</f>
        <v>0</v>
      </c>
      <c r="J275" s="41">
        <f>IF(FINANCIACION[[#This Row],[$ CAPITAL]]&gt;=0,FINANCIACION[[#This Row],[$ CAPITAL]]+FINANCIACION[[#This Row],[$ INTERESES]],0)</f>
        <v>0</v>
      </c>
    </row>
    <row r="276" spans="1:10" ht="24" hidden="1" customHeight="1" x14ac:dyDescent="0.3">
      <c r="A276" s="9">
        <v>44012</v>
      </c>
      <c r="B276" s="63" t="s">
        <v>1225</v>
      </c>
      <c r="C276" s="7">
        <v>-18624840</v>
      </c>
      <c r="D276" s="7">
        <v>90144.06</v>
      </c>
      <c r="E276" s="7" t="s">
        <v>146</v>
      </c>
      <c r="F276" s="7">
        <v>-78383579.760000005</v>
      </c>
      <c r="G276" s="66"/>
      <c r="H276" s="10"/>
      <c r="I276" s="7" t="b">
        <f>IF(FINANCIACION[[#This Row],[$ CAPITAL]]&gt;0,FINANCIACION[[#This Row],[$ CAPITAL]])</f>
        <v>0</v>
      </c>
      <c r="J276" s="41">
        <f>IF(FINANCIACION[[#This Row],[$ CAPITAL]]&gt;=0,FINANCIACION[[#This Row],[$ CAPITAL]]+FINANCIACION[[#This Row],[$ INTERESES]],0)</f>
        <v>0</v>
      </c>
    </row>
    <row r="277" spans="1:10" ht="24" hidden="1" customHeight="1" x14ac:dyDescent="0.3">
      <c r="A277" s="9">
        <v>44012</v>
      </c>
      <c r="B277" s="63" t="s">
        <v>1225</v>
      </c>
      <c r="C277" s="7">
        <v>1897297</v>
      </c>
      <c r="D277" s="7">
        <v>197413.45</v>
      </c>
      <c r="E277" s="7">
        <v>2094710.45</v>
      </c>
      <c r="F277" s="7">
        <v>-78383579.760000005</v>
      </c>
      <c r="G277" s="66"/>
      <c r="H277" s="10"/>
      <c r="I277" s="7">
        <f>IF(FINANCIACION[[#This Row],[$ CAPITAL]]&gt;0,FINANCIACION[[#This Row],[$ CAPITAL]])</f>
        <v>1897297</v>
      </c>
      <c r="J277" s="41">
        <f>IF(FINANCIACION[[#This Row],[$ CAPITAL]]&gt;=0,FINANCIACION[[#This Row],[$ CAPITAL]]+FINANCIACION[[#This Row],[$ INTERESES]],0)</f>
        <v>2094710.45</v>
      </c>
    </row>
    <row r="278" spans="1:10" ht="24" hidden="1" customHeight="1" x14ac:dyDescent="0.3">
      <c r="A278" s="9">
        <v>44012</v>
      </c>
      <c r="B278" s="63" t="s">
        <v>1228</v>
      </c>
      <c r="C278" s="7">
        <v>-106360.96000000089</v>
      </c>
      <c r="D278" s="7"/>
      <c r="E278" s="7" t="s">
        <v>146</v>
      </c>
      <c r="F278" s="7">
        <v>-65391637.960000001</v>
      </c>
      <c r="G278" s="66"/>
      <c r="H278" s="10"/>
      <c r="I278" s="7" t="b">
        <f>IF(FINANCIACION[[#This Row],[$ CAPITAL]]&gt;0,FINANCIACION[[#This Row],[$ CAPITAL]])</f>
        <v>0</v>
      </c>
      <c r="J278" s="41">
        <f>IF(FINANCIACION[[#This Row],[$ CAPITAL]]&gt;=0,FINANCIACION[[#This Row],[$ CAPITAL]]+FINANCIACION[[#This Row],[$ INTERESES]],0)</f>
        <v>0</v>
      </c>
    </row>
    <row r="279" spans="1:10" ht="24" hidden="1" customHeight="1" x14ac:dyDescent="0.3">
      <c r="A279" s="9">
        <v>44012</v>
      </c>
      <c r="B279" s="63" t="s">
        <v>1229</v>
      </c>
      <c r="C279" s="7">
        <v>-169090.98000000417</v>
      </c>
      <c r="D279" s="7"/>
      <c r="E279" s="7" t="s">
        <v>146</v>
      </c>
      <c r="F279" s="7">
        <v>-95169090.980000004</v>
      </c>
      <c r="G279" s="66"/>
      <c r="H279" s="10"/>
      <c r="I279" s="7" t="b">
        <f>IF(FINANCIACION[[#This Row],[$ CAPITAL]]&gt;0,FINANCIACION[[#This Row],[$ CAPITAL]])</f>
        <v>0</v>
      </c>
      <c r="J279" s="41">
        <f>IF(FINANCIACION[[#This Row],[$ CAPITAL]]&gt;=0,FINANCIACION[[#This Row],[$ CAPITAL]]+FINANCIACION[[#This Row],[$ INTERESES]],0)</f>
        <v>0</v>
      </c>
    </row>
    <row r="280" spans="1:10" ht="24" hidden="1" customHeight="1" x14ac:dyDescent="0.3">
      <c r="A280" s="9">
        <v>44013</v>
      </c>
      <c r="B280" s="63" t="s">
        <v>1226</v>
      </c>
      <c r="C280" s="7">
        <v>69000000</v>
      </c>
      <c r="D280" s="7">
        <v>840000</v>
      </c>
      <c r="E280" s="7">
        <v>69840000</v>
      </c>
      <c r="F280" s="7">
        <v>-15000000</v>
      </c>
      <c r="G280" s="66"/>
      <c r="H280" s="10"/>
      <c r="I280" s="7">
        <f>IF(FINANCIACION[[#This Row],[$ CAPITAL]]&gt;0,FINANCIACION[[#This Row],[$ CAPITAL]])</f>
        <v>69000000</v>
      </c>
      <c r="J280" s="41">
        <f>IF(FINANCIACION[[#This Row],[$ CAPITAL]]&gt;=0,FINANCIACION[[#This Row],[$ CAPITAL]]+FINANCIACION[[#This Row],[$ INTERESES]],0)</f>
        <v>69840000</v>
      </c>
    </row>
    <row r="281" spans="1:10" ht="24" hidden="1" customHeight="1" x14ac:dyDescent="0.3">
      <c r="A281" s="9">
        <v>44013</v>
      </c>
      <c r="B281" s="63" t="s">
        <v>1225</v>
      </c>
      <c r="C281" s="7">
        <v>805000</v>
      </c>
      <c r="D281" s="7"/>
      <c r="E281" s="7">
        <v>805000</v>
      </c>
      <c r="F281" s="7">
        <v>-74400620.760000005</v>
      </c>
      <c r="G281" s="66"/>
      <c r="H281" s="10"/>
      <c r="I281" s="7">
        <f>IF(FINANCIACION[[#This Row],[$ CAPITAL]]&gt;0,FINANCIACION[[#This Row],[$ CAPITAL]])</f>
        <v>805000</v>
      </c>
      <c r="J281" s="41">
        <f>IF(FINANCIACION[[#This Row],[$ CAPITAL]]&gt;=0,FINANCIACION[[#This Row],[$ CAPITAL]]+FINANCIACION[[#This Row],[$ INTERESES]],0)</f>
        <v>805000</v>
      </c>
    </row>
    <row r="282" spans="1:10" ht="24" hidden="1" customHeight="1" x14ac:dyDescent="0.3">
      <c r="A282" s="9">
        <v>44013</v>
      </c>
      <c r="B282" s="63" t="s">
        <v>1225</v>
      </c>
      <c r="C282" s="7">
        <v>3177959</v>
      </c>
      <c r="D282" s="7"/>
      <c r="E282" s="7">
        <v>3177959</v>
      </c>
      <c r="F282" s="7">
        <v>-74400620.760000005</v>
      </c>
      <c r="G282" s="66"/>
      <c r="H282" s="10"/>
      <c r="I282" s="7">
        <f>IF(FINANCIACION[[#This Row],[$ CAPITAL]]&gt;0,FINANCIACION[[#This Row],[$ CAPITAL]])</f>
        <v>3177959</v>
      </c>
      <c r="J282" s="41">
        <f>IF(FINANCIACION[[#This Row],[$ CAPITAL]]&gt;=0,FINANCIACION[[#This Row],[$ CAPITAL]]+FINANCIACION[[#This Row],[$ INTERESES]],0)</f>
        <v>3177959</v>
      </c>
    </row>
    <row r="283" spans="1:10" ht="24" hidden="1" customHeight="1" x14ac:dyDescent="0.3">
      <c r="A283" s="9">
        <v>44019</v>
      </c>
      <c r="B283" s="63" t="s">
        <v>199</v>
      </c>
      <c r="C283" s="7">
        <v>6250000</v>
      </c>
      <c r="D283" s="7">
        <v>1097098</v>
      </c>
      <c r="E283" s="7">
        <v>7347098</v>
      </c>
      <c r="F283" s="7">
        <v>-125000000</v>
      </c>
      <c r="G283" s="66"/>
      <c r="H283" s="10"/>
      <c r="I283" s="7">
        <f>IF(FINANCIACION[[#This Row],[$ CAPITAL]]&gt;0,FINANCIACION[[#This Row],[$ CAPITAL]])</f>
        <v>6250000</v>
      </c>
      <c r="J283" s="41">
        <f>IF(FINANCIACION[[#This Row],[$ CAPITAL]]&gt;=0,FINANCIACION[[#This Row],[$ CAPITAL]]+FINANCIACION[[#This Row],[$ INTERESES]],0)</f>
        <v>7347098</v>
      </c>
    </row>
    <row r="284" spans="1:10" ht="24" hidden="1" customHeight="1" x14ac:dyDescent="0.3">
      <c r="A284" s="9">
        <v>44019</v>
      </c>
      <c r="B284" s="63" t="s">
        <v>1225</v>
      </c>
      <c r="C284" s="7">
        <v>5300000</v>
      </c>
      <c r="D284" s="7"/>
      <c r="E284" s="7">
        <v>5300000</v>
      </c>
      <c r="F284" s="7">
        <v>-69082453.760000005</v>
      </c>
      <c r="G284" s="10"/>
      <c r="H284" s="10"/>
      <c r="I284" s="7">
        <f>IF(FINANCIACION[[#This Row],[$ CAPITAL]]&gt;0,FINANCIACION[[#This Row],[$ CAPITAL]])</f>
        <v>5300000</v>
      </c>
      <c r="J284" s="41">
        <f>IF(FINANCIACION[[#This Row],[$ CAPITAL]]&gt;=0,FINANCIACION[[#This Row],[$ CAPITAL]]+FINANCIACION[[#This Row],[$ INTERESES]],0)</f>
        <v>5300000</v>
      </c>
    </row>
    <row r="285" spans="1:10" ht="24" hidden="1" customHeight="1" x14ac:dyDescent="0.3">
      <c r="A285" s="9">
        <v>44019</v>
      </c>
      <c r="B285" s="63" t="s">
        <v>1225</v>
      </c>
      <c r="C285" s="7">
        <v>18167</v>
      </c>
      <c r="D285" s="7"/>
      <c r="E285" s="7">
        <v>18167</v>
      </c>
      <c r="F285" s="7">
        <v>-69082453.760000005</v>
      </c>
      <c r="G285" s="10"/>
      <c r="H285" s="10"/>
      <c r="I285" s="7">
        <f>IF(FINANCIACION[[#This Row],[$ CAPITAL]]&gt;0,FINANCIACION[[#This Row],[$ CAPITAL]])</f>
        <v>18167</v>
      </c>
      <c r="J285" s="41">
        <f>IF(FINANCIACION[[#This Row],[$ CAPITAL]]&gt;=0,FINANCIACION[[#This Row],[$ CAPITAL]]+FINANCIACION[[#This Row],[$ INTERESES]],0)</f>
        <v>18167</v>
      </c>
    </row>
    <row r="286" spans="1:10" ht="24" hidden="1" customHeight="1" x14ac:dyDescent="0.3">
      <c r="A286" s="9">
        <v>44021</v>
      </c>
      <c r="B286" s="63" t="s">
        <v>1225</v>
      </c>
      <c r="C286" s="7">
        <v>1869398</v>
      </c>
      <c r="D286" s="7"/>
      <c r="E286" s="7">
        <v>1869398</v>
      </c>
      <c r="F286" s="7">
        <v>-64563502.760000005</v>
      </c>
      <c r="G286" s="10"/>
      <c r="H286" s="10"/>
      <c r="I286" s="7">
        <f>IF(FINANCIACION[[#This Row],[$ CAPITAL]]&gt;0,FINANCIACION[[#This Row],[$ CAPITAL]])</f>
        <v>1869398</v>
      </c>
      <c r="J286" s="41">
        <f>IF(FINANCIACION[[#This Row],[$ CAPITAL]]&gt;=0,FINANCIACION[[#This Row],[$ CAPITAL]]+FINANCIACION[[#This Row],[$ INTERESES]],0)</f>
        <v>1869398</v>
      </c>
    </row>
    <row r="287" spans="1:10" ht="24" hidden="1" customHeight="1" x14ac:dyDescent="0.3">
      <c r="A287" s="9">
        <v>44021</v>
      </c>
      <c r="B287" s="63" t="s">
        <v>1225</v>
      </c>
      <c r="C287" s="7">
        <v>2649553</v>
      </c>
      <c r="D287" s="7"/>
      <c r="E287" s="7">
        <v>2649553</v>
      </c>
      <c r="F287" s="7">
        <v>-64563502.760000005</v>
      </c>
      <c r="G287" s="10"/>
      <c r="H287" s="10"/>
      <c r="I287" s="7">
        <f>IF(FINANCIACION[[#This Row],[$ CAPITAL]]&gt;0,FINANCIACION[[#This Row],[$ CAPITAL]])</f>
        <v>2649553</v>
      </c>
      <c r="J287" s="41">
        <f>IF(FINANCIACION[[#This Row],[$ CAPITAL]]&gt;=0,FINANCIACION[[#This Row],[$ CAPITAL]]+FINANCIACION[[#This Row],[$ INTERESES]],0)</f>
        <v>2649553</v>
      </c>
    </row>
    <row r="288" spans="1:10" ht="24" hidden="1" customHeight="1" x14ac:dyDescent="0.3">
      <c r="A288" s="9">
        <v>44022</v>
      </c>
      <c r="B288" s="63" t="s">
        <v>1225</v>
      </c>
      <c r="C288" s="7">
        <v>2034715</v>
      </c>
      <c r="D288" s="7"/>
      <c r="E288" s="7">
        <v>2034715</v>
      </c>
      <c r="F288" s="7">
        <v>-62528787.760000005</v>
      </c>
      <c r="G288" s="10"/>
      <c r="H288" s="10"/>
      <c r="I288" s="7">
        <f>IF(FINANCIACION[[#This Row],[$ CAPITAL]]&gt;0,FINANCIACION[[#This Row],[$ CAPITAL]])</f>
        <v>2034715</v>
      </c>
      <c r="J288" s="41">
        <f>IF(FINANCIACION[[#This Row],[$ CAPITAL]]&gt;=0,FINANCIACION[[#This Row],[$ CAPITAL]]+FINANCIACION[[#This Row],[$ INTERESES]],0)</f>
        <v>2034715</v>
      </c>
    </row>
    <row r="289" spans="1:10" ht="24" hidden="1" customHeight="1" x14ac:dyDescent="0.3">
      <c r="A289" s="9">
        <v>44026</v>
      </c>
      <c r="B289" s="63" t="s">
        <v>1225</v>
      </c>
      <c r="C289" s="7">
        <v>1388000</v>
      </c>
      <c r="D289" s="7"/>
      <c r="E289" s="7">
        <v>1388000</v>
      </c>
      <c r="F289" s="7">
        <v>-61140787.760000005</v>
      </c>
      <c r="G289" s="10"/>
      <c r="H289" s="10"/>
      <c r="I289" s="7">
        <f>IF(FINANCIACION[[#This Row],[$ CAPITAL]]&gt;0,FINANCIACION[[#This Row],[$ CAPITAL]])</f>
        <v>1388000</v>
      </c>
      <c r="J289" s="41">
        <f>IF(FINANCIACION[[#This Row],[$ CAPITAL]]&gt;=0,FINANCIACION[[#This Row],[$ CAPITAL]]+FINANCIACION[[#This Row],[$ INTERESES]],0)</f>
        <v>1388000</v>
      </c>
    </row>
    <row r="290" spans="1:10" ht="24" hidden="1" customHeight="1" x14ac:dyDescent="0.3">
      <c r="A290" s="9">
        <v>44027</v>
      </c>
      <c r="B290" s="63" t="s">
        <v>1225</v>
      </c>
      <c r="C290" s="7">
        <v>1600816.7999999998</v>
      </c>
      <c r="D290" s="7"/>
      <c r="E290" s="7">
        <v>1600816.7999999998</v>
      </c>
      <c r="F290" s="7">
        <v>-60710879.960000008</v>
      </c>
      <c r="G290" s="10"/>
      <c r="H290" s="10"/>
      <c r="I290" s="7">
        <f>IF(FINANCIACION[[#This Row],[$ CAPITAL]]&gt;0,FINANCIACION[[#This Row],[$ CAPITAL]])</f>
        <v>1600816.7999999998</v>
      </c>
      <c r="J290" s="41">
        <f>IF(FINANCIACION[[#This Row],[$ CAPITAL]]&gt;=0,FINANCIACION[[#This Row],[$ CAPITAL]]+FINANCIACION[[#This Row],[$ INTERESES]],0)</f>
        <v>1600816.7999999998</v>
      </c>
    </row>
    <row r="291" spans="1:10" ht="24" hidden="1" customHeight="1" x14ac:dyDescent="0.3">
      <c r="A291" s="9">
        <v>44027</v>
      </c>
      <c r="B291" s="63" t="s">
        <v>1225</v>
      </c>
      <c r="C291" s="7">
        <v>-1170909</v>
      </c>
      <c r="D291" s="7"/>
      <c r="E291" s="7" t="s">
        <v>146</v>
      </c>
      <c r="F291" s="7">
        <v>-60710879.960000008</v>
      </c>
      <c r="G291" s="10"/>
      <c r="H291" s="10"/>
      <c r="I291" s="7" t="b">
        <f>IF(FINANCIACION[[#This Row],[$ CAPITAL]]&gt;0,FINANCIACION[[#This Row],[$ CAPITAL]])</f>
        <v>0</v>
      </c>
      <c r="J291" s="41">
        <f>IF(FINANCIACION[[#This Row],[$ CAPITAL]]&gt;=0,FINANCIACION[[#This Row],[$ CAPITAL]]+FINANCIACION[[#This Row],[$ INTERESES]],0)</f>
        <v>0</v>
      </c>
    </row>
    <row r="292" spans="1:10" ht="24" hidden="1" customHeight="1" x14ac:dyDescent="0.3">
      <c r="A292" s="9">
        <v>44029</v>
      </c>
      <c r="B292" s="63" t="s">
        <v>1225</v>
      </c>
      <c r="C292" s="7">
        <v>4716218</v>
      </c>
      <c r="D292" s="7"/>
      <c r="E292" s="7">
        <v>4716218</v>
      </c>
      <c r="F292" s="7">
        <v>-55994661.960000008</v>
      </c>
      <c r="G292" s="10"/>
      <c r="H292" s="10"/>
      <c r="I292" s="7">
        <f>IF(FINANCIACION[[#This Row],[$ CAPITAL]]&gt;0,FINANCIACION[[#This Row],[$ CAPITAL]])</f>
        <v>4716218</v>
      </c>
      <c r="J292" s="41">
        <f>IF(FINANCIACION[[#This Row],[$ CAPITAL]]&gt;=0,FINANCIACION[[#This Row],[$ CAPITAL]]+FINANCIACION[[#This Row],[$ INTERESES]],0)</f>
        <v>4716218</v>
      </c>
    </row>
    <row r="293" spans="1:10" ht="24" hidden="1" customHeight="1" x14ac:dyDescent="0.3">
      <c r="A293" s="9">
        <v>44033</v>
      </c>
      <c r="B293" s="63" t="s">
        <v>1225</v>
      </c>
      <c r="C293" s="7">
        <v>4382316</v>
      </c>
      <c r="D293" s="7"/>
      <c r="E293" s="7">
        <v>4382316</v>
      </c>
      <c r="F293" s="7">
        <v>-51612345.960000008</v>
      </c>
      <c r="G293" s="10"/>
      <c r="H293" s="10"/>
      <c r="I293" s="7">
        <f>IF(FINANCIACION[[#This Row],[$ CAPITAL]]&gt;0,FINANCIACION[[#This Row],[$ CAPITAL]])</f>
        <v>4382316</v>
      </c>
      <c r="J293" s="41">
        <f>IF(FINANCIACION[[#This Row],[$ CAPITAL]]&gt;=0,FINANCIACION[[#This Row],[$ CAPITAL]]+FINANCIACION[[#This Row],[$ INTERESES]],0)</f>
        <v>4382316</v>
      </c>
    </row>
    <row r="294" spans="1:10" ht="24" hidden="1" customHeight="1" x14ac:dyDescent="0.3">
      <c r="A294" s="9">
        <v>44034</v>
      </c>
      <c r="B294" s="63" t="s">
        <v>1225</v>
      </c>
      <c r="C294" s="7">
        <v>3991020</v>
      </c>
      <c r="D294" s="7"/>
      <c r="E294" s="7">
        <v>3991020</v>
      </c>
      <c r="F294" s="7">
        <v>-47621325.960000008</v>
      </c>
      <c r="G294" s="10"/>
      <c r="H294" s="10"/>
      <c r="I294" s="7">
        <f>IF(FINANCIACION[[#This Row],[$ CAPITAL]]&gt;0,FINANCIACION[[#This Row],[$ CAPITAL]])</f>
        <v>3991020</v>
      </c>
      <c r="J294" s="41">
        <f>IF(FINANCIACION[[#This Row],[$ CAPITAL]]&gt;=0,FINANCIACION[[#This Row],[$ CAPITAL]]+FINANCIACION[[#This Row],[$ INTERESES]],0)</f>
        <v>3991020</v>
      </c>
    </row>
    <row r="295" spans="1:10" ht="24" hidden="1" customHeight="1" x14ac:dyDescent="0.3">
      <c r="A295" s="9">
        <v>44037</v>
      </c>
      <c r="B295" s="63" t="s">
        <v>1225</v>
      </c>
      <c r="C295" s="7">
        <v>5856240</v>
      </c>
      <c r="D295" s="7"/>
      <c r="E295" s="7">
        <v>5856240</v>
      </c>
      <c r="F295" s="7">
        <v>-41765085.960000008</v>
      </c>
      <c r="G295" s="10"/>
      <c r="H295" s="10"/>
      <c r="I295" s="7">
        <f>IF(FINANCIACION[[#This Row],[$ CAPITAL]]&gt;0,FINANCIACION[[#This Row],[$ CAPITAL]])</f>
        <v>5856240</v>
      </c>
      <c r="J295" s="41">
        <f>IF(FINANCIACION[[#This Row],[$ CAPITAL]]&gt;=0,FINANCIACION[[#This Row],[$ CAPITAL]]+FINANCIACION[[#This Row],[$ INTERESES]],0)</f>
        <v>5856240</v>
      </c>
    </row>
    <row r="296" spans="1:10" ht="24" hidden="1" customHeight="1" x14ac:dyDescent="0.3">
      <c r="A296" s="9">
        <v>44041</v>
      </c>
      <c r="B296" s="63" t="s">
        <v>1223</v>
      </c>
      <c r="C296" s="7">
        <v>360000</v>
      </c>
      <c r="D296" s="7">
        <v>740000</v>
      </c>
      <c r="E296" s="7">
        <v>1100000</v>
      </c>
      <c r="F296" s="7">
        <v>-66579060</v>
      </c>
      <c r="G296" s="10"/>
      <c r="H296" s="10"/>
      <c r="I296" s="7">
        <f>IF(FINANCIACION[[#This Row],[$ CAPITAL]]&gt;0,FINANCIACION[[#This Row],[$ CAPITAL]])</f>
        <v>360000</v>
      </c>
      <c r="J296" s="41">
        <f>IF(FINANCIACION[[#This Row],[$ CAPITAL]]&gt;=0,FINANCIACION[[#This Row],[$ CAPITAL]]+FINANCIACION[[#This Row],[$ INTERESES]],0)</f>
        <v>1100000</v>
      </c>
    </row>
    <row r="297" spans="1:10" ht="24" hidden="1" customHeight="1" x14ac:dyDescent="0.3">
      <c r="A297" s="9">
        <v>44043</v>
      </c>
      <c r="B297" s="63" t="s">
        <v>1226</v>
      </c>
      <c r="C297" s="7"/>
      <c r="D297" s="7">
        <v>150000</v>
      </c>
      <c r="E297" s="7">
        <v>150000</v>
      </c>
      <c r="F297" s="7">
        <v>-15000000</v>
      </c>
      <c r="G297" s="10"/>
      <c r="H297" s="10"/>
      <c r="I297" s="7" t="b">
        <f>IF(FINANCIACION[[#This Row],[$ CAPITAL]]&gt;0,FINANCIACION[[#This Row],[$ CAPITAL]])</f>
        <v>0</v>
      </c>
      <c r="J297" s="41">
        <f>IF(FINANCIACION[[#This Row],[$ CAPITAL]]&gt;=0,FINANCIACION[[#This Row],[$ CAPITAL]]+FINANCIACION[[#This Row],[$ INTERESES]],0)</f>
        <v>150000</v>
      </c>
    </row>
    <row r="298" spans="1:10" ht="24" hidden="1" customHeight="1" x14ac:dyDescent="0.3">
      <c r="A298" s="9">
        <v>44043</v>
      </c>
      <c r="B298" s="63" t="s">
        <v>1224</v>
      </c>
      <c r="C298" s="7">
        <v>-183255600</v>
      </c>
      <c r="D298" s="7"/>
      <c r="E298" s="7" t="s">
        <v>146</v>
      </c>
      <c r="F298" s="7">
        <v>-380443064</v>
      </c>
      <c r="G298" s="10"/>
      <c r="H298" s="10"/>
      <c r="I298" s="7" t="b">
        <f>IF(FINANCIACION[[#This Row],[$ CAPITAL]]&gt;0,FINANCIACION[[#This Row],[$ CAPITAL]])</f>
        <v>0</v>
      </c>
      <c r="J298" s="41">
        <f>IF(FINANCIACION[[#This Row],[$ CAPITAL]]&gt;=0,FINANCIACION[[#This Row],[$ CAPITAL]]+FINANCIACION[[#This Row],[$ INTERESES]],0)</f>
        <v>0</v>
      </c>
    </row>
    <row r="299" spans="1:10" ht="24" hidden="1" customHeight="1" x14ac:dyDescent="0.3">
      <c r="A299" s="9">
        <v>44043</v>
      </c>
      <c r="B299" s="63" t="s">
        <v>1224</v>
      </c>
      <c r="C299" s="7">
        <v>187464467</v>
      </c>
      <c r="D299" s="7"/>
      <c r="E299" s="7">
        <v>187464467</v>
      </c>
      <c r="F299" s="7">
        <v>-380443064</v>
      </c>
      <c r="G299" s="10"/>
      <c r="H299" s="10"/>
      <c r="I299" s="7">
        <f>IF(FINANCIACION[[#This Row],[$ CAPITAL]]&gt;0,FINANCIACION[[#This Row],[$ CAPITAL]])</f>
        <v>187464467</v>
      </c>
      <c r="J299" s="41">
        <f>IF(FINANCIACION[[#This Row],[$ CAPITAL]]&gt;=0,FINANCIACION[[#This Row],[$ CAPITAL]]+FINANCIACION[[#This Row],[$ INTERESES]],0)</f>
        <v>187464467</v>
      </c>
    </row>
    <row r="300" spans="1:10" ht="24" hidden="1" customHeight="1" x14ac:dyDescent="0.3">
      <c r="A300" s="9">
        <v>44043</v>
      </c>
      <c r="B300" s="63" t="s">
        <v>1225</v>
      </c>
      <c r="C300" s="7">
        <v>-272689.21000000101</v>
      </c>
      <c r="D300" s="7"/>
      <c r="E300" s="7" t="s">
        <v>146</v>
      </c>
      <c r="F300" s="7">
        <v>-91544696.790000021</v>
      </c>
      <c r="G300" s="10"/>
      <c r="H300" s="10"/>
      <c r="I300" s="7" t="b">
        <f>IF(FINANCIACION[[#This Row],[$ CAPITAL]]&gt;0,FINANCIACION[[#This Row],[$ CAPITAL]])</f>
        <v>0</v>
      </c>
      <c r="J300" s="41">
        <f>IF(FINANCIACION[[#This Row],[$ CAPITAL]]&gt;=0,FINANCIACION[[#This Row],[$ CAPITAL]]+FINANCIACION[[#This Row],[$ INTERESES]],0)</f>
        <v>0</v>
      </c>
    </row>
    <row r="301" spans="1:10" ht="24" hidden="1" customHeight="1" x14ac:dyDescent="0.3">
      <c r="A301" s="9">
        <v>44043</v>
      </c>
      <c r="B301" s="63" t="s">
        <v>1225</v>
      </c>
      <c r="C301" s="7">
        <v>-330830.88000000297</v>
      </c>
      <c r="D301" s="7"/>
      <c r="E301" s="7" t="s">
        <v>146</v>
      </c>
      <c r="F301" s="7">
        <v>-91544696.790000021</v>
      </c>
      <c r="G301" s="10"/>
      <c r="H301" s="10"/>
      <c r="I301" s="7" t="b">
        <f>IF(FINANCIACION[[#This Row],[$ CAPITAL]]&gt;0,FINANCIACION[[#This Row],[$ CAPITAL]])</f>
        <v>0</v>
      </c>
      <c r="J301" s="41">
        <f>IF(FINANCIACION[[#This Row],[$ CAPITAL]]&gt;=0,FINANCIACION[[#This Row],[$ CAPITAL]]+FINANCIACION[[#This Row],[$ INTERESES]],0)</f>
        <v>0</v>
      </c>
    </row>
    <row r="302" spans="1:10" ht="24" hidden="1" customHeight="1" x14ac:dyDescent="0.3">
      <c r="A302" s="9">
        <v>44043</v>
      </c>
      <c r="B302" s="63" t="s">
        <v>1225</v>
      </c>
      <c r="C302" s="7">
        <v>734083.32</v>
      </c>
      <c r="D302" s="7"/>
      <c r="E302" s="7">
        <v>734083.32</v>
      </c>
      <c r="F302" s="7">
        <v>-91544696.790000021</v>
      </c>
      <c r="G302" s="10"/>
      <c r="H302" s="10"/>
      <c r="I302" s="7">
        <f>IF(FINANCIACION[[#This Row],[$ CAPITAL]]&gt;0,FINANCIACION[[#This Row],[$ CAPITAL]])</f>
        <v>734083.32</v>
      </c>
      <c r="J302" s="41">
        <f>IF(FINANCIACION[[#This Row],[$ CAPITAL]]&gt;=0,FINANCIACION[[#This Row],[$ CAPITAL]]+FINANCIACION[[#This Row],[$ INTERESES]],0)</f>
        <v>734083.32</v>
      </c>
    </row>
    <row r="303" spans="1:10" ht="24" hidden="1" customHeight="1" x14ac:dyDescent="0.3">
      <c r="A303" s="9">
        <v>44043</v>
      </c>
      <c r="B303" s="63" t="s">
        <v>1225</v>
      </c>
      <c r="C303" s="7">
        <v>-1869398.0000000014</v>
      </c>
      <c r="D303" s="7"/>
      <c r="E303" s="7" t="s">
        <v>146</v>
      </c>
      <c r="F303" s="7">
        <v>-91544696.790000021</v>
      </c>
      <c r="G303" s="10"/>
      <c r="H303" s="10"/>
      <c r="I303" s="7" t="b">
        <f>IF(FINANCIACION[[#This Row],[$ CAPITAL]]&gt;0,FINANCIACION[[#This Row],[$ CAPITAL]])</f>
        <v>0</v>
      </c>
      <c r="J303" s="41">
        <f>IF(FINANCIACION[[#This Row],[$ CAPITAL]]&gt;=0,FINANCIACION[[#This Row],[$ CAPITAL]]+FINANCIACION[[#This Row],[$ INTERESES]],0)</f>
        <v>0</v>
      </c>
    </row>
    <row r="304" spans="1:10" ht="24" hidden="1" customHeight="1" x14ac:dyDescent="0.3">
      <c r="A304" s="9">
        <v>44043</v>
      </c>
      <c r="B304" s="63" t="s">
        <v>1225</v>
      </c>
      <c r="C304" s="7">
        <v>-42062215.060000002</v>
      </c>
      <c r="D304" s="7"/>
      <c r="E304" s="7" t="s">
        <v>146</v>
      </c>
      <c r="F304" s="7">
        <v>-91544696.790000021</v>
      </c>
      <c r="G304" s="10"/>
      <c r="H304" s="10"/>
      <c r="I304" s="7" t="b">
        <f>IF(FINANCIACION[[#This Row],[$ CAPITAL]]&gt;0,FINANCIACION[[#This Row],[$ CAPITAL]])</f>
        <v>0</v>
      </c>
      <c r="J304" s="41">
        <f>IF(FINANCIACION[[#This Row],[$ CAPITAL]]&gt;=0,FINANCIACION[[#This Row],[$ CAPITAL]]+FINANCIACION[[#This Row],[$ INTERESES]],0)</f>
        <v>0</v>
      </c>
    </row>
    <row r="305" spans="1:10" ht="24" hidden="1" customHeight="1" x14ac:dyDescent="0.3">
      <c r="A305" s="9">
        <v>44043</v>
      </c>
      <c r="B305" s="63" t="s">
        <v>1225</v>
      </c>
      <c r="C305" s="7">
        <v>-679875</v>
      </c>
      <c r="D305" s="7"/>
      <c r="E305" s="7" t="s">
        <v>146</v>
      </c>
      <c r="F305" s="7">
        <v>-91544696.790000021</v>
      </c>
      <c r="G305" s="10"/>
      <c r="H305" s="10"/>
      <c r="I305" s="7" t="b">
        <f>IF(FINANCIACION[[#This Row],[$ CAPITAL]]&gt;0,FINANCIACION[[#This Row],[$ CAPITAL]])</f>
        <v>0</v>
      </c>
      <c r="J305" s="41">
        <f>IF(FINANCIACION[[#This Row],[$ CAPITAL]]&gt;=0,FINANCIACION[[#This Row],[$ CAPITAL]]+FINANCIACION[[#This Row],[$ INTERESES]],0)</f>
        <v>0</v>
      </c>
    </row>
    <row r="306" spans="1:10" ht="24" hidden="1" customHeight="1" x14ac:dyDescent="0.3">
      <c r="A306" s="9">
        <v>44043</v>
      </c>
      <c r="B306" s="63" t="s">
        <v>1225</v>
      </c>
      <c r="C306" s="7">
        <v>-5298686</v>
      </c>
      <c r="D306" s="7"/>
      <c r="E306" s="7" t="s">
        <v>146</v>
      </c>
      <c r="F306" s="7">
        <v>-91544696.790000021</v>
      </c>
      <c r="G306" s="10"/>
      <c r="H306" s="10"/>
      <c r="I306" s="7" t="b">
        <f>IF(FINANCIACION[[#This Row],[$ CAPITAL]]&gt;0,FINANCIACION[[#This Row],[$ CAPITAL]])</f>
        <v>0</v>
      </c>
      <c r="J306" s="41">
        <f>IF(FINANCIACION[[#This Row],[$ CAPITAL]]&gt;=0,FINANCIACION[[#This Row],[$ CAPITAL]]+FINANCIACION[[#This Row],[$ INTERESES]],0)</f>
        <v>0</v>
      </c>
    </row>
    <row r="307" spans="1:10" ht="24" hidden="1" customHeight="1" x14ac:dyDescent="0.3">
      <c r="A307" s="9">
        <v>44043</v>
      </c>
      <c r="B307" s="63" t="s">
        <v>1228</v>
      </c>
      <c r="C307" s="7">
        <v>-543974.96999999904</v>
      </c>
      <c r="D307" s="7"/>
      <c r="E307" s="7" t="s">
        <v>146</v>
      </c>
      <c r="F307" s="7">
        <v>-65935612.93</v>
      </c>
      <c r="G307" s="10"/>
      <c r="H307" s="10"/>
      <c r="I307" s="7" t="b">
        <f>IF(FINANCIACION[[#This Row],[$ CAPITAL]]&gt;0,FINANCIACION[[#This Row],[$ CAPITAL]])</f>
        <v>0</v>
      </c>
      <c r="J307" s="41">
        <f>IF(FINANCIACION[[#This Row],[$ CAPITAL]]&gt;=0,FINANCIACION[[#This Row],[$ CAPITAL]]+FINANCIACION[[#This Row],[$ INTERESES]],0)</f>
        <v>0</v>
      </c>
    </row>
    <row r="308" spans="1:10" ht="24" hidden="1" customHeight="1" x14ac:dyDescent="0.3">
      <c r="A308" s="9">
        <v>44043</v>
      </c>
      <c r="B308" s="63" t="s">
        <v>1229</v>
      </c>
      <c r="C308" s="7">
        <v>-865832.45000000298</v>
      </c>
      <c r="D308" s="7"/>
      <c r="E308" s="7" t="s">
        <v>146</v>
      </c>
      <c r="F308" s="7">
        <v>-96034923.430000007</v>
      </c>
      <c r="G308" s="10"/>
      <c r="H308" s="10"/>
      <c r="I308" s="7" t="b">
        <f>IF(FINANCIACION[[#This Row],[$ CAPITAL]]&gt;0,FINANCIACION[[#This Row],[$ CAPITAL]])</f>
        <v>0</v>
      </c>
      <c r="J308" s="41">
        <f>IF(FINANCIACION[[#This Row],[$ CAPITAL]]&gt;=0,FINANCIACION[[#This Row],[$ CAPITAL]]+FINANCIACION[[#This Row],[$ INTERESES]],0)</f>
        <v>0</v>
      </c>
    </row>
    <row r="309" spans="1:10" ht="24" hidden="1" customHeight="1" x14ac:dyDescent="0.3">
      <c r="A309" s="9">
        <v>44047</v>
      </c>
      <c r="B309" s="63" t="s">
        <v>1230</v>
      </c>
      <c r="C309" s="7">
        <v>-25733277</v>
      </c>
      <c r="D309" s="7"/>
      <c r="E309" s="7" t="s">
        <v>146</v>
      </c>
      <c r="F309" s="7">
        <v>-25733277</v>
      </c>
      <c r="G309" s="10"/>
      <c r="H309" s="10"/>
      <c r="I309" s="7" t="b">
        <f>IF(FINANCIACION[[#This Row],[$ CAPITAL]]&gt;0,FINANCIACION[[#This Row],[$ CAPITAL]])</f>
        <v>0</v>
      </c>
      <c r="J309" s="41">
        <f>IF(FINANCIACION[[#This Row],[$ CAPITAL]]&gt;=0,FINANCIACION[[#This Row],[$ CAPITAL]]+FINANCIACION[[#This Row],[$ INTERESES]],0)</f>
        <v>0</v>
      </c>
    </row>
    <row r="310" spans="1:10" ht="24" hidden="1" customHeight="1" x14ac:dyDescent="0.3">
      <c r="A310" s="9">
        <v>44047</v>
      </c>
      <c r="B310" s="63" t="s">
        <v>1230</v>
      </c>
      <c r="C310" s="7"/>
      <c r="D310" s="7">
        <v>1100623</v>
      </c>
      <c r="E310" s="7">
        <v>1100623</v>
      </c>
      <c r="F310" s="7">
        <v>-25733277</v>
      </c>
      <c r="G310" s="10"/>
      <c r="H310" s="10"/>
      <c r="I310" s="7" t="b">
        <f>IF(FINANCIACION[[#This Row],[$ CAPITAL]]&gt;0,FINANCIACION[[#This Row],[$ CAPITAL]])</f>
        <v>0</v>
      </c>
      <c r="J310" s="41">
        <f>IF(FINANCIACION[[#This Row],[$ CAPITAL]]&gt;=0,FINANCIACION[[#This Row],[$ CAPITAL]]+FINANCIACION[[#This Row],[$ INTERESES]],0)</f>
        <v>1100623</v>
      </c>
    </row>
    <row r="311" spans="1:10" ht="24" hidden="1" customHeight="1" x14ac:dyDescent="0.3">
      <c r="A311" s="9">
        <v>44050</v>
      </c>
      <c r="B311" s="63" t="s">
        <v>199</v>
      </c>
      <c r="C311" s="7">
        <v>1450874</v>
      </c>
      <c r="D311" s="7"/>
      <c r="E311" s="7">
        <v>1450874</v>
      </c>
      <c r="F311" s="7">
        <v>-117299126</v>
      </c>
      <c r="G311" s="10"/>
      <c r="H311" s="10"/>
      <c r="I311" s="7">
        <f>IF(FINANCIACION[[#This Row],[$ CAPITAL]]&gt;0,FINANCIACION[[#This Row],[$ CAPITAL]])</f>
        <v>1450874</v>
      </c>
      <c r="J311" s="41">
        <f>IF(FINANCIACION[[#This Row],[$ CAPITAL]]&gt;=0,FINANCIACION[[#This Row],[$ CAPITAL]]+FINANCIACION[[#This Row],[$ INTERESES]],0)</f>
        <v>1450874</v>
      </c>
    </row>
    <row r="312" spans="1:10" ht="24" hidden="1" customHeight="1" x14ac:dyDescent="0.3">
      <c r="A312" s="9">
        <v>44050</v>
      </c>
      <c r="B312" s="63" t="s">
        <v>199</v>
      </c>
      <c r="C312" s="7">
        <v>6250000</v>
      </c>
      <c r="D312" s="7">
        <v>1004371.89</v>
      </c>
      <c r="E312" s="7">
        <v>7254371.8899999997</v>
      </c>
      <c r="F312" s="7">
        <v>-117299126</v>
      </c>
      <c r="G312" s="66"/>
      <c r="H312" s="10"/>
      <c r="I312" s="7">
        <f>IF(FINANCIACION[[#This Row],[$ CAPITAL]]&gt;0,FINANCIACION[[#This Row],[$ CAPITAL]])</f>
        <v>6250000</v>
      </c>
      <c r="J312" s="41">
        <f>IF(FINANCIACION[[#This Row],[$ CAPITAL]]&gt;=0,FINANCIACION[[#This Row],[$ CAPITAL]]+FINANCIACION[[#This Row],[$ INTERESES]],0)</f>
        <v>7254371.8899999997</v>
      </c>
    </row>
    <row r="313" spans="1:10" ht="24" hidden="1" customHeight="1" x14ac:dyDescent="0.3">
      <c r="A313" s="9">
        <v>44053</v>
      </c>
      <c r="B313" s="63" t="s">
        <v>1225</v>
      </c>
      <c r="C313" s="7">
        <v>2261802</v>
      </c>
      <c r="D313" s="7"/>
      <c r="E313" s="7">
        <v>2261802</v>
      </c>
      <c r="F313" s="7">
        <v>-89282894.790000021</v>
      </c>
      <c r="G313" s="66"/>
      <c r="H313" s="10"/>
      <c r="I313" s="7">
        <f>IF(FINANCIACION[[#This Row],[$ CAPITAL]]&gt;0,FINANCIACION[[#This Row],[$ CAPITAL]])</f>
        <v>2261802</v>
      </c>
      <c r="J313" s="41">
        <f>IF(FINANCIACION[[#This Row],[$ CAPITAL]]&gt;=0,FINANCIACION[[#This Row],[$ CAPITAL]]+FINANCIACION[[#This Row],[$ INTERESES]],0)</f>
        <v>2261802</v>
      </c>
    </row>
    <row r="314" spans="1:10" ht="24" hidden="1" customHeight="1" x14ac:dyDescent="0.3">
      <c r="A314" s="9">
        <v>44057</v>
      </c>
      <c r="B314" s="63" t="s">
        <v>1225</v>
      </c>
      <c r="C314" s="7">
        <v>3390345</v>
      </c>
      <c r="D314" s="7"/>
      <c r="E314" s="7">
        <v>3390345</v>
      </c>
      <c r="F314" s="7">
        <v>-85892549.790000021</v>
      </c>
      <c r="G314" s="10"/>
      <c r="H314" s="10"/>
      <c r="I314" s="7">
        <f>IF(FINANCIACION[[#This Row],[$ CAPITAL]]&gt;0,FINANCIACION[[#This Row],[$ CAPITAL]])</f>
        <v>3390345</v>
      </c>
      <c r="J314" s="11">
        <f>IF(FINANCIACION[[#This Row],[$ CAPITAL]]&gt;=0,FINANCIACION[[#This Row],[$ CAPITAL]]+FINANCIACION[[#This Row],[$ INTERESES]],0)</f>
        <v>3390345</v>
      </c>
    </row>
    <row r="315" spans="1:10" ht="24" hidden="1" customHeight="1" x14ac:dyDescent="0.3">
      <c r="A315" s="9">
        <v>44062</v>
      </c>
      <c r="B315" s="63" t="s">
        <v>1225</v>
      </c>
      <c r="C315" s="7">
        <v>341123</v>
      </c>
      <c r="D315" s="7"/>
      <c r="E315" s="7">
        <v>341123</v>
      </c>
      <c r="F315" s="7">
        <v>-83489840.790000021</v>
      </c>
      <c r="G315" s="10"/>
      <c r="H315" s="10"/>
      <c r="I315" s="7">
        <f>IF(FINANCIACION[[#This Row],[$ CAPITAL]]&gt;0,FINANCIACION[[#This Row],[$ CAPITAL]])</f>
        <v>341123</v>
      </c>
      <c r="J315" s="11">
        <f>IF(FINANCIACION[[#This Row],[$ CAPITAL]]&gt;=0,FINANCIACION[[#This Row],[$ CAPITAL]]+FINANCIACION[[#This Row],[$ INTERESES]],0)</f>
        <v>341123</v>
      </c>
    </row>
    <row r="316" spans="1:10" ht="24" hidden="1" customHeight="1" x14ac:dyDescent="0.3">
      <c r="A316" s="9">
        <v>44062</v>
      </c>
      <c r="B316" s="63" t="s">
        <v>1225</v>
      </c>
      <c r="C316" s="7">
        <v>2061586</v>
      </c>
      <c r="D316" s="7"/>
      <c r="E316" s="7">
        <v>2061586</v>
      </c>
      <c r="F316" s="7">
        <v>-83489840.790000021</v>
      </c>
      <c r="G316" s="10"/>
      <c r="H316" s="10"/>
      <c r="I316" s="7">
        <f>IF(FINANCIACION[[#This Row],[$ CAPITAL]]&gt;0,FINANCIACION[[#This Row],[$ CAPITAL]])</f>
        <v>2061586</v>
      </c>
      <c r="J316" s="11">
        <f>IF(FINANCIACION[[#This Row],[$ CAPITAL]]&gt;=0,FINANCIACION[[#This Row],[$ CAPITAL]]+FINANCIACION[[#This Row],[$ INTERESES]],0)</f>
        <v>2061586</v>
      </c>
    </row>
    <row r="317" spans="1:10" ht="24" hidden="1" customHeight="1" x14ac:dyDescent="0.3">
      <c r="A317" s="9">
        <v>44068</v>
      </c>
      <c r="B317" s="63" t="s">
        <v>1225</v>
      </c>
      <c r="C317" s="7">
        <v>1153107</v>
      </c>
      <c r="D317" s="7"/>
      <c r="E317" s="7">
        <v>1153107</v>
      </c>
      <c r="F317" s="7">
        <v>-82336733.790000021</v>
      </c>
      <c r="G317" s="10"/>
      <c r="H317" s="66"/>
      <c r="I317" s="7">
        <f>IF(FINANCIACION[[#This Row],[$ CAPITAL]]&gt;0,FINANCIACION[[#This Row],[$ CAPITAL]])</f>
        <v>1153107</v>
      </c>
      <c r="J317" s="11">
        <f>IF(FINANCIACION[[#This Row],[$ CAPITAL]]&gt;=0,FINANCIACION[[#This Row],[$ CAPITAL]]+FINANCIACION[[#This Row],[$ INTERESES]],0)</f>
        <v>1153107</v>
      </c>
    </row>
    <row r="318" spans="1:10" ht="24" hidden="1" customHeight="1" x14ac:dyDescent="0.3">
      <c r="A318" s="9">
        <v>44073</v>
      </c>
      <c r="B318" s="63" t="s">
        <v>1231</v>
      </c>
      <c r="C318" s="7">
        <v>-8000000</v>
      </c>
      <c r="D318" s="7"/>
      <c r="E318" s="7" t="s">
        <v>146</v>
      </c>
      <c r="F318" s="7">
        <v>-8000000</v>
      </c>
      <c r="G318" s="10"/>
      <c r="H318" s="66"/>
      <c r="I318" s="7" t="b">
        <f>IF(FINANCIACION[[#This Row],[$ CAPITAL]]&gt;0,FINANCIACION[[#This Row],[$ CAPITAL]])</f>
        <v>0</v>
      </c>
      <c r="J318" s="11">
        <f>IF(FINANCIACION[[#This Row],[$ CAPITAL]]&gt;=0,FINANCIACION[[#This Row],[$ CAPITAL]]+FINANCIACION[[#This Row],[$ INTERESES]],0)</f>
        <v>0</v>
      </c>
    </row>
    <row r="319" spans="1:10" ht="24" hidden="1" customHeight="1" x14ac:dyDescent="0.3">
      <c r="A319" s="9">
        <v>44074</v>
      </c>
      <c r="B319" s="63" t="s">
        <v>1225</v>
      </c>
      <c r="C319" s="7">
        <v>-256645.16999999806</v>
      </c>
      <c r="D319" s="7"/>
      <c r="E319" s="7" t="s">
        <v>146</v>
      </c>
      <c r="F319" s="7">
        <v>-94501512.170000017</v>
      </c>
      <c r="G319" s="10"/>
      <c r="H319" s="66"/>
      <c r="I319" s="7" t="b">
        <f>IF(FINANCIACION[[#This Row],[$ CAPITAL]]&gt;0,FINANCIACION[[#This Row],[$ CAPITAL]])</f>
        <v>0</v>
      </c>
      <c r="J319" s="11">
        <f>IF(FINANCIACION[[#This Row],[$ CAPITAL]]&gt;=0,FINANCIACION[[#This Row],[$ CAPITAL]]+FINANCIACION[[#This Row],[$ INTERESES]],0)</f>
        <v>0</v>
      </c>
    </row>
    <row r="320" spans="1:10" ht="24" hidden="1" customHeight="1" x14ac:dyDescent="0.3">
      <c r="A320" s="9">
        <v>44074</v>
      </c>
      <c r="B320" s="63" t="s">
        <v>1225</v>
      </c>
      <c r="C320" s="7">
        <v>-314828.46999999898</v>
      </c>
      <c r="D320" s="7"/>
      <c r="E320" s="7" t="s">
        <v>146</v>
      </c>
      <c r="F320" s="7">
        <v>-94501512.170000017</v>
      </c>
      <c r="G320" s="10"/>
      <c r="H320" s="66"/>
      <c r="I320" s="7" t="b">
        <f>IF(FINANCIACION[[#This Row],[$ CAPITAL]]&gt;0,FINANCIACION[[#This Row],[$ CAPITAL]])</f>
        <v>0</v>
      </c>
      <c r="J320" s="11">
        <f>IF(FINANCIACION[[#This Row],[$ CAPITAL]]&gt;=0,FINANCIACION[[#This Row],[$ CAPITAL]]+FINANCIACION[[#This Row],[$ INTERESES]],0)</f>
        <v>0</v>
      </c>
    </row>
    <row r="321" spans="1:10" ht="24" hidden="1" customHeight="1" x14ac:dyDescent="0.3">
      <c r="A321" s="9">
        <v>44074</v>
      </c>
      <c r="B321" s="63" t="s">
        <v>1225</v>
      </c>
      <c r="C321" s="7">
        <v>-341123</v>
      </c>
      <c r="D321" s="7"/>
      <c r="E321" s="7" t="s">
        <v>146</v>
      </c>
      <c r="F321" s="7">
        <v>-94501512.170000017</v>
      </c>
      <c r="G321" s="10"/>
      <c r="H321" s="66"/>
      <c r="I321" s="7" t="b">
        <f>IF(FINANCIACION[[#This Row],[$ CAPITAL]]&gt;0,FINANCIACION[[#This Row],[$ CAPITAL]])</f>
        <v>0</v>
      </c>
      <c r="J321" s="11">
        <f>IF(FINANCIACION[[#This Row],[$ CAPITAL]]&gt;=0,FINANCIACION[[#This Row],[$ CAPITAL]]+FINANCIACION[[#This Row],[$ INTERESES]],0)</f>
        <v>0</v>
      </c>
    </row>
    <row r="322" spans="1:10" ht="24" hidden="1" customHeight="1" x14ac:dyDescent="0.3">
      <c r="A322" s="9">
        <v>44074</v>
      </c>
      <c r="B322" s="63" t="s">
        <v>1225</v>
      </c>
      <c r="C322" s="7">
        <v>-4208374.74</v>
      </c>
      <c r="D322" s="7"/>
      <c r="E322" s="7" t="s">
        <v>146</v>
      </c>
      <c r="F322" s="7">
        <v>-94501512.170000017</v>
      </c>
      <c r="G322" s="66"/>
      <c r="H322" s="10"/>
      <c r="I322" s="7" t="b">
        <f>IF(FINANCIACION[[#This Row],[$ CAPITAL]]&gt;0,FINANCIACION[[#This Row],[$ CAPITAL]])</f>
        <v>0</v>
      </c>
      <c r="J322" s="41">
        <f>IF(FINANCIACION[[#This Row],[$ CAPITAL]]&gt;=0,FINANCIACION[[#This Row],[$ CAPITAL]]+FINANCIACION[[#This Row],[$ INTERESES]],0)</f>
        <v>0</v>
      </c>
    </row>
    <row r="323" spans="1:10" ht="24" hidden="1" customHeight="1" x14ac:dyDescent="0.3">
      <c r="A323" s="9">
        <v>44074</v>
      </c>
      <c r="B323" s="63" t="s">
        <v>1225</v>
      </c>
      <c r="C323" s="7">
        <v>-7043807</v>
      </c>
      <c r="D323" s="7"/>
      <c r="E323" s="7" t="s">
        <v>146</v>
      </c>
      <c r="F323" s="7">
        <v>-94501512.170000017</v>
      </c>
      <c r="G323" s="66"/>
      <c r="H323" s="10"/>
      <c r="I323" s="7" t="b">
        <f>IF(FINANCIACION[[#This Row],[$ CAPITAL]]&gt;0,FINANCIACION[[#This Row],[$ CAPITAL]])</f>
        <v>0</v>
      </c>
      <c r="J323" s="41">
        <f>IF(FINANCIACION[[#This Row],[$ CAPITAL]]&gt;=0,FINANCIACION[[#This Row],[$ CAPITAL]]+FINANCIACION[[#This Row],[$ INTERESES]],0)</f>
        <v>0</v>
      </c>
    </row>
    <row r="324" spans="1:10" ht="24" hidden="1" customHeight="1" x14ac:dyDescent="0.3">
      <c r="A324" s="9">
        <v>44074</v>
      </c>
      <c r="B324" s="63" t="s">
        <v>1228</v>
      </c>
      <c r="C324" s="7">
        <v>-511971.21999999898</v>
      </c>
      <c r="D324" s="7"/>
      <c r="E324" s="7" t="s">
        <v>146</v>
      </c>
      <c r="F324" s="7">
        <v>-66447584.149999999</v>
      </c>
      <c r="G324" s="66"/>
      <c r="H324" s="10"/>
      <c r="I324" s="7" t="b">
        <f>IF(FINANCIACION[[#This Row],[$ CAPITAL]]&gt;0,FINANCIACION[[#This Row],[$ CAPITAL]])</f>
        <v>0</v>
      </c>
      <c r="J324" s="41">
        <f>IF(FINANCIACION[[#This Row],[$ CAPITAL]]&gt;=0,FINANCIACION[[#This Row],[$ CAPITAL]]+FINANCIACION[[#This Row],[$ INTERESES]],0)</f>
        <v>0</v>
      </c>
    </row>
    <row r="325" spans="1:10" ht="24" hidden="1" customHeight="1" x14ac:dyDescent="0.3">
      <c r="A325" s="9">
        <v>44074</v>
      </c>
      <c r="B325" s="63" t="s">
        <v>1229</v>
      </c>
      <c r="C325" s="7">
        <v>-818880.33999998902</v>
      </c>
      <c r="D325" s="7"/>
      <c r="E325" s="7" t="s">
        <v>146</v>
      </c>
      <c r="F325" s="7">
        <v>-96853803.769999996</v>
      </c>
      <c r="G325" s="66"/>
      <c r="H325" s="10"/>
      <c r="I325" s="7" t="b">
        <f>IF(FINANCIACION[[#This Row],[$ CAPITAL]]&gt;0,FINANCIACION[[#This Row],[$ CAPITAL]])</f>
        <v>0</v>
      </c>
      <c r="J325" s="41">
        <f>IF(FINANCIACION[[#This Row],[$ CAPITAL]]&gt;=0,FINANCIACION[[#This Row],[$ CAPITAL]]+FINANCIACION[[#This Row],[$ INTERESES]],0)</f>
        <v>0</v>
      </c>
    </row>
    <row r="326" spans="1:10" ht="24" hidden="1" customHeight="1" x14ac:dyDescent="0.3">
      <c r="A326" s="9">
        <v>44074</v>
      </c>
      <c r="B326" s="63" t="s">
        <v>1230</v>
      </c>
      <c r="C326" s="7">
        <v>-172466.73</v>
      </c>
      <c r="D326" s="7"/>
      <c r="E326" s="7" t="s">
        <v>146</v>
      </c>
      <c r="F326" s="7">
        <v>-25905743.73</v>
      </c>
      <c r="G326" s="66"/>
      <c r="H326" s="10"/>
      <c r="I326" s="7" t="b">
        <f>IF(FINANCIACION[[#This Row],[$ CAPITAL]]&gt;0,FINANCIACION[[#This Row],[$ CAPITAL]])</f>
        <v>0</v>
      </c>
      <c r="J326" s="41">
        <f>IF(FINANCIACION[[#This Row],[$ CAPITAL]]&gt;=0,FINANCIACION[[#This Row],[$ CAPITAL]]+FINANCIACION[[#This Row],[$ INTERESES]],0)</f>
        <v>0</v>
      </c>
    </row>
    <row r="327" spans="1:10" ht="24" hidden="1" customHeight="1" x14ac:dyDescent="0.3">
      <c r="A327" s="9">
        <v>44075</v>
      </c>
      <c r="B327" s="63" t="s">
        <v>1225</v>
      </c>
      <c r="C327" s="7">
        <v>8239202</v>
      </c>
      <c r="D327" s="7"/>
      <c r="E327" s="7">
        <v>8239202</v>
      </c>
      <c r="F327" s="7">
        <v>-86262310.170000017</v>
      </c>
      <c r="G327" s="66"/>
      <c r="H327" s="10"/>
      <c r="I327" s="7">
        <f>IF(FINANCIACION[[#This Row],[$ CAPITAL]]&gt;0,FINANCIACION[[#This Row],[$ CAPITAL]])</f>
        <v>8239202</v>
      </c>
      <c r="J327" s="41">
        <f>IF(FINANCIACION[[#This Row],[$ CAPITAL]]&gt;=0,FINANCIACION[[#This Row],[$ CAPITAL]]+FINANCIACION[[#This Row],[$ INTERESES]],0)</f>
        <v>8239202</v>
      </c>
    </row>
    <row r="328" spans="1:10" ht="24" hidden="1" customHeight="1" x14ac:dyDescent="0.3">
      <c r="A328" s="9">
        <v>44075</v>
      </c>
      <c r="B328" s="63" t="s">
        <v>1232</v>
      </c>
      <c r="C328" s="7">
        <v>-26952781</v>
      </c>
      <c r="D328" s="7">
        <v>1152781</v>
      </c>
      <c r="E328" s="7" t="s">
        <v>146</v>
      </c>
      <c r="F328" s="7">
        <v>-26952781</v>
      </c>
      <c r="G328" s="66"/>
      <c r="H328" s="10"/>
      <c r="I328" s="7" t="b">
        <f>IF(FINANCIACION[[#This Row],[$ CAPITAL]]&gt;0,FINANCIACION[[#This Row],[$ CAPITAL]])</f>
        <v>0</v>
      </c>
      <c r="J328" s="41">
        <f>IF(FINANCIACION[[#This Row],[$ CAPITAL]]&gt;=0,FINANCIACION[[#This Row],[$ CAPITAL]]+FINANCIACION[[#This Row],[$ INTERESES]],0)</f>
        <v>0</v>
      </c>
    </row>
    <row r="329" spans="1:10" ht="24" hidden="1" customHeight="1" x14ac:dyDescent="0.3">
      <c r="A329" s="9">
        <v>44076</v>
      </c>
      <c r="B329" s="63" t="s">
        <v>1225</v>
      </c>
      <c r="C329" s="7">
        <v>4200000</v>
      </c>
      <c r="D329" s="7"/>
      <c r="E329" s="7">
        <v>4200000</v>
      </c>
      <c r="F329" s="7">
        <v>-75852342.170000017</v>
      </c>
      <c r="G329" s="66"/>
      <c r="H329" s="10"/>
      <c r="I329" s="7">
        <f>IF(FINANCIACION[[#This Row],[$ CAPITAL]]&gt;0,FINANCIACION[[#This Row],[$ CAPITAL]])</f>
        <v>4200000</v>
      </c>
      <c r="J329" s="41">
        <f>IF(FINANCIACION[[#This Row],[$ CAPITAL]]&gt;=0,FINANCIACION[[#This Row],[$ CAPITAL]]+FINANCIACION[[#This Row],[$ INTERESES]],0)</f>
        <v>4200000</v>
      </c>
    </row>
    <row r="330" spans="1:10" ht="24" hidden="1" customHeight="1" x14ac:dyDescent="0.3">
      <c r="A330" s="9">
        <v>44076</v>
      </c>
      <c r="B330" s="63" t="s">
        <v>1225</v>
      </c>
      <c r="C330" s="7">
        <v>2209968</v>
      </c>
      <c r="D330" s="7"/>
      <c r="E330" s="7">
        <v>2209968</v>
      </c>
      <c r="F330" s="7">
        <v>-75852342.170000017</v>
      </c>
      <c r="G330" s="10"/>
      <c r="H330" s="10"/>
      <c r="I330" s="7">
        <f>IF(FINANCIACION[[#This Row],[$ CAPITAL]]&gt;0,FINANCIACION[[#This Row],[$ CAPITAL]])</f>
        <v>2209968</v>
      </c>
      <c r="J330" s="41">
        <f>IF(FINANCIACION[[#This Row],[$ CAPITAL]]&gt;=0,FINANCIACION[[#This Row],[$ CAPITAL]]+FINANCIACION[[#This Row],[$ INTERESES]],0)</f>
        <v>2209968</v>
      </c>
    </row>
    <row r="331" spans="1:10" ht="24" hidden="1" customHeight="1" x14ac:dyDescent="0.3">
      <c r="A331" s="9">
        <v>44076</v>
      </c>
      <c r="B331" s="63" t="s">
        <v>1225</v>
      </c>
      <c r="C331" s="7">
        <v>2000000</v>
      </c>
      <c r="D331" s="7"/>
      <c r="E331" s="7">
        <v>2000000</v>
      </c>
      <c r="F331" s="7">
        <v>-75852342.170000017</v>
      </c>
      <c r="G331" s="10"/>
      <c r="H331" s="10"/>
      <c r="I331" s="7">
        <f>IF(FINANCIACION[[#This Row],[$ CAPITAL]]&gt;0,FINANCIACION[[#This Row],[$ CAPITAL]])</f>
        <v>2000000</v>
      </c>
      <c r="J331" s="41">
        <f>IF(FINANCIACION[[#This Row],[$ CAPITAL]]&gt;=0,FINANCIACION[[#This Row],[$ CAPITAL]]+FINANCIACION[[#This Row],[$ INTERESES]],0)</f>
        <v>2000000</v>
      </c>
    </row>
    <row r="332" spans="1:10" ht="24" hidden="1" customHeight="1" x14ac:dyDescent="0.3">
      <c r="A332" s="9">
        <v>44076</v>
      </c>
      <c r="B332" s="63" t="s">
        <v>1225</v>
      </c>
      <c r="C332" s="7">
        <v>2000000</v>
      </c>
      <c r="D332" s="7"/>
      <c r="E332" s="7">
        <v>2000000</v>
      </c>
      <c r="F332" s="7">
        <v>-75852342.170000017</v>
      </c>
      <c r="G332" s="10"/>
      <c r="H332" s="10"/>
      <c r="I332" s="7">
        <f>IF(FINANCIACION[[#This Row],[$ CAPITAL]]&gt;0,FINANCIACION[[#This Row],[$ CAPITAL]])</f>
        <v>2000000</v>
      </c>
      <c r="J332" s="41">
        <f>IF(FINANCIACION[[#This Row],[$ CAPITAL]]&gt;=0,FINANCIACION[[#This Row],[$ CAPITAL]]+FINANCIACION[[#This Row],[$ INTERESES]],0)</f>
        <v>2000000</v>
      </c>
    </row>
    <row r="333" spans="1:10" ht="24" hidden="1" customHeight="1" x14ac:dyDescent="0.3">
      <c r="A333" s="9">
        <v>44078</v>
      </c>
      <c r="B333" s="63" t="s">
        <v>1226</v>
      </c>
      <c r="C333" s="7"/>
      <c r="D333" s="7">
        <v>150000</v>
      </c>
      <c r="E333" s="7">
        <v>150000</v>
      </c>
      <c r="F333" s="7">
        <v>-15000000</v>
      </c>
      <c r="G333" s="10"/>
      <c r="H333" s="10"/>
      <c r="I333" s="7" t="b">
        <f>IF(FINANCIACION[[#This Row],[$ CAPITAL]]&gt;0,FINANCIACION[[#This Row],[$ CAPITAL]])</f>
        <v>0</v>
      </c>
      <c r="J333" s="41">
        <f>IF(FINANCIACION[[#This Row],[$ CAPITAL]]&gt;=0,FINANCIACION[[#This Row],[$ CAPITAL]]+FINANCIACION[[#This Row],[$ INTERESES]],0)</f>
        <v>150000</v>
      </c>
    </row>
    <row r="334" spans="1:10" ht="24" hidden="1" customHeight="1" x14ac:dyDescent="0.3">
      <c r="A334" s="9">
        <v>44078</v>
      </c>
      <c r="B334" s="63" t="s">
        <v>1223</v>
      </c>
      <c r="C334" s="7">
        <v>334200</v>
      </c>
      <c r="D334" s="7">
        <v>665800</v>
      </c>
      <c r="E334" s="7">
        <v>1000000</v>
      </c>
      <c r="F334" s="7">
        <v>-66244860</v>
      </c>
      <c r="G334" s="10"/>
      <c r="H334" s="10"/>
      <c r="I334" s="7">
        <f>IF(FINANCIACION[[#This Row],[$ CAPITAL]]&gt;0,FINANCIACION[[#This Row],[$ CAPITAL]])</f>
        <v>334200</v>
      </c>
      <c r="J334" s="41">
        <f>IF(FINANCIACION[[#This Row],[$ CAPITAL]]&gt;=0,FINANCIACION[[#This Row],[$ CAPITAL]]+FINANCIACION[[#This Row],[$ INTERESES]],0)</f>
        <v>1000000</v>
      </c>
    </row>
    <row r="335" spans="1:10" ht="24" hidden="1" customHeight="1" x14ac:dyDescent="0.3">
      <c r="A335" s="9">
        <v>44078</v>
      </c>
      <c r="B335" s="63" t="s">
        <v>199</v>
      </c>
      <c r="C335" s="7">
        <v>6326000</v>
      </c>
      <c r="D335" s="7">
        <v>907029</v>
      </c>
      <c r="E335" s="7">
        <v>7233029</v>
      </c>
      <c r="F335" s="7">
        <v>-110973126</v>
      </c>
      <c r="G335" s="10"/>
      <c r="H335" s="10"/>
      <c r="I335" s="7">
        <f>IF(FINANCIACION[[#This Row],[$ CAPITAL]]&gt;0,FINANCIACION[[#This Row],[$ CAPITAL]])</f>
        <v>6326000</v>
      </c>
      <c r="J335" s="41">
        <f>IF(FINANCIACION[[#This Row],[$ CAPITAL]]&gt;=0,FINANCIACION[[#This Row],[$ CAPITAL]]+FINANCIACION[[#This Row],[$ INTERESES]],0)</f>
        <v>7233029</v>
      </c>
    </row>
    <row r="336" spans="1:10" ht="24" hidden="1" customHeight="1" x14ac:dyDescent="0.3">
      <c r="A336" s="9">
        <v>44078</v>
      </c>
      <c r="B336" s="63" t="s">
        <v>1225</v>
      </c>
      <c r="C336" s="7">
        <v>1826615</v>
      </c>
      <c r="D336" s="7"/>
      <c r="E336" s="7">
        <v>1826615</v>
      </c>
      <c r="F336" s="7">
        <v>-73525727.170000017</v>
      </c>
      <c r="G336" s="10"/>
      <c r="H336" s="10"/>
      <c r="I336" s="7">
        <f>IF(FINANCIACION[[#This Row],[$ CAPITAL]]&gt;0,FINANCIACION[[#This Row],[$ CAPITAL]])</f>
        <v>1826615</v>
      </c>
      <c r="J336" s="41">
        <f>IF(FINANCIACION[[#This Row],[$ CAPITAL]]&gt;=0,FINANCIACION[[#This Row],[$ CAPITAL]]+FINANCIACION[[#This Row],[$ INTERESES]],0)</f>
        <v>1826615</v>
      </c>
    </row>
    <row r="337" spans="1:10" ht="24" hidden="1" customHeight="1" x14ac:dyDescent="0.3">
      <c r="A337" s="9">
        <v>44078</v>
      </c>
      <c r="B337" s="63" t="s">
        <v>1225</v>
      </c>
      <c r="C337" s="7">
        <v>500000</v>
      </c>
      <c r="D337" s="7"/>
      <c r="E337" s="7">
        <v>500000</v>
      </c>
      <c r="F337" s="7">
        <v>-73525727.170000017</v>
      </c>
      <c r="G337" s="10"/>
      <c r="H337" s="10"/>
      <c r="I337" s="7">
        <f>IF(FINANCIACION[[#This Row],[$ CAPITAL]]&gt;0,FINANCIACION[[#This Row],[$ CAPITAL]])</f>
        <v>500000</v>
      </c>
      <c r="J337" s="41">
        <f>IF(FINANCIACION[[#This Row],[$ CAPITAL]]&gt;=0,FINANCIACION[[#This Row],[$ CAPITAL]]+FINANCIACION[[#This Row],[$ INTERESES]],0)</f>
        <v>500000</v>
      </c>
    </row>
    <row r="338" spans="1:10" ht="24" hidden="1" customHeight="1" x14ac:dyDescent="0.3">
      <c r="A338" s="9">
        <v>44081</v>
      </c>
      <c r="B338" s="63" t="s">
        <v>195</v>
      </c>
      <c r="C338" s="7"/>
      <c r="D338" s="7">
        <v>31575</v>
      </c>
      <c r="E338" s="7">
        <v>31575</v>
      </c>
      <c r="F338" s="7">
        <v>-16250000</v>
      </c>
      <c r="G338" s="10"/>
      <c r="H338" s="10"/>
      <c r="I338" s="7" t="b">
        <f>IF(FINANCIACION[[#This Row],[$ CAPITAL]]&gt;0,FINANCIACION[[#This Row],[$ CAPITAL]])</f>
        <v>0</v>
      </c>
      <c r="J338" s="41">
        <f>IF(FINANCIACION[[#This Row],[$ CAPITAL]]&gt;=0,FINANCIACION[[#This Row],[$ CAPITAL]]+FINANCIACION[[#This Row],[$ INTERESES]],0)</f>
        <v>31575</v>
      </c>
    </row>
    <row r="339" spans="1:10" ht="24" hidden="1" customHeight="1" x14ac:dyDescent="0.3">
      <c r="A339" s="9">
        <v>44081</v>
      </c>
      <c r="B339" s="63" t="s">
        <v>196</v>
      </c>
      <c r="C339" s="7"/>
      <c r="D339" s="7">
        <v>64575</v>
      </c>
      <c r="E339" s="7">
        <v>64575</v>
      </c>
      <c r="F339" s="7">
        <v>-38080833</v>
      </c>
      <c r="G339" s="10"/>
      <c r="H339" s="10"/>
      <c r="I339" s="7" t="b">
        <f>IF(FINANCIACION[[#This Row],[$ CAPITAL]]&gt;0,FINANCIACION[[#This Row],[$ CAPITAL]])</f>
        <v>0</v>
      </c>
      <c r="J339" s="41">
        <f>IF(FINANCIACION[[#This Row],[$ CAPITAL]]&gt;=0,FINANCIACION[[#This Row],[$ CAPITAL]]+FINANCIACION[[#This Row],[$ INTERESES]],0)</f>
        <v>64575</v>
      </c>
    </row>
    <row r="340" spans="1:10" ht="24" hidden="1" customHeight="1" x14ac:dyDescent="0.3">
      <c r="A340" s="9">
        <v>44081</v>
      </c>
      <c r="B340" s="63" t="s">
        <v>1225</v>
      </c>
      <c r="C340" s="7">
        <v>761488</v>
      </c>
      <c r="D340" s="7"/>
      <c r="E340" s="7">
        <v>761488</v>
      </c>
      <c r="F340" s="7">
        <v>-68062239.170000017</v>
      </c>
      <c r="G340" s="10"/>
      <c r="H340" s="10"/>
      <c r="I340" s="7">
        <f>IF(FINANCIACION[[#This Row],[$ CAPITAL]]&gt;0,FINANCIACION[[#This Row],[$ CAPITAL]])</f>
        <v>761488</v>
      </c>
      <c r="J340" s="41">
        <f>IF(FINANCIACION[[#This Row],[$ CAPITAL]]&gt;=0,FINANCIACION[[#This Row],[$ CAPITAL]]+FINANCIACION[[#This Row],[$ INTERESES]],0)</f>
        <v>761488</v>
      </c>
    </row>
    <row r="341" spans="1:10" ht="24" hidden="1" customHeight="1" x14ac:dyDescent="0.3">
      <c r="A341" s="9">
        <v>44081</v>
      </c>
      <c r="B341" s="63" t="s">
        <v>1225</v>
      </c>
      <c r="C341" s="7">
        <v>3702000</v>
      </c>
      <c r="D341" s="7"/>
      <c r="E341" s="7">
        <v>3702000</v>
      </c>
      <c r="F341" s="7">
        <v>-68062239.170000017</v>
      </c>
      <c r="G341" s="10"/>
      <c r="H341" s="10"/>
      <c r="I341" s="7">
        <f>IF(FINANCIACION[[#This Row],[$ CAPITAL]]&gt;0,FINANCIACION[[#This Row],[$ CAPITAL]])</f>
        <v>3702000</v>
      </c>
      <c r="J341" s="41">
        <f>IF(FINANCIACION[[#This Row],[$ CAPITAL]]&gt;=0,FINANCIACION[[#This Row],[$ CAPITAL]]+FINANCIACION[[#This Row],[$ INTERESES]],0)</f>
        <v>3702000</v>
      </c>
    </row>
    <row r="342" spans="1:10" ht="24" hidden="1" customHeight="1" x14ac:dyDescent="0.3">
      <c r="A342" s="9">
        <v>44081</v>
      </c>
      <c r="B342" s="63" t="s">
        <v>1225</v>
      </c>
      <c r="C342" s="7">
        <v>1000000</v>
      </c>
      <c r="D342" s="7"/>
      <c r="E342" s="7">
        <v>1000000</v>
      </c>
      <c r="F342" s="7">
        <v>-68062239.170000017</v>
      </c>
      <c r="G342" s="10"/>
      <c r="H342" s="10"/>
      <c r="I342" s="7">
        <f>IF(FINANCIACION[[#This Row],[$ CAPITAL]]&gt;0,FINANCIACION[[#This Row],[$ CAPITAL]])</f>
        <v>1000000</v>
      </c>
      <c r="J342" s="41">
        <f>IF(FINANCIACION[[#This Row],[$ CAPITAL]]&gt;=0,FINANCIACION[[#This Row],[$ CAPITAL]]+FINANCIACION[[#This Row],[$ INTERESES]],0)</f>
        <v>1000000</v>
      </c>
    </row>
    <row r="343" spans="1:10" ht="24" hidden="1" customHeight="1" x14ac:dyDescent="0.3">
      <c r="A343" s="9">
        <v>44083</v>
      </c>
      <c r="B343" s="63" t="s">
        <v>1222</v>
      </c>
      <c r="C343" s="7"/>
      <c r="D343" s="7">
        <v>950000</v>
      </c>
      <c r="E343" s="7">
        <v>950000</v>
      </c>
      <c r="F343" s="7">
        <v>-94935167</v>
      </c>
      <c r="G343" s="10"/>
      <c r="H343" s="10"/>
      <c r="I343" s="7" t="b">
        <f>IF(FINANCIACION[[#This Row],[$ CAPITAL]]&gt;0,FINANCIACION[[#This Row],[$ CAPITAL]])</f>
        <v>0</v>
      </c>
      <c r="J343" s="41">
        <f>IF(FINANCIACION[[#This Row],[$ CAPITAL]]&gt;=0,FINANCIACION[[#This Row],[$ CAPITAL]]+FINANCIACION[[#This Row],[$ INTERESES]],0)</f>
        <v>950000</v>
      </c>
    </row>
    <row r="344" spans="1:10" ht="24" hidden="1" customHeight="1" x14ac:dyDescent="0.3">
      <c r="A344" s="9">
        <v>44088</v>
      </c>
      <c r="B344" s="63" t="s">
        <v>1225</v>
      </c>
      <c r="C344" s="7">
        <v>2039950</v>
      </c>
      <c r="D344" s="7"/>
      <c r="E344" s="7">
        <v>2039950</v>
      </c>
      <c r="F344" s="7">
        <v>-66022289.170000017</v>
      </c>
      <c r="G344" s="10"/>
      <c r="H344" s="10"/>
      <c r="I344" s="7">
        <f>IF(FINANCIACION[[#This Row],[$ CAPITAL]]&gt;0,FINANCIACION[[#This Row],[$ CAPITAL]])</f>
        <v>2039950</v>
      </c>
      <c r="J344" s="41">
        <f>IF(FINANCIACION[[#This Row],[$ CAPITAL]]&gt;=0,FINANCIACION[[#This Row],[$ CAPITAL]]+FINANCIACION[[#This Row],[$ INTERESES]],0)</f>
        <v>2039950</v>
      </c>
    </row>
    <row r="345" spans="1:10" ht="24" hidden="1" customHeight="1" x14ac:dyDescent="0.3">
      <c r="A345" s="9">
        <v>44092</v>
      </c>
      <c r="B345" s="63" t="s">
        <v>1224</v>
      </c>
      <c r="C345" s="7">
        <v>3000000</v>
      </c>
      <c r="D345" s="7"/>
      <c r="E345" s="7">
        <v>3000000</v>
      </c>
      <c r="F345" s="7">
        <v>-377443064</v>
      </c>
      <c r="G345" s="10"/>
      <c r="H345" s="10"/>
      <c r="I345" s="7">
        <f>IF(FINANCIACION[[#This Row],[$ CAPITAL]]&gt;0,FINANCIACION[[#This Row],[$ CAPITAL]])</f>
        <v>3000000</v>
      </c>
      <c r="J345" s="41">
        <f>IF(FINANCIACION[[#This Row],[$ CAPITAL]]&gt;=0,FINANCIACION[[#This Row],[$ CAPITAL]]+FINANCIACION[[#This Row],[$ INTERESES]],0)</f>
        <v>3000000</v>
      </c>
    </row>
    <row r="346" spans="1:10" ht="24" hidden="1" customHeight="1" x14ac:dyDescent="0.3">
      <c r="A346" s="9">
        <v>44095</v>
      </c>
      <c r="B346" s="63" t="s">
        <v>1225</v>
      </c>
      <c r="C346" s="7"/>
      <c r="D346" s="7">
        <v>6015875</v>
      </c>
      <c r="E346" s="7">
        <v>6015875</v>
      </c>
      <c r="F346" s="7">
        <v>-65070473.170000017</v>
      </c>
      <c r="G346" s="10"/>
      <c r="H346" s="10"/>
      <c r="I346" s="7" t="b">
        <f>IF(FINANCIACION[[#This Row],[$ CAPITAL]]&gt;0,FINANCIACION[[#This Row],[$ CAPITAL]])</f>
        <v>0</v>
      </c>
      <c r="J346" s="41">
        <f>IF(FINANCIACION[[#This Row],[$ CAPITAL]]&gt;=0,FINANCIACION[[#This Row],[$ CAPITAL]]+FINANCIACION[[#This Row],[$ INTERESES]],0)</f>
        <v>6015875</v>
      </c>
    </row>
    <row r="347" spans="1:10" ht="24" hidden="1" customHeight="1" x14ac:dyDescent="0.3">
      <c r="A347" s="9">
        <v>44095</v>
      </c>
      <c r="B347" s="63" t="s">
        <v>1225</v>
      </c>
      <c r="C347" s="7">
        <v>951816</v>
      </c>
      <c r="D347" s="7"/>
      <c r="E347" s="7">
        <v>951816</v>
      </c>
      <c r="F347" s="7">
        <v>-65070473.170000017</v>
      </c>
      <c r="G347" s="10"/>
      <c r="H347" s="10"/>
      <c r="I347" s="7">
        <f>IF(FINANCIACION[[#This Row],[$ CAPITAL]]&gt;0,FINANCIACION[[#This Row],[$ CAPITAL]])</f>
        <v>951816</v>
      </c>
      <c r="J347" s="41">
        <f>IF(FINANCIACION[[#This Row],[$ CAPITAL]]&gt;=0,FINANCIACION[[#This Row],[$ CAPITAL]]+FINANCIACION[[#This Row],[$ INTERESES]],0)</f>
        <v>951816</v>
      </c>
    </row>
    <row r="348" spans="1:10" ht="24" hidden="1" customHeight="1" x14ac:dyDescent="0.3">
      <c r="A348" s="9">
        <v>44099</v>
      </c>
      <c r="B348" s="63" t="s">
        <v>1225</v>
      </c>
      <c r="C348" s="7">
        <v>3867810</v>
      </c>
      <c r="D348" s="7"/>
      <c r="E348" s="7">
        <v>3867810</v>
      </c>
      <c r="F348" s="7">
        <v>-60702663.170000017</v>
      </c>
      <c r="G348" s="10"/>
      <c r="H348" s="10"/>
      <c r="I348" s="7">
        <f>IF(FINANCIACION[[#This Row],[$ CAPITAL]]&gt;0,FINANCIACION[[#This Row],[$ CAPITAL]])</f>
        <v>3867810</v>
      </c>
      <c r="J348" s="41">
        <f>IF(FINANCIACION[[#This Row],[$ CAPITAL]]&gt;=0,FINANCIACION[[#This Row],[$ CAPITAL]]+FINANCIACION[[#This Row],[$ INTERESES]],0)</f>
        <v>3867810</v>
      </c>
    </row>
    <row r="349" spans="1:10" ht="24" hidden="1" customHeight="1" x14ac:dyDescent="0.3">
      <c r="A349" s="9">
        <v>44099</v>
      </c>
      <c r="B349" s="63" t="s">
        <v>1225</v>
      </c>
      <c r="C349" s="7">
        <v>500000</v>
      </c>
      <c r="D349" s="7"/>
      <c r="E349" s="7">
        <v>500000</v>
      </c>
      <c r="F349" s="7">
        <v>-60702663.170000017</v>
      </c>
      <c r="G349" s="10"/>
      <c r="H349" s="10"/>
      <c r="I349" s="7">
        <f>IF(FINANCIACION[[#This Row],[$ CAPITAL]]&gt;0,FINANCIACION[[#This Row],[$ CAPITAL]])</f>
        <v>500000</v>
      </c>
      <c r="J349" s="41">
        <f>IF(FINANCIACION[[#This Row],[$ CAPITAL]]&gt;=0,FINANCIACION[[#This Row],[$ CAPITAL]]+FINANCIACION[[#This Row],[$ INTERESES]],0)</f>
        <v>500000</v>
      </c>
    </row>
    <row r="350" spans="1:10" ht="24" hidden="1" customHeight="1" x14ac:dyDescent="0.3">
      <c r="A350" s="9">
        <v>44104</v>
      </c>
      <c r="B350" s="63" t="s">
        <v>195</v>
      </c>
      <c r="C350" s="7">
        <v>-38080833</v>
      </c>
      <c r="D350" s="7"/>
      <c r="E350" s="7" t="s">
        <v>146</v>
      </c>
      <c r="F350" s="7">
        <v>-54330833</v>
      </c>
      <c r="G350" s="10"/>
      <c r="H350" s="10"/>
      <c r="I350" s="7" t="b">
        <f>IF(FINANCIACION[[#This Row],[$ CAPITAL]]&gt;0,FINANCIACION[[#This Row],[$ CAPITAL]])</f>
        <v>0</v>
      </c>
      <c r="J350" s="41">
        <f>IF(FINANCIACION[[#This Row],[$ CAPITAL]]&gt;=0,FINANCIACION[[#This Row],[$ CAPITAL]]+FINANCIACION[[#This Row],[$ INTERESES]],0)</f>
        <v>0</v>
      </c>
    </row>
    <row r="351" spans="1:10" ht="24" hidden="1" customHeight="1" x14ac:dyDescent="0.3">
      <c r="A351" s="9">
        <v>44104</v>
      </c>
      <c r="B351" s="63" t="s">
        <v>196</v>
      </c>
      <c r="C351" s="7">
        <v>34778781</v>
      </c>
      <c r="D351" s="7"/>
      <c r="E351" s="7">
        <v>34778781</v>
      </c>
      <c r="F351" s="7">
        <v>-3302052</v>
      </c>
      <c r="G351" s="10"/>
      <c r="H351" s="10"/>
      <c r="I351" s="7">
        <f>IF(FINANCIACION[[#This Row],[$ CAPITAL]]&gt;0,FINANCIACION[[#This Row],[$ CAPITAL]])</f>
        <v>34778781</v>
      </c>
      <c r="J351" s="41">
        <f>IF(FINANCIACION[[#This Row],[$ CAPITAL]]&gt;=0,FINANCIACION[[#This Row],[$ CAPITAL]]+FINANCIACION[[#This Row],[$ INTERESES]],0)</f>
        <v>34778781</v>
      </c>
    </row>
    <row r="352" spans="1:10" ht="24" hidden="1" customHeight="1" x14ac:dyDescent="0.3">
      <c r="A352" s="9">
        <v>44104</v>
      </c>
      <c r="B352" s="63" t="s">
        <v>1224</v>
      </c>
      <c r="C352" s="7">
        <v>-39568203</v>
      </c>
      <c r="D352" s="7"/>
      <c r="E352" s="7" t="s">
        <v>146</v>
      </c>
      <c r="F352" s="7">
        <v>-417011267</v>
      </c>
      <c r="G352" s="10"/>
      <c r="H352" s="10"/>
      <c r="I352" s="7" t="b">
        <f>IF(FINANCIACION[[#This Row],[$ CAPITAL]]&gt;0,FINANCIACION[[#This Row],[$ CAPITAL]])</f>
        <v>0</v>
      </c>
      <c r="J352" s="41">
        <f>IF(FINANCIACION[[#This Row],[$ CAPITAL]]&gt;=0,FINANCIACION[[#This Row],[$ CAPITAL]]+FINANCIACION[[#This Row],[$ INTERESES]],0)</f>
        <v>0</v>
      </c>
    </row>
    <row r="353" spans="1:10" ht="24" hidden="1" customHeight="1" x14ac:dyDescent="0.3">
      <c r="A353" s="9">
        <v>44104</v>
      </c>
      <c r="B353" s="63" t="s">
        <v>1225</v>
      </c>
      <c r="C353" s="7">
        <v>-236242.01000000164</v>
      </c>
      <c r="D353" s="7"/>
      <c r="E353" s="7" t="s">
        <v>146</v>
      </c>
      <c r="F353" s="7">
        <v>-84819162.470000014</v>
      </c>
      <c r="G353" s="10"/>
      <c r="H353" s="10"/>
      <c r="I353" s="7" t="b">
        <f>IF(FINANCIACION[[#This Row],[$ CAPITAL]]&gt;0,FINANCIACION[[#This Row],[$ CAPITAL]])</f>
        <v>0</v>
      </c>
      <c r="J353" s="41">
        <f>IF(FINANCIACION[[#This Row],[$ CAPITAL]]&gt;=0,FINANCIACION[[#This Row],[$ CAPITAL]]+FINANCIACION[[#This Row],[$ INTERESES]],0)</f>
        <v>0</v>
      </c>
    </row>
    <row r="354" spans="1:10" ht="24" hidden="1" customHeight="1" x14ac:dyDescent="0.3">
      <c r="A354" s="9">
        <v>44104</v>
      </c>
      <c r="B354" s="63" t="s">
        <v>1225</v>
      </c>
      <c r="C354" s="7">
        <v>-300004.53999999911</v>
      </c>
      <c r="D354" s="7"/>
      <c r="E354" s="7" t="s">
        <v>146</v>
      </c>
      <c r="F354" s="7">
        <v>-84819162.470000014</v>
      </c>
      <c r="G354" s="10"/>
      <c r="H354" s="10"/>
      <c r="I354" s="7" t="b">
        <f>IF(FINANCIACION[[#This Row],[$ CAPITAL]]&gt;0,FINANCIACION[[#This Row],[$ CAPITAL]])</f>
        <v>0</v>
      </c>
      <c r="J354" s="41">
        <f>IF(FINANCIACION[[#This Row],[$ CAPITAL]]&gt;=0,FINANCIACION[[#This Row],[$ CAPITAL]]+FINANCIACION[[#This Row],[$ INTERESES]],0)</f>
        <v>0</v>
      </c>
    </row>
    <row r="355" spans="1:10" ht="24" hidden="1" customHeight="1" x14ac:dyDescent="0.3">
      <c r="A355" s="9">
        <v>44104</v>
      </c>
      <c r="B355" s="63" t="s">
        <v>1225</v>
      </c>
      <c r="C355" s="7">
        <v>-449896.74999999814</v>
      </c>
      <c r="D355" s="7"/>
      <c r="E355" s="7" t="s">
        <v>146</v>
      </c>
      <c r="F355" s="7">
        <v>-84819162.470000014</v>
      </c>
      <c r="G355" s="10"/>
      <c r="H355" s="10"/>
      <c r="I355" s="7" t="b">
        <f>IF(FINANCIACION[[#This Row],[$ CAPITAL]]&gt;0,FINANCIACION[[#This Row],[$ CAPITAL]])</f>
        <v>0</v>
      </c>
      <c r="J355" s="41">
        <f>IF(FINANCIACION[[#This Row],[$ CAPITAL]]&gt;=0,FINANCIACION[[#This Row],[$ CAPITAL]]+FINANCIACION[[#This Row],[$ INTERESES]],0)</f>
        <v>0</v>
      </c>
    </row>
    <row r="356" spans="1:10" ht="24" hidden="1" customHeight="1" x14ac:dyDescent="0.3">
      <c r="A356" s="9">
        <v>44104</v>
      </c>
      <c r="B356" s="63" t="s">
        <v>1225</v>
      </c>
      <c r="C356" s="7">
        <v>-761487.9999999986</v>
      </c>
      <c r="D356" s="7"/>
      <c r="E356" s="7" t="s">
        <v>146</v>
      </c>
      <c r="F356" s="7">
        <v>-84819162.470000014</v>
      </c>
      <c r="G356" s="10"/>
      <c r="H356" s="10"/>
      <c r="I356" s="7" t="b">
        <f>IF(FINANCIACION[[#This Row],[$ CAPITAL]]&gt;0,FINANCIACION[[#This Row],[$ CAPITAL]])</f>
        <v>0</v>
      </c>
      <c r="J356" s="41">
        <f>IF(FINANCIACION[[#This Row],[$ CAPITAL]]&gt;=0,FINANCIACION[[#This Row],[$ CAPITAL]]+FINANCIACION[[#This Row],[$ INTERESES]],0)</f>
        <v>0</v>
      </c>
    </row>
    <row r="357" spans="1:10" ht="24" hidden="1" customHeight="1" x14ac:dyDescent="0.3">
      <c r="A357" s="9">
        <v>44104</v>
      </c>
      <c r="B357" s="63" t="s">
        <v>1225</v>
      </c>
      <c r="C357" s="7">
        <v>-12827494.999999993</v>
      </c>
      <c r="D357" s="7"/>
      <c r="E357" s="7" t="s">
        <v>146</v>
      </c>
      <c r="F357" s="7">
        <v>-84819162.470000014</v>
      </c>
      <c r="G357" s="10"/>
      <c r="H357" s="10"/>
      <c r="I357" s="7" t="b">
        <f>IF(FINANCIACION[[#This Row],[$ CAPITAL]]&gt;0,FINANCIACION[[#This Row],[$ CAPITAL]])</f>
        <v>0</v>
      </c>
      <c r="J357" s="41">
        <f>IF(FINANCIACION[[#This Row],[$ CAPITAL]]&gt;=0,FINANCIACION[[#This Row],[$ CAPITAL]]+FINANCIACION[[#This Row],[$ INTERESES]],0)</f>
        <v>0</v>
      </c>
    </row>
    <row r="358" spans="1:10" ht="24" hidden="1" customHeight="1" x14ac:dyDescent="0.3">
      <c r="A358" s="9">
        <v>44104</v>
      </c>
      <c r="B358" s="63" t="s">
        <v>1225</v>
      </c>
      <c r="C358" s="7">
        <v>-7592390.0000000037</v>
      </c>
      <c r="D358" s="7"/>
      <c r="E358" s="7" t="s">
        <v>146</v>
      </c>
      <c r="F358" s="7">
        <v>-84819162.470000014</v>
      </c>
      <c r="G358" s="10"/>
      <c r="H358" s="10"/>
      <c r="I358" s="7" t="b">
        <f>IF(FINANCIACION[[#This Row],[$ CAPITAL]]&gt;0,FINANCIACION[[#This Row],[$ CAPITAL]])</f>
        <v>0</v>
      </c>
      <c r="J358" s="41">
        <f>IF(FINANCIACION[[#This Row],[$ CAPITAL]]&gt;=0,FINANCIACION[[#This Row],[$ CAPITAL]]+FINANCIACION[[#This Row],[$ INTERESES]],0)</f>
        <v>0</v>
      </c>
    </row>
    <row r="359" spans="1:10" ht="24" hidden="1" customHeight="1" x14ac:dyDescent="0.3">
      <c r="A359" s="9">
        <v>44104</v>
      </c>
      <c r="B359" s="63" t="s">
        <v>1225</v>
      </c>
      <c r="C359" s="7">
        <v>-1948983</v>
      </c>
      <c r="D359" s="7"/>
      <c r="E359" s="7" t="s">
        <v>146</v>
      </c>
      <c r="F359" s="7">
        <v>-84819162.470000014</v>
      </c>
      <c r="G359" s="10"/>
      <c r="H359" s="10"/>
      <c r="I359" s="7" t="b">
        <f>IF(FINANCIACION[[#This Row],[$ CAPITAL]]&gt;0,FINANCIACION[[#This Row],[$ CAPITAL]])</f>
        <v>0</v>
      </c>
      <c r="J359" s="41">
        <f>IF(FINANCIACION[[#This Row],[$ CAPITAL]]&gt;=0,FINANCIACION[[#This Row],[$ CAPITAL]]+FINANCIACION[[#This Row],[$ INTERESES]],0)</f>
        <v>0</v>
      </c>
    </row>
    <row r="360" spans="1:10" ht="24" hidden="1" customHeight="1" x14ac:dyDescent="0.3">
      <c r="A360" s="9">
        <v>44104</v>
      </c>
      <c r="B360" s="63" t="s">
        <v>1228</v>
      </c>
      <c r="C360" s="7">
        <v>-473294.0700000003</v>
      </c>
      <c r="D360" s="7"/>
      <c r="E360" s="7" t="s">
        <v>146</v>
      </c>
      <c r="F360" s="7">
        <v>-66920878.219999999</v>
      </c>
      <c r="G360" s="10"/>
      <c r="H360" s="10"/>
      <c r="I360" s="7" t="b">
        <f>IF(FINANCIACION[[#This Row],[$ CAPITAL]]&gt;0,FINANCIACION[[#This Row],[$ CAPITAL]])</f>
        <v>0</v>
      </c>
      <c r="J360" s="41">
        <f>IF(FINANCIACION[[#This Row],[$ CAPITAL]]&gt;=0,FINANCIACION[[#This Row],[$ CAPITAL]]+FINANCIACION[[#This Row],[$ INTERESES]],0)</f>
        <v>0</v>
      </c>
    </row>
    <row r="361" spans="1:10" ht="24" hidden="1" customHeight="1" x14ac:dyDescent="0.3">
      <c r="A361" s="9">
        <v>44104</v>
      </c>
      <c r="B361" s="63" t="s">
        <v>1229</v>
      </c>
      <c r="C361" s="7">
        <v>-762127.79000000656</v>
      </c>
      <c r="D361" s="7"/>
      <c r="E361" s="7" t="s">
        <v>146</v>
      </c>
      <c r="F361" s="7">
        <v>-97615931.560000002</v>
      </c>
      <c r="G361" s="10"/>
      <c r="H361" s="10"/>
      <c r="I361" s="7" t="b">
        <f>IF(FINANCIACION[[#This Row],[$ CAPITAL]]&gt;0,FINANCIACION[[#This Row],[$ CAPITAL]])</f>
        <v>0</v>
      </c>
      <c r="J361" s="41">
        <f>IF(FINANCIACION[[#This Row],[$ CAPITAL]]&gt;=0,FINANCIACION[[#This Row],[$ CAPITAL]]+FINANCIACION[[#This Row],[$ INTERESES]],0)</f>
        <v>0</v>
      </c>
    </row>
    <row r="362" spans="1:10" ht="24" hidden="1" customHeight="1" x14ac:dyDescent="0.3">
      <c r="A362" s="9">
        <v>44104</v>
      </c>
      <c r="B362" s="63" t="s">
        <v>1230</v>
      </c>
      <c r="C362" s="7">
        <v>-189966.1799999997</v>
      </c>
      <c r="D362" s="7"/>
      <c r="E362" s="7" t="s">
        <v>146</v>
      </c>
      <c r="F362" s="7">
        <v>-26095709.91</v>
      </c>
      <c r="G362" s="10"/>
      <c r="H362" s="10"/>
      <c r="I362" s="7" t="b">
        <f>IF(FINANCIACION[[#This Row],[$ CAPITAL]]&gt;0,FINANCIACION[[#This Row],[$ CAPITAL]])</f>
        <v>0</v>
      </c>
      <c r="J362" s="41">
        <f>IF(FINANCIACION[[#This Row],[$ CAPITAL]]&gt;=0,FINANCIACION[[#This Row],[$ CAPITAL]]+FINANCIACION[[#This Row],[$ INTERESES]],0)</f>
        <v>0</v>
      </c>
    </row>
    <row r="363" spans="1:10" ht="24" hidden="1" customHeight="1" x14ac:dyDescent="0.3">
      <c r="A363" s="9">
        <v>44104</v>
      </c>
      <c r="B363" s="63" t="s">
        <v>1232</v>
      </c>
      <c r="C363" s="7">
        <v>-190565.6099999994</v>
      </c>
      <c r="D363" s="7"/>
      <c r="E363" s="7" t="s">
        <v>146</v>
      </c>
      <c r="F363" s="7">
        <v>-27143346.609999999</v>
      </c>
      <c r="G363" s="10"/>
      <c r="H363" s="10"/>
      <c r="I363" s="7" t="b">
        <f>IF(FINANCIACION[[#This Row],[$ CAPITAL]]&gt;0,FINANCIACION[[#This Row],[$ CAPITAL]])</f>
        <v>0</v>
      </c>
      <c r="J363" s="41">
        <f>IF(FINANCIACION[[#This Row],[$ CAPITAL]]&gt;=0,FINANCIACION[[#This Row],[$ CAPITAL]]+FINANCIACION[[#This Row],[$ INTERESES]],0)</f>
        <v>0</v>
      </c>
    </row>
    <row r="364" spans="1:10" ht="24" hidden="1" customHeight="1" x14ac:dyDescent="0.3">
      <c r="A364" s="9">
        <v>44106</v>
      </c>
      <c r="B364" s="63" t="s">
        <v>1226</v>
      </c>
      <c r="C364" s="7">
        <v>850000</v>
      </c>
      <c r="D364" s="7">
        <v>150000</v>
      </c>
      <c r="E364" s="7">
        <v>1000000</v>
      </c>
      <c r="F364" s="7">
        <v>-14150000</v>
      </c>
      <c r="G364" s="10"/>
      <c r="H364" s="10"/>
      <c r="I364" s="7">
        <f>IF(FINANCIACION[[#This Row],[$ CAPITAL]]&gt;0,FINANCIACION[[#This Row],[$ CAPITAL]])</f>
        <v>850000</v>
      </c>
      <c r="J364" s="41">
        <f>IF(FINANCIACION[[#This Row],[$ CAPITAL]]&gt;=0,FINANCIACION[[#This Row],[$ CAPITAL]]+FINANCIACION[[#This Row],[$ INTERESES]],0)</f>
        <v>1000000</v>
      </c>
    </row>
    <row r="365" spans="1:10" ht="24" hidden="1" customHeight="1" x14ac:dyDescent="0.3">
      <c r="A365" s="9">
        <v>44106</v>
      </c>
      <c r="B365" s="63" t="s">
        <v>1223</v>
      </c>
      <c r="C365" s="7">
        <v>537550</v>
      </c>
      <c r="D365" s="7">
        <v>662450</v>
      </c>
      <c r="E365" s="7">
        <v>1200000</v>
      </c>
      <c r="F365" s="7">
        <v>-65707310</v>
      </c>
      <c r="G365" s="10"/>
      <c r="H365" s="10"/>
      <c r="I365" s="7">
        <f>IF(FINANCIACION[[#This Row],[$ CAPITAL]]&gt;0,FINANCIACION[[#This Row],[$ CAPITAL]])</f>
        <v>537550</v>
      </c>
      <c r="J365" s="41">
        <f>IF(FINANCIACION[[#This Row],[$ CAPITAL]]&gt;=0,FINANCIACION[[#This Row],[$ CAPITAL]]+FINANCIACION[[#This Row],[$ INTERESES]],0)</f>
        <v>1200000</v>
      </c>
    </row>
    <row r="366" spans="1:10" ht="24" hidden="1" customHeight="1" x14ac:dyDescent="0.3">
      <c r="A366" s="9">
        <v>44109</v>
      </c>
      <c r="B366" s="63" t="s">
        <v>1222</v>
      </c>
      <c r="C366" s="7"/>
      <c r="D366" s="7">
        <v>950000</v>
      </c>
      <c r="E366" s="7">
        <v>950000</v>
      </c>
      <c r="F366" s="7">
        <v>-94935167</v>
      </c>
      <c r="G366" s="10"/>
      <c r="H366" s="10"/>
      <c r="I366" s="7" t="b">
        <f>IF(FINANCIACION[[#This Row],[$ CAPITAL]]&gt;0,FINANCIACION[[#This Row],[$ CAPITAL]])</f>
        <v>0</v>
      </c>
      <c r="J366" s="41">
        <f>IF(FINANCIACION[[#This Row],[$ CAPITAL]]&gt;=0,FINANCIACION[[#This Row],[$ CAPITAL]]+FINANCIACION[[#This Row],[$ INTERESES]],0)</f>
        <v>950000</v>
      </c>
    </row>
    <row r="367" spans="1:10" ht="24" hidden="1" customHeight="1" x14ac:dyDescent="0.3">
      <c r="A367" s="9">
        <v>44109</v>
      </c>
      <c r="B367" s="63" t="s">
        <v>1225</v>
      </c>
      <c r="C367" s="7">
        <v>990094.53</v>
      </c>
      <c r="D367" s="7">
        <v>190516.1</v>
      </c>
      <c r="E367" s="7">
        <v>1180610.6300000001</v>
      </c>
      <c r="F367" s="7">
        <v>-83829067.940000013</v>
      </c>
      <c r="G367" s="10"/>
      <c r="H367" s="10"/>
      <c r="I367" s="7">
        <f>IF(FINANCIACION[[#This Row],[$ CAPITAL]]&gt;0,FINANCIACION[[#This Row],[$ CAPITAL]])</f>
        <v>990094.53</v>
      </c>
      <c r="J367" s="41">
        <f>IF(FINANCIACION[[#This Row],[$ CAPITAL]]&gt;=0,FINANCIACION[[#This Row],[$ CAPITAL]]+FINANCIACION[[#This Row],[$ INTERESES]],0)</f>
        <v>1180610.6300000001</v>
      </c>
    </row>
    <row r="368" spans="1:10" ht="24" hidden="1" customHeight="1" x14ac:dyDescent="0.3">
      <c r="A368" s="9">
        <v>44110</v>
      </c>
      <c r="B368" s="63" t="s">
        <v>1231</v>
      </c>
      <c r="C368" s="7"/>
      <c r="D368" s="7">
        <v>640000</v>
      </c>
      <c r="E368" s="7">
        <v>640000</v>
      </c>
      <c r="F368" s="7">
        <v>-8000000</v>
      </c>
      <c r="G368" s="10"/>
      <c r="H368" s="10"/>
      <c r="I368" s="7" t="b">
        <f>IF(FINANCIACION[[#This Row],[$ CAPITAL]]&gt;0,FINANCIACION[[#This Row],[$ CAPITAL]])</f>
        <v>0</v>
      </c>
      <c r="J368" s="41">
        <f>IF(FINANCIACION[[#This Row],[$ CAPITAL]]&gt;=0,FINANCIACION[[#This Row],[$ CAPITAL]]+FINANCIACION[[#This Row],[$ INTERESES]],0)</f>
        <v>640000</v>
      </c>
    </row>
    <row r="369" spans="1:10" ht="24" hidden="1" customHeight="1" x14ac:dyDescent="0.3">
      <c r="A369" s="9">
        <v>44110</v>
      </c>
      <c r="B369" s="63" t="s">
        <v>199</v>
      </c>
      <c r="C369" s="7">
        <v>6326000</v>
      </c>
      <c r="D369" s="7">
        <v>805532.69</v>
      </c>
      <c r="E369" s="7">
        <v>7131532.6899999995</v>
      </c>
      <c r="F369" s="7">
        <v>-104647126</v>
      </c>
      <c r="G369" s="10"/>
      <c r="H369" s="10"/>
      <c r="I369" s="7">
        <f>IF(FINANCIACION[[#This Row],[$ CAPITAL]]&gt;0,FINANCIACION[[#This Row],[$ CAPITAL]])</f>
        <v>6326000</v>
      </c>
      <c r="J369" s="41">
        <f>IF(FINANCIACION[[#This Row],[$ CAPITAL]]&gt;=0,FINANCIACION[[#This Row],[$ CAPITAL]]+FINANCIACION[[#This Row],[$ INTERESES]],0)</f>
        <v>7131532.6899999995</v>
      </c>
    </row>
    <row r="370" spans="1:10" ht="24" hidden="1" customHeight="1" x14ac:dyDescent="0.3">
      <c r="A370" s="9">
        <v>44111</v>
      </c>
      <c r="B370" s="63" t="s">
        <v>1224</v>
      </c>
      <c r="C370" s="7">
        <v>3000000</v>
      </c>
      <c r="D370" s="7"/>
      <c r="E370" s="7">
        <v>3000000</v>
      </c>
      <c r="F370" s="7">
        <v>-414011267</v>
      </c>
      <c r="G370" s="10"/>
      <c r="H370" s="10"/>
      <c r="I370" s="7">
        <f>IF(FINANCIACION[[#This Row],[$ CAPITAL]]&gt;0,FINANCIACION[[#This Row],[$ CAPITAL]])</f>
        <v>3000000</v>
      </c>
      <c r="J370" s="41">
        <f>IF(FINANCIACION[[#This Row],[$ CAPITAL]]&gt;=0,FINANCIACION[[#This Row],[$ CAPITAL]]+FINANCIACION[[#This Row],[$ INTERESES]],0)</f>
        <v>3000000</v>
      </c>
    </row>
    <row r="371" spans="1:10" ht="24" hidden="1" customHeight="1" x14ac:dyDescent="0.3">
      <c r="A371" s="9">
        <v>44117</v>
      </c>
      <c r="B371" s="63" t="s">
        <v>1225</v>
      </c>
      <c r="C371" s="7">
        <v>3824250</v>
      </c>
      <c r="D371" s="7"/>
      <c r="E371" s="7">
        <v>3824250</v>
      </c>
      <c r="F371" s="7">
        <v>-79004817.940000013</v>
      </c>
      <c r="G371" s="10"/>
      <c r="H371" s="10"/>
      <c r="I371" s="7">
        <f>IF(FINANCIACION[[#This Row],[$ CAPITAL]]&gt;0,FINANCIACION[[#This Row],[$ CAPITAL]])</f>
        <v>3824250</v>
      </c>
      <c r="J371" s="41">
        <f>IF(FINANCIACION[[#This Row],[$ CAPITAL]]&gt;=0,FINANCIACION[[#This Row],[$ CAPITAL]]+FINANCIACION[[#This Row],[$ INTERESES]],0)</f>
        <v>3824250</v>
      </c>
    </row>
    <row r="372" spans="1:10" ht="24" hidden="1" customHeight="1" x14ac:dyDescent="0.3">
      <c r="A372" s="9">
        <v>44117</v>
      </c>
      <c r="B372" s="63" t="s">
        <v>1225</v>
      </c>
      <c r="C372" s="7">
        <v>1000000</v>
      </c>
      <c r="D372" s="7"/>
      <c r="E372" s="7">
        <v>1000000</v>
      </c>
      <c r="F372" s="7">
        <v>-79004817.940000013</v>
      </c>
      <c r="G372" s="10"/>
      <c r="H372" s="10"/>
      <c r="I372" s="7">
        <f>IF(FINANCIACION[[#This Row],[$ CAPITAL]]&gt;0,FINANCIACION[[#This Row],[$ CAPITAL]])</f>
        <v>1000000</v>
      </c>
      <c r="J372" s="41">
        <f>IF(FINANCIACION[[#This Row],[$ CAPITAL]]&gt;=0,FINANCIACION[[#This Row],[$ CAPITAL]]+FINANCIACION[[#This Row],[$ INTERESES]],0)</f>
        <v>1000000</v>
      </c>
    </row>
    <row r="373" spans="1:10" ht="24" hidden="1" customHeight="1" x14ac:dyDescent="0.3">
      <c r="A373" s="9">
        <v>44123</v>
      </c>
      <c r="B373" s="63" t="s">
        <v>1225</v>
      </c>
      <c r="C373" s="7">
        <v>3846480</v>
      </c>
      <c r="D373" s="7"/>
      <c r="E373" s="7">
        <v>3846480</v>
      </c>
      <c r="F373" s="7">
        <v>-74158337.940000013</v>
      </c>
      <c r="G373" s="10"/>
      <c r="H373" s="10"/>
      <c r="I373" s="7">
        <f>IF(FINANCIACION[[#This Row],[$ CAPITAL]]&gt;0,FINANCIACION[[#This Row],[$ CAPITAL]])</f>
        <v>3846480</v>
      </c>
      <c r="J373" s="41">
        <f>IF(FINANCIACION[[#This Row],[$ CAPITAL]]&gt;=0,FINANCIACION[[#This Row],[$ CAPITAL]]+FINANCIACION[[#This Row],[$ INTERESES]],0)</f>
        <v>3846480</v>
      </c>
    </row>
    <row r="374" spans="1:10" ht="24" hidden="1" customHeight="1" x14ac:dyDescent="0.3">
      <c r="A374" s="9">
        <v>44123</v>
      </c>
      <c r="B374" s="63" t="s">
        <v>1225</v>
      </c>
      <c r="C374" s="7">
        <v>1000000</v>
      </c>
      <c r="D374" s="7"/>
      <c r="E374" s="7">
        <v>1000000</v>
      </c>
      <c r="F374" s="7">
        <v>-74158337.940000013</v>
      </c>
      <c r="G374" s="10"/>
      <c r="H374" s="10"/>
      <c r="I374" s="7">
        <f>IF(FINANCIACION[[#This Row],[$ CAPITAL]]&gt;0,FINANCIACION[[#This Row],[$ CAPITAL]])</f>
        <v>1000000</v>
      </c>
      <c r="J374" s="41">
        <f>IF(FINANCIACION[[#This Row],[$ CAPITAL]]&gt;=0,FINANCIACION[[#This Row],[$ CAPITAL]]+FINANCIACION[[#This Row],[$ INTERESES]],0)</f>
        <v>1000000</v>
      </c>
    </row>
    <row r="375" spans="1:10" ht="24" hidden="1" customHeight="1" x14ac:dyDescent="0.3">
      <c r="A375" s="9">
        <v>44130</v>
      </c>
      <c r="B375" s="63" t="s">
        <v>1225</v>
      </c>
      <c r="C375" s="7">
        <v>3782660</v>
      </c>
      <c r="D375" s="7"/>
      <c r="E375" s="7">
        <v>3782660</v>
      </c>
      <c r="F375" s="7">
        <v>-69375677.940000013</v>
      </c>
      <c r="G375" s="10"/>
      <c r="H375" s="10"/>
      <c r="I375" s="7">
        <f>IF(FINANCIACION[[#This Row],[$ CAPITAL]]&gt;0,FINANCIACION[[#This Row],[$ CAPITAL]])</f>
        <v>3782660</v>
      </c>
      <c r="J375" s="41">
        <f>IF(FINANCIACION[[#This Row],[$ CAPITAL]]&gt;=0,FINANCIACION[[#This Row],[$ CAPITAL]]+FINANCIACION[[#This Row],[$ INTERESES]],0)</f>
        <v>3782660</v>
      </c>
    </row>
    <row r="376" spans="1:10" ht="24" hidden="1" customHeight="1" x14ac:dyDescent="0.3">
      <c r="A376" s="9">
        <v>44130</v>
      </c>
      <c r="B376" s="63" t="s">
        <v>1225</v>
      </c>
      <c r="C376" s="7">
        <v>1000000</v>
      </c>
      <c r="D376" s="7"/>
      <c r="E376" s="7">
        <v>1000000</v>
      </c>
      <c r="F376" s="7">
        <v>-69375677.940000013</v>
      </c>
      <c r="G376" s="10"/>
      <c r="H376" s="10"/>
      <c r="I376" s="7">
        <f>IF(FINANCIACION[[#This Row],[$ CAPITAL]]&gt;0,FINANCIACION[[#This Row],[$ CAPITAL]])</f>
        <v>1000000</v>
      </c>
      <c r="J376" s="41">
        <f>IF(FINANCIACION[[#This Row],[$ CAPITAL]]&gt;=0,FINANCIACION[[#This Row],[$ CAPITAL]]+FINANCIACION[[#This Row],[$ INTERESES]],0)</f>
        <v>1000000</v>
      </c>
    </row>
    <row r="377" spans="1:10" ht="24" hidden="1" customHeight="1" x14ac:dyDescent="0.3">
      <c r="A377" s="9">
        <v>44131</v>
      </c>
      <c r="B377" s="63" t="s">
        <v>1224</v>
      </c>
      <c r="C377" s="7">
        <v>5000000</v>
      </c>
      <c r="D377" s="7"/>
      <c r="E377" s="7">
        <v>5000000</v>
      </c>
      <c r="F377" s="7">
        <v>-409011267</v>
      </c>
      <c r="G377" s="10"/>
      <c r="H377" s="10"/>
      <c r="I377" s="7">
        <f>IF(FINANCIACION[[#This Row],[$ CAPITAL]]&gt;0,FINANCIACION[[#This Row],[$ CAPITAL]])</f>
        <v>5000000</v>
      </c>
      <c r="J377" s="41">
        <f>IF(FINANCIACION[[#This Row],[$ CAPITAL]]&gt;=0,FINANCIACION[[#This Row],[$ CAPITAL]]+FINANCIACION[[#This Row],[$ INTERESES]],0)</f>
        <v>5000000</v>
      </c>
    </row>
    <row r="378" spans="1:10" ht="24" hidden="1" customHeight="1" x14ac:dyDescent="0.3">
      <c r="A378" s="9">
        <v>44135</v>
      </c>
      <c r="B378" s="63" t="s">
        <v>1224</v>
      </c>
      <c r="C378" s="7">
        <v>6521200</v>
      </c>
      <c r="D378" s="7"/>
      <c r="E378" s="7">
        <v>6521200</v>
      </c>
      <c r="F378" s="7">
        <v>-402490067</v>
      </c>
      <c r="G378" s="10"/>
      <c r="H378" s="10"/>
      <c r="I378" s="7">
        <f>IF(FINANCIACION[[#This Row],[$ CAPITAL]]&gt;0,FINANCIACION[[#This Row],[$ CAPITAL]])</f>
        <v>6521200</v>
      </c>
      <c r="J378" s="41">
        <f>IF(FINANCIACION[[#This Row],[$ CAPITAL]]&gt;=0,FINANCIACION[[#This Row],[$ CAPITAL]]+FINANCIACION[[#This Row],[$ INTERESES]],0)</f>
        <v>6521200</v>
      </c>
    </row>
    <row r="379" spans="1:10" ht="24" hidden="1" customHeight="1" x14ac:dyDescent="0.3">
      <c r="A379" s="9">
        <v>44135</v>
      </c>
      <c r="B379" s="63" t="s">
        <v>1225</v>
      </c>
      <c r="C379" s="7">
        <v>-264978.33999999985</v>
      </c>
      <c r="D379" s="7"/>
      <c r="E379" s="7" t="s">
        <v>146</v>
      </c>
      <c r="F379" s="7">
        <v>-70069042.850000024</v>
      </c>
      <c r="G379" s="10"/>
      <c r="H379" s="10"/>
      <c r="I379" s="7" t="b">
        <f>IF(FINANCIACION[[#This Row],[$ CAPITAL]]&gt;0,FINANCIACION[[#This Row],[$ CAPITAL]])</f>
        <v>0</v>
      </c>
      <c r="J379" s="41">
        <f>IF(FINANCIACION[[#This Row],[$ CAPITAL]]&gt;=0,FINANCIACION[[#This Row],[$ CAPITAL]]+FINANCIACION[[#This Row],[$ INTERESES]],0)</f>
        <v>0</v>
      </c>
    </row>
    <row r="380" spans="1:10" ht="24" hidden="1" customHeight="1" x14ac:dyDescent="0.3">
      <c r="A380" s="9">
        <v>44135</v>
      </c>
      <c r="B380" s="63" t="s">
        <v>1225</v>
      </c>
      <c r="C380" s="7">
        <v>-322222.5700000003</v>
      </c>
      <c r="D380" s="7"/>
      <c r="E380" s="7" t="s">
        <v>146</v>
      </c>
      <c r="F380" s="7">
        <v>-70069042.850000024</v>
      </c>
      <c r="G380" s="10"/>
      <c r="H380" s="10"/>
      <c r="I380" s="7" t="b">
        <f>IF(FINANCIACION[[#This Row],[$ CAPITAL]]&gt;0,FINANCIACION[[#This Row],[$ CAPITAL]])</f>
        <v>0</v>
      </c>
      <c r="J380" s="41">
        <f>IF(FINANCIACION[[#This Row],[$ CAPITAL]]&gt;=0,FINANCIACION[[#This Row],[$ CAPITAL]]+FINANCIACION[[#This Row],[$ INTERESES]],0)</f>
        <v>0</v>
      </c>
    </row>
    <row r="381" spans="1:10" ht="24" hidden="1" customHeight="1" x14ac:dyDescent="0.3">
      <c r="A381" s="9">
        <v>44135</v>
      </c>
      <c r="B381" s="63" t="s">
        <v>1225</v>
      </c>
      <c r="C381" s="7">
        <v>-106164.00000000047</v>
      </c>
      <c r="D381" s="7"/>
      <c r="E381" s="7" t="s">
        <v>146</v>
      </c>
      <c r="F381" s="7">
        <v>-70069042.850000024</v>
      </c>
      <c r="G381" s="10"/>
      <c r="H381" s="10"/>
      <c r="I381" s="7" t="b">
        <f>IF(FINANCIACION[[#This Row],[$ CAPITAL]]&gt;0,FINANCIACION[[#This Row],[$ CAPITAL]])</f>
        <v>0</v>
      </c>
      <c r="J381" s="41">
        <f>IF(FINANCIACION[[#This Row],[$ CAPITAL]]&gt;=0,FINANCIACION[[#This Row],[$ CAPITAL]]+FINANCIACION[[#This Row],[$ INTERESES]],0)</f>
        <v>0</v>
      </c>
    </row>
    <row r="382" spans="1:10" ht="24" hidden="1" customHeight="1" x14ac:dyDescent="0.3">
      <c r="A382" s="9">
        <v>44135</v>
      </c>
      <c r="B382" s="63" t="s">
        <v>1228</v>
      </c>
      <c r="C382" s="7">
        <v>-529471.48000000417</v>
      </c>
      <c r="D382" s="7"/>
      <c r="E382" s="7" t="s">
        <v>146</v>
      </c>
      <c r="F382" s="7">
        <v>-67450349.700000003</v>
      </c>
      <c r="G382" s="10"/>
      <c r="H382" s="10"/>
      <c r="I382" s="7" t="b">
        <f>IF(FINANCIACION[[#This Row],[$ CAPITAL]]&gt;0,FINANCIACION[[#This Row],[$ CAPITAL]])</f>
        <v>0</v>
      </c>
      <c r="J382" s="41">
        <f>IF(FINANCIACION[[#This Row],[$ CAPITAL]]&gt;=0,FINANCIACION[[#This Row],[$ CAPITAL]]+FINANCIACION[[#This Row],[$ INTERESES]],0)</f>
        <v>0</v>
      </c>
    </row>
    <row r="383" spans="1:10" ht="24" hidden="1" customHeight="1" x14ac:dyDescent="0.3">
      <c r="A383" s="9">
        <v>44135</v>
      </c>
      <c r="B383" s="63" t="s">
        <v>1229</v>
      </c>
      <c r="C383" s="7">
        <v>-856581.43999999762</v>
      </c>
      <c r="D383" s="7"/>
      <c r="E383" s="7" t="s">
        <v>146</v>
      </c>
      <c r="F383" s="7">
        <v>-98472513</v>
      </c>
      <c r="G383" s="10"/>
      <c r="H383" s="10"/>
      <c r="I383" s="7" t="b">
        <f>IF(FINANCIACION[[#This Row],[$ CAPITAL]]&gt;0,FINANCIACION[[#This Row],[$ CAPITAL]])</f>
        <v>0</v>
      </c>
      <c r="J383" s="41">
        <f>IF(FINANCIACION[[#This Row],[$ CAPITAL]]&gt;=0,FINANCIACION[[#This Row],[$ CAPITAL]]+FINANCIACION[[#This Row],[$ INTERESES]],0)</f>
        <v>0</v>
      </c>
    </row>
    <row r="384" spans="1:10" ht="24" hidden="1" customHeight="1" x14ac:dyDescent="0.3">
      <c r="A384" s="9">
        <v>44135</v>
      </c>
      <c r="B384" s="63" t="s">
        <v>1230</v>
      </c>
      <c r="C384" s="7">
        <v>-204034.69000000134</v>
      </c>
      <c r="D384" s="7"/>
      <c r="E384" s="7" t="s">
        <v>146</v>
      </c>
      <c r="F384" s="7">
        <v>-26299744.600000001</v>
      </c>
      <c r="G384" s="10"/>
      <c r="H384" s="10"/>
      <c r="I384" s="7" t="b">
        <f>IF(FINANCIACION[[#This Row],[$ CAPITAL]]&gt;0,FINANCIACION[[#This Row],[$ CAPITAL]])</f>
        <v>0</v>
      </c>
      <c r="J384" s="41">
        <f>IF(FINANCIACION[[#This Row],[$ CAPITAL]]&gt;=0,FINANCIACION[[#This Row],[$ CAPITAL]]+FINANCIACION[[#This Row],[$ INTERESES]],0)</f>
        <v>0</v>
      </c>
    </row>
    <row r="385" spans="1:10" ht="24" hidden="1" customHeight="1" x14ac:dyDescent="0.3">
      <c r="A385" s="9">
        <v>44135</v>
      </c>
      <c r="B385" s="63" t="s">
        <v>1232</v>
      </c>
      <c r="C385" s="7">
        <v>-198507.05000000075</v>
      </c>
      <c r="D385" s="7"/>
      <c r="E385" s="7" t="s">
        <v>146</v>
      </c>
      <c r="F385" s="7">
        <v>-27341853.66</v>
      </c>
      <c r="G385" s="10"/>
      <c r="H385" s="10"/>
      <c r="I385" s="7" t="b">
        <f>IF(FINANCIACION[[#This Row],[$ CAPITAL]]&gt;0,FINANCIACION[[#This Row],[$ CAPITAL]])</f>
        <v>0</v>
      </c>
      <c r="J385" s="41">
        <f>IF(FINANCIACION[[#This Row],[$ CAPITAL]]&gt;=0,FINANCIACION[[#This Row],[$ CAPITAL]]+FINANCIACION[[#This Row],[$ INTERESES]],0)</f>
        <v>0</v>
      </c>
    </row>
    <row r="386" spans="1:10" ht="24" hidden="1" customHeight="1" x14ac:dyDescent="0.3">
      <c r="A386" s="9">
        <v>44138</v>
      </c>
      <c r="B386" s="63" t="s">
        <v>195</v>
      </c>
      <c r="C386" s="7"/>
      <c r="D386" s="7">
        <v>76830</v>
      </c>
      <c r="E386" s="7">
        <v>76830</v>
      </c>
      <c r="F386" s="7">
        <v>-54330833</v>
      </c>
      <c r="G386" s="10"/>
      <c r="H386" s="10"/>
      <c r="I386" s="7" t="b">
        <f>IF(FINANCIACION[[#This Row],[$ CAPITAL]]&gt;0,FINANCIACION[[#This Row],[$ CAPITAL]])</f>
        <v>0</v>
      </c>
      <c r="J386" s="41">
        <f>IF(FINANCIACION[[#This Row],[$ CAPITAL]]&gt;=0,FINANCIACION[[#This Row],[$ CAPITAL]]+FINANCIACION[[#This Row],[$ INTERESES]],0)</f>
        <v>76830</v>
      </c>
    </row>
    <row r="387" spans="1:10" ht="24" hidden="1" customHeight="1" x14ac:dyDescent="0.3">
      <c r="A387" s="9">
        <v>44138</v>
      </c>
      <c r="B387" s="63" t="s">
        <v>196</v>
      </c>
      <c r="C387" s="7"/>
      <c r="D387" s="7">
        <v>530587</v>
      </c>
      <c r="E387" s="7">
        <v>530587</v>
      </c>
      <c r="F387" s="7">
        <v>-3302052</v>
      </c>
      <c r="G387" s="10"/>
      <c r="H387" s="10"/>
      <c r="I387" s="7" t="b">
        <f>IF(FINANCIACION[[#This Row],[$ CAPITAL]]&gt;0,FINANCIACION[[#This Row],[$ CAPITAL]])</f>
        <v>0</v>
      </c>
      <c r="J387" s="41">
        <f>IF(FINANCIACION[[#This Row],[$ CAPITAL]]&gt;=0,FINANCIACION[[#This Row],[$ CAPITAL]]+FINANCIACION[[#This Row],[$ INTERESES]],0)</f>
        <v>530587</v>
      </c>
    </row>
    <row r="388" spans="1:10" ht="24" hidden="1" customHeight="1" x14ac:dyDescent="0.3">
      <c r="A388" s="9">
        <v>44138</v>
      </c>
      <c r="B388" s="63" t="s">
        <v>1225</v>
      </c>
      <c r="C388" s="7">
        <v>3858560</v>
      </c>
      <c r="D388" s="7"/>
      <c r="E388" s="7">
        <v>3858560</v>
      </c>
      <c r="F388" s="7">
        <v>-65210482.850000024</v>
      </c>
      <c r="G388" s="10"/>
      <c r="H388" s="10"/>
      <c r="I388" s="7">
        <f>IF(FINANCIACION[[#This Row],[$ CAPITAL]]&gt;0,FINANCIACION[[#This Row],[$ CAPITAL]])</f>
        <v>3858560</v>
      </c>
      <c r="J388" s="41">
        <f>IF(FINANCIACION[[#This Row],[$ CAPITAL]]&gt;=0,FINANCIACION[[#This Row],[$ CAPITAL]]+FINANCIACION[[#This Row],[$ INTERESES]],0)</f>
        <v>3858560</v>
      </c>
    </row>
    <row r="389" spans="1:10" ht="24" hidden="1" customHeight="1" x14ac:dyDescent="0.3">
      <c r="A389" s="9">
        <v>44138</v>
      </c>
      <c r="B389" s="63" t="s">
        <v>1225</v>
      </c>
      <c r="C389" s="7">
        <v>1000000</v>
      </c>
      <c r="D389" s="7"/>
      <c r="E389" s="7">
        <v>1000000</v>
      </c>
      <c r="F389" s="7">
        <v>-65210482.850000024</v>
      </c>
      <c r="G389" s="10"/>
      <c r="H389" s="10"/>
      <c r="I389" s="7">
        <f>IF(FINANCIACION[[#This Row],[$ CAPITAL]]&gt;0,FINANCIACION[[#This Row],[$ CAPITAL]])</f>
        <v>1000000</v>
      </c>
      <c r="J389" s="41">
        <f>IF(FINANCIACION[[#This Row],[$ CAPITAL]]&gt;=0,FINANCIACION[[#This Row],[$ CAPITAL]]+FINANCIACION[[#This Row],[$ INTERESES]],0)</f>
        <v>1000000</v>
      </c>
    </row>
    <row r="390" spans="1:10" ht="24" hidden="1" customHeight="1" x14ac:dyDescent="0.3">
      <c r="A390" s="9">
        <v>44139</v>
      </c>
      <c r="B390" s="63" t="s">
        <v>1225</v>
      </c>
      <c r="C390" s="7">
        <v>990094.53</v>
      </c>
      <c r="D390" s="7">
        <v>182124.31000000006</v>
      </c>
      <c r="E390" s="7">
        <v>1172218.8400000001</v>
      </c>
      <c r="F390" s="7">
        <v>-64220388.320000023</v>
      </c>
      <c r="G390" s="10"/>
      <c r="H390" s="10"/>
      <c r="I390" s="7">
        <f>IF(FINANCIACION[[#This Row],[$ CAPITAL]]&gt;0,FINANCIACION[[#This Row],[$ CAPITAL]])</f>
        <v>990094.53</v>
      </c>
      <c r="J390" s="41">
        <f>IF(FINANCIACION[[#This Row],[$ CAPITAL]]&gt;=0,FINANCIACION[[#This Row],[$ CAPITAL]]+FINANCIACION[[#This Row],[$ INTERESES]],0)</f>
        <v>1172218.8400000001</v>
      </c>
    </row>
    <row r="391" spans="1:10" ht="24" hidden="1" customHeight="1" x14ac:dyDescent="0.3">
      <c r="A391" s="9">
        <v>44141</v>
      </c>
      <c r="B391" s="63" t="s">
        <v>199</v>
      </c>
      <c r="C391" s="7">
        <v>6326000</v>
      </c>
      <c r="D391" s="7">
        <v>716774.57</v>
      </c>
      <c r="E391" s="7">
        <v>7042774.5700000003</v>
      </c>
      <c r="F391" s="7">
        <v>-98321126</v>
      </c>
      <c r="G391" s="10"/>
      <c r="H391" s="10"/>
      <c r="I391" s="7">
        <f>IF(FINANCIACION[[#This Row],[$ CAPITAL]]&gt;0,FINANCIACION[[#This Row],[$ CAPITAL]])</f>
        <v>6326000</v>
      </c>
      <c r="J391" s="41">
        <f>IF(FINANCIACION[[#This Row],[$ CAPITAL]]&gt;=0,FINANCIACION[[#This Row],[$ CAPITAL]]+FINANCIACION[[#This Row],[$ INTERESES]],0)</f>
        <v>7042774.5700000003</v>
      </c>
    </row>
    <row r="392" spans="1:10" ht="24" hidden="1" customHeight="1" x14ac:dyDescent="0.3">
      <c r="A392" s="9">
        <v>44142</v>
      </c>
      <c r="B392" s="63" t="s">
        <v>1222</v>
      </c>
      <c r="C392" s="7"/>
      <c r="D392" s="7">
        <v>950000</v>
      </c>
      <c r="E392" s="7">
        <v>950000</v>
      </c>
      <c r="F392" s="7">
        <v>-94935167</v>
      </c>
      <c r="G392" s="10"/>
      <c r="H392" s="10"/>
      <c r="I392" s="7" t="b">
        <f>IF(FINANCIACION[[#This Row],[$ CAPITAL]]&gt;0,FINANCIACION[[#This Row],[$ CAPITAL]])</f>
        <v>0</v>
      </c>
      <c r="J392" s="41">
        <f>IF(FINANCIACION[[#This Row],[$ CAPITAL]]&gt;=0,FINANCIACION[[#This Row],[$ CAPITAL]]+FINANCIACION[[#This Row],[$ INTERESES]],0)</f>
        <v>950000</v>
      </c>
    </row>
    <row r="393" spans="1:10" ht="24" hidden="1" customHeight="1" x14ac:dyDescent="0.3">
      <c r="A393" s="9">
        <v>44142</v>
      </c>
      <c r="B393" s="63" t="s">
        <v>1226</v>
      </c>
      <c r="C393" s="7">
        <v>858500</v>
      </c>
      <c r="D393" s="7">
        <v>141500</v>
      </c>
      <c r="E393" s="7">
        <v>1000000</v>
      </c>
      <c r="F393" s="7">
        <v>-13291500</v>
      </c>
      <c r="G393" s="10"/>
      <c r="H393" s="10"/>
      <c r="I393" s="7">
        <f>IF(FINANCIACION[[#This Row],[$ CAPITAL]]&gt;0,FINANCIACION[[#This Row],[$ CAPITAL]])</f>
        <v>858500</v>
      </c>
      <c r="J393" s="41">
        <f>IF(FINANCIACION[[#This Row],[$ CAPITAL]]&gt;=0,FINANCIACION[[#This Row],[$ CAPITAL]]+FINANCIACION[[#This Row],[$ INTERESES]],0)</f>
        <v>1000000</v>
      </c>
    </row>
    <row r="394" spans="1:10" ht="24" hidden="1" customHeight="1" x14ac:dyDescent="0.3">
      <c r="A394" s="9">
        <v>44142</v>
      </c>
      <c r="B394" s="63" t="s">
        <v>1223</v>
      </c>
      <c r="C394" s="7">
        <v>542926.9</v>
      </c>
      <c r="D394" s="7">
        <v>657073.1</v>
      </c>
      <c r="E394" s="7">
        <v>1200000</v>
      </c>
      <c r="F394" s="7">
        <v>-65164383.100000001</v>
      </c>
      <c r="G394" s="10"/>
      <c r="H394" s="10"/>
      <c r="I394" s="7">
        <f>IF(FINANCIACION[[#This Row],[$ CAPITAL]]&gt;0,FINANCIACION[[#This Row],[$ CAPITAL]])</f>
        <v>542926.9</v>
      </c>
      <c r="J394" s="41">
        <f>IF(FINANCIACION[[#This Row],[$ CAPITAL]]&gt;=0,FINANCIACION[[#This Row],[$ CAPITAL]]+FINANCIACION[[#This Row],[$ INTERESES]],0)</f>
        <v>1200000</v>
      </c>
    </row>
    <row r="395" spans="1:10" ht="24" hidden="1" customHeight="1" x14ac:dyDescent="0.3">
      <c r="A395" s="9">
        <v>44144</v>
      </c>
      <c r="B395" s="63" t="s">
        <v>1222</v>
      </c>
      <c r="C395" s="7">
        <v>3917000</v>
      </c>
      <c r="D395" s="7"/>
      <c r="E395" s="7">
        <v>3917000</v>
      </c>
      <c r="F395" s="7">
        <v>-91018167</v>
      </c>
      <c r="G395" s="10"/>
      <c r="H395" s="10"/>
      <c r="I395" s="7">
        <f>IF(FINANCIACION[[#This Row],[$ CAPITAL]]&gt;0,FINANCIACION[[#This Row],[$ CAPITAL]])</f>
        <v>3917000</v>
      </c>
      <c r="J395" s="41">
        <f>IF(FINANCIACION[[#This Row],[$ CAPITAL]]&gt;=0,FINANCIACION[[#This Row],[$ CAPITAL]]+FINANCIACION[[#This Row],[$ INTERESES]],0)</f>
        <v>3917000</v>
      </c>
    </row>
    <row r="396" spans="1:10" ht="24" hidden="1" customHeight="1" x14ac:dyDescent="0.3">
      <c r="A396" s="9">
        <v>44144</v>
      </c>
      <c r="B396" s="63" t="s">
        <v>1225</v>
      </c>
      <c r="C396" s="7">
        <v>120681</v>
      </c>
      <c r="D396" s="7"/>
      <c r="E396" s="7">
        <v>120681</v>
      </c>
      <c r="F396" s="7">
        <v>-59361517.320000023</v>
      </c>
      <c r="G396" s="10"/>
      <c r="H396" s="10"/>
      <c r="I396" s="7">
        <f>IF(FINANCIACION[[#This Row],[$ CAPITAL]]&gt;0,FINANCIACION[[#This Row],[$ CAPITAL]])</f>
        <v>120681</v>
      </c>
      <c r="J396" s="41">
        <f>IF(FINANCIACION[[#This Row],[$ CAPITAL]]&gt;=0,FINANCIACION[[#This Row],[$ CAPITAL]]+FINANCIACION[[#This Row],[$ INTERESES]],0)</f>
        <v>120681</v>
      </c>
    </row>
    <row r="397" spans="1:10" ht="24" hidden="1" customHeight="1" x14ac:dyDescent="0.3">
      <c r="A397" s="9">
        <v>44144</v>
      </c>
      <c r="B397" s="63" t="s">
        <v>1225</v>
      </c>
      <c r="C397" s="7">
        <v>3738190</v>
      </c>
      <c r="D397" s="7"/>
      <c r="E397" s="7">
        <v>3738190</v>
      </c>
      <c r="F397" s="7">
        <v>-59361517.320000023</v>
      </c>
      <c r="G397" s="10"/>
      <c r="H397" s="10"/>
      <c r="I397" s="7">
        <f>IF(FINANCIACION[[#This Row],[$ CAPITAL]]&gt;0,FINANCIACION[[#This Row],[$ CAPITAL]])</f>
        <v>3738190</v>
      </c>
      <c r="J397" s="41">
        <f>IF(FINANCIACION[[#This Row],[$ CAPITAL]]&gt;=0,FINANCIACION[[#This Row],[$ CAPITAL]]+FINANCIACION[[#This Row],[$ INTERESES]],0)</f>
        <v>3738190</v>
      </c>
    </row>
    <row r="398" spans="1:10" ht="24" hidden="1" customHeight="1" x14ac:dyDescent="0.3">
      <c r="A398" s="9">
        <v>44144</v>
      </c>
      <c r="B398" s="63" t="s">
        <v>1225</v>
      </c>
      <c r="C398" s="7">
        <v>1000000</v>
      </c>
      <c r="D398" s="7"/>
      <c r="E398" s="7">
        <v>1000000</v>
      </c>
      <c r="F398" s="7">
        <v>-59361517.320000023</v>
      </c>
      <c r="G398" s="10"/>
      <c r="H398" s="10"/>
      <c r="I398" s="7">
        <f>IF(FINANCIACION[[#This Row],[$ CAPITAL]]&gt;0,FINANCIACION[[#This Row],[$ CAPITAL]])</f>
        <v>1000000</v>
      </c>
      <c r="J398" s="41">
        <f>IF(FINANCIACION[[#This Row],[$ CAPITAL]]&gt;=0,FINANCIACION[[#This Row],[$ CAPITAL]]+FINANCIACION[[#This Row],[$ INTERESES]],0)</f>
        <v>1000000</v>
      </c>
    </row>
    <row r="399" spans="1:10" ht="24" hidden="1" customHeight="1" x14ac:dyDescent="0.3">
      <c r="A399" s="9">
        <v>44155</v>
      </c>
      <c r="B399" s="63" t="s">
        <v>1225</v>
      </c>
      <c r="C399" s="7">
        <v>-5000000</v>
      </c>
      <c r="D399" s="7"/>
      <c r="E399" s="7" t="s">
        <v>146</v>
      </c>
      <c r="F399" s="7">
        <v>-64361517.320000023</v>
      </c>
      <c r="G399" s="10"/>
      <c r="H399" s="10"/>
      <c r="I399" s="7" t="b">
        <f>IF(FINANCIACION[[#This Row],[$ CAPITAL]]&gt;0,FINANCIACION[[#This Row],[$ CAPITAL]])</f>
        <v>0</v>
      </c>
      <c r="J399" s="41">
        <f>IF(FINANCIACION[[#This Row],[$ CAPITAL]]&gt;=0,FINANCIACION[[#This Row],[$ CAPITAL]]+FINANCIACION[[#This Row],[$ INTERESES]],0)</f>
        <v>0</v>
      </c>
    </row>
    <row r="400" spans="1:10" ht="24" hidden="1" customHeight="1" x14ac:dyDescent="0.3">
      <c r="A400" s="9">
        <v>44158</v>
      </c>
      <c r="B400" s="63" t="s">
        <v>1225</v>
      </c>
      <c r="C400" s="7">
        <v>3649900</v>
      </c>
      <c r="D400" s="7"/>
      <c r="E400" s="7">
        <v>3649900</v>
      </c>
      <c r="F400" s="7">
        <v>-59711617.320000023</v>
      </c>
      <c r="G400" s="10"/>
      <c r="H400" s="10"/>
      <c r="I400" s="7">
        <f>IF(FINANCIACION[[#This Row],[$ CAPITAL]]&gt;0,FINANCIACION[[#This Row],[$ CAPITAL]])</f>
        <v>3649900</v>
      </c>
      <c r="J400" s="41">
        <f>IF(FINANCIACION[[#This Row],[$ CAPITAL]]&gt;=0,FINANCIACION[[#This Row],[$ CAPITAL]]+FINANCIACION[[#This Row],[$ INTERESES]],0)</f>
        <v>3649900</v>
      </c>
    </row>
    <row r="401" spans="1:10" ht="24" hidden="1" customHeight="1" x14ac:dyDescent="0.3">
      <c r="A401" s="9">
        <v>44158</v>
      </c>
      <c r="B401" s="63" t="s">
        <v>1225</v>
      </c>
      <c r="C401" s="7">
        <v>1000000</v>
      </c>
      <c r="D401" s="7"/>
      <c r="E401" s="7">
        <v>1000000</v>
      </c>
      <c r="F401" s="7">
        <v>-59711617.320000023</v>
      </c>
      <c r="G401" s="10"/>
      <c r="H401" s="10"/>
      <c r="I401" s="7">
        <f>IF(FINANCIACION[[#This Row],[$ CAPITAL]]&gt;0,FINANCIACION[[#This Row],[$ CAPITAL]])</f>
        <v>1000000</v>
      </c>
      <c r="J401" s="41">
        <f>IF(FINANCIACION[[#This Row],[$ CAPITAL]]&gt;=0,FINANCIACION[[#This Row],[$ CAPITAL]]+FINANCIACION[[#This Row],[$ INTERESES]],0)</f>
        <v>1000000</v>
      </c>
    </row>
    <row r="402" spans="1:10" ht="24" hidden="1" customHeight="1" x14ac:dyDescent="0.3">
      <c r="A402" s="9">
        <v>44161</v>
      </c>
      <c r="B402" s="63" t="s">
        <v>1224</v>
      </c>
      <c r="C402" s="7">
        <v>0</v>
      </c>
      <c r="D402" s="7">
        <v>2000000</v>
      </c>
      <c r="E402" s="7">
        <v>2000000</v>
      </c>
      <c r="F402" s="7">
        <v>-402490067</v>
      </c>
      <c r="G402" s="10"/>
      <c r="H402" s="10"/>
      <c r="I402" s="7" t="b">
        <f>IF(FINANCIACION[[#This Row],[$ CAPITAL]]&gt;0,FINANCIACION[[#This Row],[$ CAPITAL]])</f>
        <v>0</v>
      </c>
      <c r="J402" s="41">
        <f>IF(FINANCIACION[[#This Row],[$ CAPITAL]]&gt;=0,FINANCIACION[[#This Row],[$ CAPITAL]]+FINANCIACION[[#This Row],[$ INTERESES]],0)</f>
        <v>2000000</v>
      </c>
    </row>
    <row r="403" spans="1:10" ht="24" hidden="1" customHeight="1" x14ac:dyDescent="0.3">
      <c r="A403" s="9">
        <v>44161</v>
      </c>
      <c r="B403" s="63" t="s">
        <v>1225</v>
      </c>
      <c r="C403" s="7">
        <v>7403.0900000035763</v>
      </c>
      <c r="D403" s="7">
        <v>1292596.9099999964</v>
      </c>
      <c r="E403" s="7">
        <v>1300000</v>
      </c>
      <c r="F403" s="7">
        <v>-59695180.630000018</v>
      </c>
      <c r="G403" s="10"/>
      <c r="H403" s="10"/>
      <c r="I403" s="7">
        <f>IF(FINANCIACION[[#This Row],[$ CAPITAL]]&gt;0,FINANCIACION[[#This Row],[$ CAPITAL]])</f>
        <v>7403.0900000035763</v>
      </c>
      <c r="J403" s="41">
        <f>IF(FINANCIACION[[#This Row],[$ CAPITAL]]&gt;=0,FINANCIACION[[#This Row],[$ CAPITAL]]+FINANCIACION[[#This Row],[$ INTERESES]],0)</f>
        <v>1300000</v>
      </c>
    </row>
    <row r="404" spans="1:10" ht="24" hidden="1" customHeight="1" x14ac:dyDescent="0.3">
      <c r="A404" s="9">
        <v>44161</v>
      </c>
      <c r="B404" s="63" t="s">
        <v>1225</v>
      </c>
      <c r="C404" s="7">
        <v>9033.6000000014901</v>
      </c>
      <c r="D404" s="7">
        <v>1582966.3999999985</v>
      </c>
      <c r="E404" s="7">
        <v>1592000</v>
      </c>
      <c r="F404" s="7">
        <v>-59695180.630000018</v>
      </c>
      <c r="G404" s="10"/>
      <c r="H404" s="10"/>
      <c r="I404" s="7">
        <f>IF(FINANCIACION[[#This Row],[$ CAPITAL]]&gt;0,FINANCIACION[[#This Row],[$ CAPITAL]])</f>
        <v>9033.6000000014901</v>
      </c>
      <c r="J404" s="41">
        <f>IF(FINANCIACION[[#This Row],[$ CAPITAL]]&gt;=0,FINANCIACION[[#This Row],[$ CAPITAL]]+FINANCIACION[[#This Row],[$ INTERESES]],0)</f>
        <v>1592000</v>
      </c>
    </row>
    <row r="405" spans="1:10" ht="24" hidden="1" customHeight="1" x14ac:dyDescent="0.3">
      <c r="A405" s="9">
        <v>44161</v>
      </c>
      <c r="B405" s="63" t="s">
        <v>1228</v>
      </c>
      <c r="C405" s="7">
        <v>15308.959999993443</v>
      </c>
      <c r="D405" s="7">
        <v>2484691.0400000066</v>
      </c>
      <c r="E405" s="7">
        <v>2500000</v>
      </c>
      <c r="F405" s="7">
        <v>-67435040.74000001</v>
      </c>
      <c r="G405" s="10"/>
      <c r="H405" s="10"/>
      <c r="I405" s="7">
        <f>IF(FINANCIACION[[#This Row],[$ CAPITAL]]&gt;0,FINANCIACION[[#This Row],[$ CAPITAL]])</f>
        <v>15308.959999993443</v>
      </c>
      <c r="J405" s="41">
        <f>IF(FINANCIACION[[#This Row],[$ CAPITAL]]&gt;=0,FINANCIACION[[#This Row],[$ CAPITAL]]+FINANCIACION[[#This Row],[$ INTERESES]],0)</f>
        <v>2500000</v>
      </c>
    </row>
    <row r="406" spans="1:10" ht="24" hidden="1" customHeight="1" x14ac:dyDescent="0.3">
      <c r="A406" s="9">
        <v>44161</v>
      </c>
      <c r="B406" s="63" t="s">
        <v>1229</v>
      </c>
      <c r="C406" s="7">
        <v>24886.480000004172</v>
      </c>
      <c r="D406" s="7">
        <v>3984146.5199999958</v>
      </c>
      <c r="E406" s="7">
        <v>4009033</v>
      </c>
      <c r="F406" s="7">
        <v>-98447626.519999996</v>
      </c>
      <c r="G406" s="10"/>
      <c r="H406" s="10"/>
      <c r="I406" s="7">
        <f>IF(FINANCIACION[[#This Row],[$ CAPITAL]]&gt;0,FINANCIACION[[#This Row],[$ CAPITAL]])</f>
        <v>24886.480000004172</v>
      </c>
      <c r="J406" s="41">
        <f>IF(FINANCIACION[[#This Row],[$ CAPITAL]]&gt;=0,FINANCIACION[[#This Row],[$ CAPITAL]]+FINANCIACION[[#This Row],[$ INTERESES]],0)</f>
        <v>4009033</v>
      </c>
    </row>
    <row r="407" spans="1:10" ht="24" hidden="1" customHeight="1" x14ac:dyDescent="0.3">
      <c r="A407" s="9">
        <v>44161</v>
      </c>
      <c r="B407" s="63" t="s">
        <v>1230</v>
      </c>
      <c r="C407" s="7">
        <v>5997.0599999986589</v>
      </c>
      <c r="D407" s="7">
        <v>570130.94000000134</v>
      </c>
      <c r="E407" s="7">
        <v>576128</v>
      </c>
      <c r="F407" s="7">
        <v>-26293747.540000003</v>
      </c>
      <c r="G407" s="10"/>
      <c r="H407" s="10"/>
      <c r="I407" s="7">
        <f>IF(FINANCIACION[[#This Row],[$ CAPITAL]]&gt;0,FINANCIACION[[#This Row],[$ CAPITAL]])</f>
        <v>5997.0599999986589</v>
      </c>
      <c r="J407" s="41">
        <f>IF(FINANCIACION[[#This Row],[$ CAPITAL]]&gt;=0,FINANCIACION[[#This Row],[$ CAPITAL]]+FINANCIACION[[#This Row],[$ INTERESES]],0)</f>
        <v>576128</v>
      </c>
    </row>
    <row r="408" spans="1:10" ht="24" hidden="1" customHeight="1" x14ac:dyDescent="0.3">
      <c r="A408" s="9">
        <v>44161</v>
      </c>
      <c r="B408" s="63" t="s">
        <v>1232</v>
      </c>
      <c r="C408" s="7">
        <v>6216.2899999991059</v>
      </c>
      <c r="D408" s="7">
        <v>393783.71000000089</v>
      </c>
      <c r="E408" s="7">
        <v>400000</v>
      </c>
      <c r="F408" s="7">
        <v>-27335637.370000001</v>
      </c>
      <c r="G408" s="10"/>
      <c r="H408" s="10"/>
      <c r="I408" s="7">
        <f>IF(FINANCIACION[[#This Row],[$ CAPITAL]]&gt;0,FINANCIACION[[#This Row],[$ CAPITAL]])</f>
        <v>6216.2899999991059</v>
      </c>
      <c r="J408" s="41">
        <f>IF(FINANCIACION[[#This Row],[$ CAPITAL]]&gt;=0,FINANCIACION[[#This Row],[$ CAPITAL]]+FINANCIACION[[#This Row],[$ INTERESES]],0)</f>
        <v>400000</v>
      </c>
    </row>
    <row r="409" spans="1:10" ht="24" hidden="1" customHeight="1" x14ac:dyDescent="0.3">
      <c r="A409" s="9">
        <v>44162</v>
      </c>
      <c r="B409" s="63" t="s">
        <v>1225</v>
      </c>
      <c r="C409" s="7">
        <v>1000000</v>
      </c>
      <c r="D409" s="7"/>
      <c r="E409" s="7">
        <v>1000000</v>
      </c>
      <c r="F409" s="7">
        <v>-58695180.630000018</v>
      </c>
      <c r="G409" s="10"/>
      <c r="H409" s="10"/>
      <c r="I409" s="7">
        <f>IF(FINANCIACION[[#This Row],[$ CAPITAL]]&gt;0,FINANCIACION[[#This Row],[$ CAPITAL]])</f>
        <v>1000000</v>
      </c>
      <c r="J409" s="41">
        <f>IF(FINANCIACION[[#This Row],[$ CAPITAL]]&gt;=0,FINANCIACION[[#This Row],[$ CAPITAL]]+FINANCIACION[[#This Row],[$ INTERESES]],0)</f>
        <v>1000000</v>
      </c>
    </row>
    <row r="410" spans="1:10" ht="24" hidden="1" customHeight="1" x14ac:dyDescent="0.3">
      <c r="A410" s="9">
        <v>44163</v>
      </c>
      <c r="B410" s="63" t="s">
        <v>1225</v>
      </c>
      <c r="C410" s="7">
        <v>-13000000</v>
      </c>
      <c r="D410" s="7"/>
      <c r="E410" s="7" t="s">
        <v>146</v>
      </c>
      <c r="F410" s="7">
        <v>-71695180.630000025</v>
      </c>
      <c r="G410" s="10"/>
      <c r="H410" s="10"/>
      <c r="I410" s="7" t="b">
        <f>IF(FINANCIACION[[#This Row],[$ CAPITAL]]&gt;0,FINANCIACION[[#This Row],[$ CAPITAL]])</f>
        <v>0</v>
      </c>
      <c r="J410" s="41">
        <f>IF(FINANCIACION[[#This Row],[$ CAPITAL]]&gt;=0,FINANCIACION[[#This Row],[$ CAPITAL]]+FINANCIACION[[#This Row],[$ INTERESES]],0)</f>
        <v>0</v>
      </c>
    </row>
    <row r="411" spans="1:10" ht="24" hidden="1" customHeight="1" x14ac:dyDescent="0.3">
      <c r="A411" s="9">
        <v>44165</v>
      </c>
      <c r="B411" s="63" t="s">
        <v>195</v>
      </c>
      <c r="C411" s="7"/>
      <c r="D411" s="7">
        <v>76791</v>
      </c>
      <c r="E411" s="7">
        <v>76791</v>
      </c>
      <c r="F411" s="7">
        <v>-54330833</v>
      </c>
      <c r="G411" s="10"/>
      <c r="H411" s="10"/>
      <c r="I411" s="7" t="b">
        <f>IF(FINANCIACION[[#This Row],[$ CAPITAL]]&gt;0,FINANCIACION[[#This Row],[$ CAPITAL]])</f>
        <v>0</v>
      </c>
      <c r="J411" s="41">
        <f>IF(FINANCIACION[[#This Row],[$ CAPITAL]]&gt;=0,FINANCIACION[[#This Row],[$ CAPITAL]]+FINANCIACION[[#This Row],[$ INTERESES]],0)</f>
        <v>76791</v>
      </c>
    </row>
    <row r="412" spans="1:10" ht="24" hidden="1" customHeight="1" x14ac:dyDescent="0.3">
      <c r="A412" s="9">
        <v>44165</v>
      </c>
      <c r="B412" s="63" t="s">
        <v>196</v>
      </c>
      <c r="C412" s="7">
        <v>230412</v>
      </c>
      <c r="D412" s="7"/>
      <c r="E412" s="7">
        <v>230412</v>
      </c>
      <c r="F412" s="7">
        <v>-3071640</v>
      </c>
      <c r="G412" s="10"/>
      <c r="H412" s="10"/>
      <c r="I412" s="7">
        <f>IF(FINANCIACION[[#This Row],[$ CAPITAL]]&gt;0,FINANCIACION[[#This Row],[$ CAPITAL]])</f>
        <v>230412</v>
      </c>
      <c r="J412" s="41">
        <f>IF(FINANCIACION[[#This Row],[$ CAPITAL]]&gt;=0,FINANCIACION[[#This Row],[$ CAPITAL]]+FINANCIACION[[#This Row],[$ INTERESES]],0)</f>
        <v>230412</v>
      </c>
    </row>
    <row r="413" spans="1:10" ht="24" hidden="1" customHeight="1" x14ac:dyDescent="0.3">
      <c r="A413" s="9">
        <v>44165</v>
      </c>
      <c r="B413" s="63" t="s">
        <v>196</v>
      </c>
      <c r="C413" s="7"/>
      <c r="D413" s="7">
        <v>497969</v>
      </c>
      <c r="E413" s="7">
        <v>497969</v>
      </c>
      <c r="F413" s="7">
        <v>-3071640</v>
      </c>
      <c r="G413" s="10"/>
      <c r="H413" s="10"/>
      <c r="I413" s="7" t="b">
        <f>IF(FINANCIACION[[#This Row],[$ CAPITAL]]&gt;0,FINANCIACION[[#This Row],[$ CAPITAL]])</f>
        <v>0</v>
      </c>
      <c r="J413" s="41">
        <f>IF(FINANCIACION[[#This Row],[$ CAPITAL]]&gt;=0,FINANCIACION[[#This Row],[$ CAPITAL]]+FINANCIACION[[#This Row],[$ INTERESES]],0)</f>
        <v>497969</v>
      </c>
    </row>
    <row r="414" spans="1:10" ht="24" hidden="1" customHeight="1" x14ac:dyDescent="0.3">
      <c r="A414" s="9">
        <v>44165</v>
      </c>
      <c r="B414" s="63" t="s">
        <v>1224</v>
      </c>
      <c r="C414" s="7">
        <v>5494197</v>
      </c>
      <c r="D414" s="7"/>
      <c r="E414" s="7">
        <v>5494197</v>
      </c>
      <c r="F414" s="7">
        <v>-396995870</v>
      </c>
      <c r="G414" s="10"/>
      <c r="H414" s="10"/>
      <c r="I414" s="7">
        <f>IF(FINANCIACION[[#This Row],[$ CAPITAL]]&gt;0,FINANCIACION[[#This Row],[$ CAPITAL]])</f>
        <v>5494197</v>
      </c>
      <c r="J414" s="41">
        <f>IF(FINANCIACION[[#This Row],[$ CAPITAL]]&gt;=0,FINANCIACION[[#This Row],[$ CAPITAL]]+FINANCIACION[[#This Row],[$ INTERESES]],0)</f>
        <v>5494197</v>
      </c>
    </row>
    <row r="415" spans="1:10" ht="24" hidden="1" customHeight="1" x14ac:dyDescent="0.3">
      <c r="A415" s="9">
        <v>44165</v>
      </c>
      <c r="B415" s="63" t="s">
        <v>1225</v>
      </c>
      <c r="C415" s="7">
        <v>2118385.0699999928</v>
      </c>
      <c r="D415" s="7"/>
      <c r="E415" s="7">
        <v>2118385.0699999928</v>
      </c>
      <c r="F415" s="7">
        <v>-85486465.350000039</v>
      </c>
      <c r="G415" s="10"/>
      <c r="H415" s="10"/>
      <c r="I415" s="7">
        <f>IF(FINANCIACION[[#This Row],[$ CAPITAL]]&gt;0,FINANCIACION[[#This Row],[$ CAPITAL]])</f>
        <v>2118385.0699999928</v>
      </c>
      <c r="J415" s="41">
        <f>IF(FINANCIACION[[#This Row],[$ CAPITAL]]&gt;=0,FINANCIACION[[#This Row],[$ CAPITAL]]+FINANCIACION[[#This Row],[$ INTERESES]],0)</f>
        <v>2118385.0699999928</v>
      </c>
    </row>
    <row r="416" spans="1:10" ht="24" hidden="1" customHeight="1" x14ac:dyDescent="0.3">
      <c r="A416" s="9">
        <v>44165</v>
      </c>
      <c r="B416" s="63" t="s">
        <v>1225</v>
      </c>
      <c r="C416" s="7">
        <v>3258640.2100000009</v>
      </c>
      <c r="D416" s="7"/>
      <c r="E416" s="7">
        <v>3258640.2100000009</v>
      </c>
      <c r="F416" s="7">
        <v>-85486465.350000039</v>
      </c>
      <c r="G416" s="10"/>
      <c r="H416" s="10"/>
      <c r="I416" s="7">
        <f>IF(FINANCIACION[[#This Row],[$ CAPITAL]]&gt;0,FINANCIACION[[#This Row],[$ CAPITAL]])</f>
        <v>3258640.2100000009</v>
      </c>
      <c r="J416" s="41">
        <f>IF(FINANCIACION[[#This Row],[$ CAPITAL]]&gt;=0,FINANCIACION[[#This Row],[$ CAPITAL]]+FINANCIACION[[#This Row],[$ INTERESES]],0)</f>
        <v>3258640.2100000009</v>
      </c>
    </row>
    <row r="417" spans="1:10" ht="24" hidden="1" customHeight="1" x14ac:dyDescent="0.3">
      <c r="A417" s="9">
        <v>44165</v>
      </c>
      <c r="B417" s="63" t="s">
        <v>1225</v>
      </c>
      <c r="C417" s="7">
        <v>-2196802.0000000005</v>
      </c>
      <c r="D417" s="7"/>
      <c r="E417" s="7" t="s">
        <v>146</v>
      </c>
      <c r="F417" s="7">
        <v>-85486465.350000039</v>
      </c>
      <c r="G417" s="10"/>
      <c r="H417" s="10"/>
      <c r="I417" s="7" t="b">
        <f>IF(FINANCIACION[[#This Row],[$ CAPITAL]]&gt;0,FINANCIACION[[#This Row],[$ CAPITAL]])</f>
        <v>0</v>
      </c>
      <c r="J417" s="41">
        <f>IF(FINANCIACION[[#This Row],[$ CAPITAL]]&gt;=0,FINANCIACION[[#This Row],[$ CAPITAL]]+FINANCIACION[[#This Row],[$ INTERESES]],0)</f>
        <v>0</v>
      </c>
    </row>
    <row r="418" spans="1:10" ht="24" hidden="1" customHeight="1" x14ac:dyDescent="0.3">
      <c r="A418" s="9">
        <v>44165</v>
      </c>
      <c r="B418" s="63" t="s">
        <v>1225</v>
      </c>
      <c r="C418" s="7">
        <v>-14475360.000000004</v>
      </c>
      <c r="D418" s="7"/>
      <c r="E418" s="7" t="s">
        <v>146</v>
      </c>
      <c r="F418" s="7">
        <v>-85486465.350000039</v>
      </c>
      <c r="G418" s="10"/>
      <c r="H418" s="10"/>
      <c r="I418" s="7" t="b">
        <f>IF(FINANCIACION[[#This Row],[$ CAPITAL]]&gt;0,FINANCIACION[[#This Row],[$ CAPITAL]])</f>
        <v>0</v>
      </c>
      <c r="J418" s="41">
        <f>IF(FINANCIACION[[#This Row],[$ CAPITAL]]&gt;=0,FINANCIACION[[#This Row],[$ CAPITAL]]+FINANCIACION[[#This Row],[$ INTERESES]],0)</f>
        <v>0</v>
      </c>
    </row>
    <row r="419" spans="1:10" ht="24" hidden="1" customHeight="1" x14ac:dyDescent="0.3">
      <c r="A419" s="9">
        <v>44165</v>
      </c>
      <c r="B419" s="63" t="s">
        <v>1225</v>
      </c>
      <c r="C419" s="7">
        <v>-2496148</v>
      </c>
      <c r="D419" s="7"/>
      <c r="E419" s="7" t="s">
        <v>146</v>
      </c>
      <c r="F419" s="7">
        <v>-85486465.350000039</v>
      </c>
      <c r="G419" s="10"/>
      <c r="H419" s="10"/>
      <c r="I419" s="7" t="b">
        <f>IF(FINANCIACION[[#This Row],[$ CAPITAL]]&gt;0,FINANCIACION[[#This Row],[$ CAPITAL]])</f>
        <v>0</v>
      </c>
      <c r="J419" s="41">
        <f>IF(FINANCIACION[[#This Row],[$ CAPITAL]]&gt;=0,FINANCIACION[[#This Row],[$ CAPITAL]]+FINANCIACION[[#This Row],[$ INTERESES]],0)</f>
        <v>0</v>
      </c>
    </row>
    <row r="420" spans="1:10" ht="24" hidden="1" customHeight="1" x14ac:dyDescent="0.3">
      <c r="A420" s="9">
        <v>44165</v>
      </c>
      <c r="B420" s="63" t="s">
        <v>1228</v>
      </c>
      <c r="C420" s="7">
        <v>2082309.400000006</v>
      </c>
      <c r="D420" s="7"/>
      <c r="E420" s="7">
        <v>2082309.400000006</v>
      </c>
      <c r="F420" s="7">
        <v>-65352731.340000004</v>
      </c>
      <c r="G420" s="10"/>
      <c r="H420" s="10"/>
      <c r="I420" s="7">
        <f>IF(FINANCIACION[[#This Row],[$ CAPITAL]]&gt;0,FINANCIACION[[#This Row],[$ CAPITAL]])</f>
        <v>2082309.400000006</v>
      </c>
      <c r="J420" s="41">
        <f>IF(FINANCIACION[[#This Row],[$ CAPITAL]]&gt;=0,FINANCIACION[[#This Row],[$ CAPITAL]]+FINANCIACION[[#This Row],[$ INTERESES]],0)</f>
        <v>2082309.400000006</v>
      </c>
    </row>
    <row r="421" spans="1:10" ht="24" hidden="1" customHeight="1" x14ac:dyDescent="0.3">
      <c r="A421" s="9">
        <v>44165</v>
      </c>
      <c r="B421" s="63" t="s">
        <v>1229</v>
      </c>
      <c r="C421" s="7">
        <v>3330972.049999997</v>
      </c>
      <c r="D421" s="7"/>
      <c r="E421" s="7">
        <v>3330972.049999997</v>
      </c>
      <c r="F421" s="7">
        <v>-95116654.469999999</v>
      </c>
      <c r="G421" s="10"/>
      <c r="H421" s="10"/>
      <c r="I421" s="7">
        <f>IF(FINANCIACION[[#This Row],[$ CAPITAL]]&gt;0,FINANCIACION[[#This Row],[$ CAPITAL]])</f>
        <v>3330972.049999997</v>
      </c>
      <c r="J421" s="41">
        <f>IF(FINANCIACION[[#This Row],[$ CAPITAL]]&gt;=0,FINANCIACION[[#This Row],[$ CAPITAL]]+FINANCIACION[[#This Row],[$ INTERESES]],0)</f>
        <v>3330972.049999997</v>
      </c>
    </row>
    <row r="422" spans="1:10" ht="24" hidden="1" customHeight="1" x14ac:dyDescent="0.3">
      <c r="A422" s="9">
        <v>44165</v>
      </c>
      <c r="B422" s="63" t="s">
        <v>1230</v>
      </c>
      <c r="C422" s="7">
        <v>409054.01000000164</v>
      </c>
      <c r="D422" s="7"/>
      <c r="E422" s="7">
        <v>409054.01000000164</v>
      </c>
      <c r="F422" s="7">
        <v>-25884693.530000001</v>
      </c>
      <c r="G422" s="10"/>
      <c r="H422" s="10"/>
      <c r="I422" s="7">
        <f>IF(FINANCIACION[[#This Row],[$ CAPITAL]]&gt;0,FINANCIACION[[#This Row],[$ CAPITAL]])</f>
        <v>409054.01000000164</v>
      </c>
      <c r="J422" s="41">
        <f>IF(FINANCIACION[[#This Row],[$ CAPITAL]]&gt;=0,FINANCIACION[[#This Row],[$ CAPITAL]]+FINANCIACION[[#This Row],[$ INTERESES]],0)</f>
        <v>409054.01000000164</v>
      </c>
    </row>
    <row r="423" spans="1:10" ht="24" hidden="1" customHeight="1" x14ac:dyDescent="0.3">
      <c r="A423" s="9">
        <v>44165</v>
      </c>
      <c r="B423" s="63" t="s">
        <v>1232</v>
      </c>
      <c r="C423" s="7">
        <v>214280.08000000194</v>
      </c>
      <c r="D423" s="7"/>
      <c r="E423" s="7">
        <v>214280.08000000194</v>
      </c>
      <c r="F423" s="7">
        <v>-27121357.289999999</v>
      </c>
      <c r="G423" s="10"/>
      <c r="H423" s="10"/>
      <c r="I423" s="7">
        <f>IF(FINANCIACION[[#This Row],[$ CAPITAL]]&gt;0,FINANCIACION[[#This Row],[$ CAPITAL]])</f>
        <v>214280.08000000194</v>
      </c>
      <c r="J423" s="41">
        <f>IF(FINANCIACION[[#This Row],[$ CAPITAL]]&gt;=0,FINANCIACION[[#This Row],[$ CAPITAL]]+FINANCIACION[[#This Row],[$ INTERESES]],0)</f>
        <v>214280.08000000194</v>
      </c>
    </row>
    <row r="424" spans="1:10" ht="24" hidden="1" customHeight="1" x14ac:dyDescent="0.3">
      <c r="A424" s="9">
        <v>44166</v>
      </c>
      <c r="B424" s="63" t="s">
        <v>198</v>
      </c>
      <c r="C424" s="7">
        <v>-90130880</v>
      </c>
      <c r="D424" s="7"/>
      <c r="E424" s="7" t="s">
        <v>146</v>
      </c>
      <c r="F424" s="7">
        <v>-90130880</v>
      </c>
      <c r="G424" s="10" t="s">
        <v>234</v>
      </c>
      <c r="H424" s="10">
        <v>-25751.68</v>
      </c>
      <c r="I424" s="7" t="b">
        <f>IF(FINANCIACION[[#This Row],[$ CAPITAL]]&gt;0,FINANCIACION[[#This Row],[$ CAPITAL]])</f>
        <v>0</v>
      </c>
      <c r="J424" s="41">
        <f>IF(FINANCIACION[[#This Row],[$ CAPITAL]]&gt;=0,FINANCIACION[[#This Row],[$ CAPITAL]]+FINANCIACION[[#This Row],[$ INTERESES]],0)</f>
        <v>0</v>
      </c>
    </row>
    <row r="425" spans="1:10" ht="24" hidden="1" customHeight="1" x14ac:dyDescent="0.3">
      <c r="A425" s="9">
        <v>44167</v>
      </c>
      <c r="B425" s="63" t="s">
        <v>1225</v>
      </c>
      <c r="C425" s="7">
        <v>7066420</v>
      </c>
      <c r="D425" s="7"/>
      <c r="E425" s="7">
        <v>7066420</v>
      </c>
      <c r="F425" s="7">
        <v>-78420045.350000039</v>
      </c>
      <c r="G425" s="10"/>
      <c r="H425" s="10"/>
      <c r="I425" s="7">
        <f>IF(FINANCIACION[[#This Row],[$ CAPITAL]]&gt;0,FINANCIACION[[#This Row],[$ CAPITAL]])</f>
        <v>7066420</v>
      </c>
      <c r="J425" s="41">
        <f>IF(FINANCIACION[[#This Row],[$ CAPITAL]]&gt;=0,FINANCIACION[[#This Row],[$ CAPITAL]]+FINANCIACION[[#This Row],[$ INTERESES]],0)</f>
        <v>7066420</v>
      </c>
    </row>
    <row r="426" spans="1:10" ht="24" hidden="1" customHeight="1" x14ac:dyDescent="0.3">
      <c r="A426" s="9">
        <v>44169</v>
      </c>
      <c r="B426" s="63" t="s">
        <v>1225</v>
      </c>
      <c r="C426" s="7">
        <v>990094.53</v>
      </c>
      <c r="D426" s="7">
        <v>169712.89</v>
      </c>
      <c r="E426" s="7">
        <v>1159807.42</v>
      </c>
      <c r="F426" s="7">
        <v>-77429950.820000038</v>
      </c>
      <c r="G426" s="10"/>
      <c r="H426" s="10"/>
      <c r="I426" s="7">
        <f>IF(FINANCIACION[[#This Row],[$ CAPITAL]]&gt;0,FINANCIACION[[#This Row],[$ CAPITAL]])</f>
        <v>990094.53</v>
      </c>
      <c r="J426" s="41">
        <f>IF(FINANCIACION[[#This Row],[$ CAPITAL]]&gt;=0,FINANCIACION[[#This Row],[$ CAPITAL]]+FINANCIACION[[#This Row],[$ INTERESES]],0)</f>
        <v>1159807.42</v>
      </c>
    </row>
    <row r="427" spans="1:10" ht="24" hidden="1" customHeight="1" x14ac:dyDescent="0.3">
      <c r="A427" s="9">
        <v>44171</v>
      </c>
      <c r="B427" s="63" t="s">
        <v>199</v>
      </c>
      <c r="C427" s="7">
        <v>6326000</v>
      </c>
      <c r="D427" s="7">
        <v>662992.15</v>
      </c>
      <c r="E427" s="7">
        <v>6988992.1500000004</v>
      </c>
      <c r="F427" s="7">
        <v>-91995126</v>
      </c>
      <c r="G427" s="10"/>
      <c r="H427" s="10"/>
      <c r="I427" s="7">
        <f>IF(FINANCIACION[[#This Row],[$ CAPITAL]]&gt;0,FINANCIACION[[#This Row],[$ CAPITAL]])</f>
        <v>6326000</v>
      </c>
      <c r="J427" s="41">
        <f>IF(FINANCIACION[[#This Row],[$ CAPITAL]]&gt;=0,FINANCIACION[[#This Row],[$ CAPITAL]]+FINANCIACION[[#This Row],[$ INTERESES]],0)</f>
        <v>6988992.1500000004</v>
      </c>
    </row>
    <row r="428" spans="1:10" ht="24" hidden="1" customHeight="1" x14ac:dyDescent="0.3">
      <c r="A428" s="9">
        <v>44172</v>
      </c>
      <c r="B428" s="63" t="s">
        <v>1225</v>
      </c>
      <c r="C428" s="7">
        <v>1500000</v>
      </c>
      <c r="D428" s="7"/>
      <c r="E428" s="7">
        <v>1500000</v>
      </c>
      <c r="F428" s="7">
        <v>-75929950.820000038</v>
      </c>
      <c r="G428" s="10"/>
      <c r="H428" s="10"/>
      <c r="I428" s="7">
        <f>IF(FINANCIACION[[#This Row],[$ CAPITAL]]&gt;0,FINANCIACION[[#This Row],[$ CAPITAL]])</f>
        <v>1500000</v>
      </c>
      <c r="J428" s="41">
        <f>IF(FINANCIACION[[#This Row],[$ CAPITAL]]&gt;=0,FINANCIACION[[#This Row],[$ CAPITAL]]+FINANCIACION[[#This Row],[$ INTERESES]],0)</f>
        <v>1500000</v>
      </c>
    </row>
    <row r="429" spans="1:10" ht="24" hidden="1" customHeight="1" x14ac:dyDescent="0.3">
      <c r="A429" s="9">
        <v>44175</v>
      </c>
      <c r="B429" s="63" t="s">
        <v>1222</v>
      </c>
      <c r="C429" s="7">
        <v>1655718.33</v>
      </c>
      <c r="D429" s="7">
        <v>910181.67</v>
      </c>
      <c r="E429" s="7">
        <v>2565900</v>
      </c>
      <c r="F429" s="7">
        <v>-89362448.670000002</v>
      </c>
      <c r="G429" s="10"/>
      <c r="H429" s="10"/>
      <c r="I429" s="7">
        <f>IF(FINANCIACION[[#This Row],[$ CAPITAL]]&gt;0,FINANCIACION[[#This Row],[$ CAPITAL]])</f>
        <v>1655718.33</v>
      </c>
      <c r="J429" s="41">
        <f>IF(FINANCIACION[[#This Row],[$ CAPITAL]]&gt;=0,FINANCIACION[[#This Row],[$ CAPITAL]]+FINANCIACION[[#This Row],[$ INTERESES]],0)</f>
        <v>2565900</v>
      </c>
    </row>
    <row r="430" spans="1:10" ht="24" hidden="1" customHeight="1" x14ac:dyDescent="0.3">
      <c r="A430" s="9">
        <v>44175</v>
      </c>
      <c r="B430" s="63" t="s">
        <v>1226</v>
      </c>
      <c r="C430" s="7">
        <v>867085</v>
      </c>
      <c r="D430" s="7">
        <v>132915</v>
      </c>
      <c r="E430" s="7">
        <v>1000000</v>
      </c>
      <c r="F430" s="7">
        <v>-12424415</v>
      </c>
      <c r="G430" s="10"/>
      <c r="H430" s="10"/>
      <c r="I430" s="7">
        <f>IF(FINANCIACION[[#This Row],[$ CAPITAL]]&gt;0,FINANCIACION[[#This Row],[$ CAPITAL]])</f>
        <v>867085</v>
      </c>
      <c r="J430" s="41">
        <f>IF(FINANCIACION[[#This Row],[$ CAPITAL]]&gt;=0,FINANCIACION[[#This Row],[$ CAPITAL]]+FINANCIACION[[#This Row],[$ INTERESES]],0)</f>
        <v>1000000</v>
      </c>
    </row>
    <row r="431" spans="1:10" ht="24" hidden="1" customHeight="1" x14ac:dyDescent="0.3">
      <c r="A431" s="9">
        <v>44175</v>
      </c>
      <c r="B431" s="63" t="s">
        <v>1223</v>
      </c>
      <c r="C431" s="7">
        <v>548356.17000000004</v>
      </c>
      <c r="D431" s="7">
        <v>651643.82999999996</v>
      </c>
      <c r="E431" s="7">
        <v>1200000</v>
      </c>
      <c r="F431" s="7">
        <v>-64616026.93</v>
      </c>
      <c r="G431" s="10"/>
      <c r="H431" s="10"/>
      <c r="I431" s="7">
        <f>IF(FINANCIACION[[#This Row],[$ CAPITAL]]&gt;0,FINANCIACION[[#This Row],[$ CAPITAL]])</f>
        <v>548356.17000000004</v>
      </c>
      <c r="J431" s="41">
        <f>IF(FINANCIACION[[#This Row],[$ CAPITAL]]&gt;=0,FINANCIACION[[#This Row],[$ CAPITAL]]+FINANCIACION[[#This Row],[$ INTERESES]],0)</f>
        <v>1200000</v>
      </c>
    </row>
    <row r="432" spans="1:10" ht="24" hidden="1" customHeight="1" x14ac:dyDescent="0.3">
      <c r="A432" s="9">
        <v>44180</v>
      </c>
      <c r="B432" s="63" t="s">
        <v>1225</v>
      </c>
      <c r="C432" s="7">
        <v>500000</v>
      </c>
      <c r="D432" s="7"/>
      <c r="E432" s="7">
        <v>500000</v>
      </c>
      <c r="F432" s="7">
        <v>-70280145.820000038</v>
      </c>
      <c r="G432" s="10"/>
      <c r="H432" s="10"/>
      <c r="I432" s="7">
        <f>IF(FINANCIACION[[#This Row],[$ CAPITAL]]&gt;0,FINANCIACION[[#This Row],[$ CAPITAL]])</f>
        <v>500000</v>
      </c>
      <c r="J432" s="41">
        <f>IF(FINANCIACION[[#This Row],[$ CAPITAL]]&gt;=0,FINANCIACION[[#This Row],[$ CAPITAL]]+FINANCIACION[[#This Row],[$ INTERESES]],0)</f>
        <v>500000</v>
      </c>
    </row>
    <row r="433" spans="1:16" ht="24" hidden="1" customHeight="1" x14ac:dyDescent="0.3">
      <c r="A433" s="9">
        <v>44180</v>
      </c>
      <c r="B433" s="63" t="s">
        <v>1225</v>
      </c>
      <c r="C433" s="7">
        <v>722835</v>
      </c>
      <c r="D433" s="7"/>
      <c r="E433" s="7">
        <v>722835</v>
      </c>
      <c r="F433" s="7">
        <v>-70280145.820000038</v>
      </c>
      <c r="G433" s="10"/>
      <c r="H433" s="10"/>
      <c r="I433" s="7">
        <f>IF(FINANCIACION[[#This Row],[$ CAPITAL]]&gt;0,FINANCIACION[[#This Row],[$ CAPITAL]])</f>
        <v>722835</v>
      </c>
      <c r="J433" s="41">
        <f>IF(FINANCIACION[[#This Row],[$ CAPITAL]]&gt;=0,FINANCIACION[[#This Row],[$ CAPITAL]]+FINANCIACION[[#This Row],[$ INTERESES]],0)</f>
        <v>722835</v>
      </c>
    </row>
    <row r="434" spans="1:16" ht="24" hidden="1" customHeight="1" x14ac:dyDescent="0.3">
      <c r="A434" s="9">
        <v>44180</v>
      </c>
      <c r="B434" s="63" t="s">
        <v>1225</v>
      </c>
      <c r="C434" s="7">
        <v>1000000</v>
      </c>
      <c r="D434" s="7"/>
      <c r="E434" s="7">
        <v>1000000</v>
      </c>
      <c r="F434" s="7">
        <v>-70280145.820000038</v>
      </c>
      <c r="G434" s="10"/>
      <c r="H434" s="10"/>
      <c r="I434" s="7">
        <f>IF(FINANCIACION[[#This Row],[$ CAPITAL]]&gt;0,FINANCIACION[[#This Row],[$ CAPITAL]])</f>
        <v>1000000</v>
      </c>
      <c r="J434" s="41">
        <f>IF(FINANCIACION[[#This Row],[$ CAPITAL]]&gt;=0,FINANCIACION[[#This Row],[$ CAPITAL]]+FINANCIACION[[#This Row],[$ INTERESES]],0)</f>
        <v>1000000</v>
      </c>
    </row>
    <row r="435" spans="1:16" ht="24" hidden="1" customHeight="1" x14ac:dyDescent="0.3">
      <c r="A435" s="9">
        <v>44180</v>
      </c>
      <c r="B435" s="63" t="s">
        <v>1225</v>
      </c>
      <c r="C435" s="7">
        <v>3426970</v>
      </c>
      <c r="D435" s="7"/>
      <c r="E435" s="7">
        <v>3426970</v>
      </c>
      <c r="F435" s="7">
        <v>-70280145.820000038</v>
      </c>
      <c r="G435" s="10"/>
      <c r="H435" s="10"/>
      <c r="I435" s="7">
        <f>IF(FINANCIACION[[#This Row],[$ CAPITAL]]&gt;0,FINANCIACION[[#This Row],[$ CAPITAL]])</f>
        <v>3426970</v>
      </c>
      <c r="J435" s="41">
        <f>IF(FINANCIACION[[#This Row],[$ CAPITAL]]&gt;=0,FINANCIACION[[#This Row],[$ CAPITAL]]+FINANCIACION[[#This Row],[$ INTERESES]],0)</f>
        <v>3426970</v>
      </c>
    </row>
    <row r="436" spans="1:16" ht="24" hidden="1" customHeight="1" x14ac:dyDescent="0.3">
      <c r="A436" s="9">
        <v>44183</v>
      </c>
      <c r="B436" s="63" t="s">
        <v>1225</v>
      </c>
      <c r="C436" s="7">
        <v>1000000</v>
      </c>
      <c r="D436" s="7"/>
      <c r="E436" s="7">
        <v>1000000</v>
      </c>
      <c r="F436" s="7">
        <v>-69280145.820000038</v>
      </c>
      <c r="G436" s="10"/>
      <c r="H436" s="10"/>
      <c r="I436" s="7">
        <f>IF(FINANCIACION[[#This Row],[$ CAPITAL]]&gt;0,FINANCIACION[[#This Row],[$ CAPITAL]])</f>
        <v>1000000</v>
      </c>
      <c r="J436" s="41">
        <f>IF(FINANCIACION[[#This Row],[$ CAPITAL]]&gt;=0,FINANCIACION[[#This Row],[$ CAPITAL]]+FINANCIACION[[#This Row],[$ INTERESES]],0)</f>
        <v>1000000</v>
      </c>
    </row>
    <row r="437" spans="1:16" ht="24" hidden="1" customHeight="1" x14ac:dyDescent="0.3">
      <c r="A437" s="9">
        <v>44184</v>
      </c>
      <c r="B437" s="63" t="s">
        <v>1225</v>
      </c>
      <c r="C437" s="7">
        <v>2000000</v>
      </c>
      <c r="D437" s="7"/>
      <c r="E437" s="7">
        <v>2000000</v>
      </c>
      <c r="F437" s="7">
        <v>-67280145.820000038</v>
      </c>
      <c r="G437" s="10"/>
      <c r="H437" s="10"/>
      <c r="I437" s="7">
        <f>IF(FINANCIACION[[#This Row],[$ CAPITAL]]&gt;0,FINANCIACION[[#This Row],[$ CAPITAL]])</f>
        <v>2000000</v>
      </c>
      <c r="J437" s="41">
        <f>IF(FINANCIACION[[#This Row],[$ CAPITAL]]&gt;=0,FINANCIACION[[#This Row],[$ CAPITAL]]+FINANCIACION[[#This Row],[$ INTERESES]],0)</f>
        <v>2000000</v>
      </c>
    </row>
    <row r="438" spans="1:16" ht="24" hidden="1" customHeight="1" x14ac:dyDescent="0.3">
      <c r="A438" s="9">
        <v>44185</v>
      </c>
      <c r="B438" s="63" t="s">
        <v>1225</v>
      </c>
      <c r="C438" s="7">
        <v>2000000</v>
      </c>
      <c r="D438" s="7"/>
      <c r="E438" s="7">
        <v>2000000</v>
      </c>
      <c r="F438" s="7">
        <v>-65280145.820000038</v>
      </c>
      <c r="G438" s="10"/>
      <c r="H438" s="10"/>
      <c r="I438" s="7">
        <f>IF(FINANCIACION[[#This Row],[$ CAPITAL]]&gt;0,FINANCIACION[[#This Row],[$ CAPITAL]])</f>
        <v>2000000</v>
      </c>
      <c r="J438" s="41">
        <f>IF(FINANCIACION[[#This Row],[$ CAPITAL]]&gt;=0,FINANCIACION[[#This Row],[$ CAPITAL]]+FINANCIACION[[#This Row],[$ INTERESES]],0)</f>
        <v>2000000</v>
      </c>
    </row>
    <row r="439" spans="1:16" ht="24" hidden="1" customHeight="1" x14ac:dyDescent="0.3">
      <c r="A439" s="9">
        <v>44187</v>
      </c>
      <c r="B439" s="63" t="s">
        <v>1224</v>
      </c>
      <c r="C439" s="7">
        <v>5215587</v>
      </c>
      <c r="D439" s="7"/>
      <c r="E439" s="7">
        <v>5215587</v>
      </c>
      <c r="F439" s="7">
        <v>-391780283</v>
      </c>
      <c r="G439" s="10"/>
      <c r="H439" s="10"/>
      <c r="I439" s="7">
        <f>IF(FINANCIACION[[#This Row],[$ CAPITAL]]&gt;0,FINANCIACION[[#This Row],[$ CAPITAL]])</f>
        <v>5215587</v>
      </c>
      <c r="J439" s="41">
        <f>IF(FINANCIACION[[#This Row],[$ CAPITAL]]&gt;=0,FINANCIACION[[#This Row],[$ CAPITAL]]+FINANCIACION[[#This Row],[$ INTERESES]],0)</f>
        <v>5215587</v>
      </c>
    </row>
    <row r="440" spans="1:16" ht="24" hidden="1" customHeight="1" x14ac:dyDescent="0.3">
      <c r="A440" s="9">
        <v>44187</v>
      </c>
      <c r="B440" s="63" t="s">
        <v>1225</v>
      </c>
      <c r="C440" s="7">
        <v>2000000</v>
      </c>
      <c r="D440" s="7"/>
      <c r="E440" s="7">
        <v>2000000</v>
      </c>
      <c r="F440" s="7">
        <v>-58837735.820000038</v>
      </c>
      <c r="G440" s="10"/>
      <c r="H440" s="10"/>
      <c r="I440" s="7">
        <f>IF(FINANCIACION[[#This Row],[$ CAPITAL]]&gt;0,FINANCIACION[[#This Row],[$ CAPITAL]])</f>
        <v>2000000</v>
      </c>
      <c r="J440" s="41">
        <f>IF(FINANCIACION[[#This Row],[$ CAPITAL]]&gt;=0,FINANCIACION[[#This Row],[$ CAPITAL]]+FINANCIACION[[#This Row],[$ INTERESES]],0)</f>
        <v>2000000</v>
      </c>
    </row>
    <row r="441" spans="1:16" ht="24" hidden="1" customHeight="1" x14ac:dyDescent="0.3">
      <c r="A441" s="9">
        <v>44187</v>
      </c>
      <c r="B441" s="63" t="s">
        <v>1225</v>
      </c>
      <c r="C441" s="7">
        <v>500000</v>
      </c>
      <c r="D441" s="7"/>
      <c r="E441" s="7">
        <v>500000</v>
      </c>
      <c r="F441" s="7">
        <v>-58837735.820000038</v>
      </c>
      <c r="G441" s="10"/>
      <c r="H441" s="10"/>
      <c r="I441" s="7">
        <f>IF(FINANCIACION[[#This Row],[$ CAPITAL]]&gt;0,FINANCIACION[[#This Row],[$ CAPITAL]])</f>
        <v>500000</v>
      </c>
      <c r="J441" s="41">
        <f>IF(FINANCIACION[[#This Row],[$ CAPITAL]]&gt;=0,FINANCIACION[[#This Row],[$ CAPITAL]]+FINANCIACION[[#This Row],[$ INTERESES]],0)</f>
        <v>500000</v>
      </c>
    </row>
    <row r="442" spans="1:16" ht="24" hidden="1" customHeight="1" x14ac:dyDescent="0.3">
      <c r="A442" s="9">
        <v>44187</v>
      </c>
      <c r="B442" s="63" t="s">
        <v>1225</v>
      </c>
      <c r="C442" s="7">
        <v>3442410</v>
      </c>
      <c r="D442" s="7"/>
      <c r="E442" s="7">
        <v>3442410</v>
      </c>
      <c r="F442" s="7">
        <v>-58837735.820000038</v>
      </c>
      <c r="G442" s="10"/>
      <c r="H442" s="10"/>
      <c r="I442" s="7">
        <f>IF(FINANCIACION[[#This Row],[$ CAPITAL]]&gt;0,FINANCIACION[[#This Row],[$ CAPITAL]])</f>
        <v>3442410</v>
      </c>
      <c r="J442" s="41">
        <f>IF(FINANCIACION[[#This Row],[$ CAPITAL]]&gt;=0,FINANCIACION[[#This Row],[$ CAPITAL]]+FINANCIACION[[#This Row],[$ INTERESES]],0)</f>
        <v>3442410</v>
      </c>
      <c r="K442" s="13"/>
      <c r="N442" s="8"/>
      <c r="O442" s="12"/>
      <c r="P442" s="11"/>
    </row>
    <row r="443" spans="1:16" ht="24" hidden="1" customHeight="1" x14ac:dyDescent="0.3">
      <c r="A443" s="9">
        <v>44187</v>
      </c>
      <c r="B443" s="63" t="s">
        <v>1225</v>
      </c>
      <c r="C443" s="7">
        <v>500000</v>
      </c>
      <c r="D443" s="7"/>
      <c r="E443" s="7">
        <v>500000</v>
      </c>
      <c r="F443" s="7">
        <v>-58837735.820000038</v>
      </c>
      <c r="G443" s="10"/>
      <c r="H443" s="10"/>
      <c r="I443" s="7">
        <f>IF(FINANCIACION[[#This Row],[$ CAPITAL]]&gt;0,FINANCIACION[[#This Row],[$ CAPITAL]])</f>
        <v>500000</v>
      </c>
      <c r="J443" s="41">
        <f>IF(FINANCIACION[[#This Row],[$ CAPITAL]]&gt;=0,FINANCIACION[[#This Row],[$ CAPITAL]]+FINANCIACION[[#This Row],[$ INTERESES]],0)</f>
        <v>500000</v>
      </c>
      <c r="K443" s="13"/>
      <c r="N443" s="8"/>
      <c r="O443" s="12"/>
      <c r="P443" s="11"/>
    </row>
    <row r="444" spans="1:16" ht="24" hidden="1" customHeight="1" x14ac:dyDescent="0.3">
      <c r="A444" s="9">
        <v>44187</v>
      </c>
      <c r="B444" s="63" t="s">
        <v>1229</v>
      </c>
      <c r="C444" s="7">
        <v>1000000</v>
      </c>
      <c r="D444" s="7"/>
      <c r="E444" s="7">
        <v>1000000</v>
      </c>
      <c r="F444" s="7">
        <v>-94116654.469999999</v>
      </c>
      <c r="G444" s="10"/>
      <c r="H444" s="10"/>
      <c r="I444" s="7">
        <f>IF(FINANCIACION[[#This Row],[$ CAPITAL]]&gt;0,FINANCIACION[[#This Row],[$ CAPITAL]])</f>
        <v>1000000</v>
      </c>
      <c r="J444" s="41">
        <f>IF(FINANCIACION[[#This Row],[$ CAPITAL]]&gt;=0,FINANCIACION[[#This Row],[$ CAPITAL]]+FINANCIACION[[#This Row],[$ INTERESES]],0)</f>
        <v>1000000</v>
      </c>
      <c r="K444" s="13"/>
      <c r="N444" s="8"/>
      <c r="O444" s="12"/>
      <c r="P444" s="11"/>
    </row>
    <row r="445" spans="1:16" ht="24" hidden="1" customHeight="1" x14ac:dyDescent="0.3">
      <c r="A445" s="9">
        <v>44187</v>
      </c>
      <c r="B445" s="63" t="s">
        <v>1230</v>
      </c>
      <c r="C445" s="7">
        <v>500000</v>
      </c>
      <c r="D445" s="7"/>
      <c r="E445" s="7">
        <v>500000</v>
      </c>
      <c r="F445" s="7">
        <v>-25384693.530000001</v>
      </c>
      <c r="G445" s="10"/>
      <c r="H445" s="10"/>
      <c r="I445" s="7">
        <f>IF(FINANCIACION[[#This Row],[$ CAPITAL]]&gt;0,FINANCIACION[[#This Row],[$ CAPITAL]])</f>
        <v>500000</v>
      </c>
      <c r="J445" s="41">
        <f>IF(FINANCIACION[[#This Row],[$ CAPITAL]]&gt;=0,FINANCIACION[[#This Row],[$ CAPITAL]]+FINANCIACION[[#This Row],[$ INTERESES]],0)</f>
        <v>500000</v>
      </c>
      <c r="K445" s="13"/>
      <c r="N445" s="8"/>
      <c r="O445" s="12"/>
      <c r="P445" s="11"/>
    </row>
    <row r="446" spans="1:16" ht="24" hidden="1" customHeight="1" x14ac:dyDescent="0.3">
      <c r="A446" s="9">
        <v>44187</v>
      </c>
      <c r="B446" s="63" t="s">
        <v>1232</v>
      </c>
      <c r="C446" s="7">
        <v>500000</v>
      </c>
      <c r="D446" s="7"/>
      <c r="E446" s="7">
        <v>500000</v>
      </c>
      <c r="F446" s="7">
        <v>-26621357.289999999</v>
      </c>
      <c r="G446" s="10"/>
      <c r="H446" s="10"/>
      <c r="I446" s="7">
        <f>IF(FINANCIACION[[#This Row],[$ CAPITAL]]&gt;0,FINANCIACION[[#This Row],[$ CAPITAL]])</f>
        <v>500000</v>
      </c>
      <c r="J446" s="41">
        <f>IF(FINANCIACION[[#This Row],[$ CAPITAL]]&gt;=0,FINANCIACION[[#This Row],[$ CAPITAL]]+FINANCIACION[[#This Row],[$ INTERESES]],0)</f>
        <v>500000</v>
      </c>
      <c r="K446" s="13"/>
      <c r="N446" s="8"/>
      <c r="O446" s="12"/>
      <c r="P446" s="11"/>
    </row>
    <row r="447" spans="1:16" ht="24" hidden="1" customHeight="1" x14ac:dyDescent="0.3">
      <c r="A447" s="9">
        <v>44189</v>
      </c>
      <c r="B447" s="63" t="s">
        <v>1225</v>
      </c>
      <c r="C447" s="7"/>
      <c r="D447" s="7">
        <v>75000</v>
      </c>
      <c r="E447" s="7">
        <v>75000</v>
      </c>
      <c r="F447" s="7">
        <v>-54435225.820000038</v>
      </c>
      <c r="G447" s="10"/>
      <c r="H447" s="10"/>
      <c r="I447" s="7" t="b">
        <f>IF(FINANCIACION[[#This Row],[$ CAPITAL]]&gt;0,FINANCIACION[[#This Row],[$ CAPITAL]])</f>
        <v>0</v>
      </c>
      <c r="J447" s="41">
        <f>IF(FINANCIACION[[#This Row],[$ CAPITAL]]&gt;=0,FINANCIACION[[#This Row],[$ CAPITAL]]+FINANCIACION[[#This Row],[$ INTERESES]],0)</f>
        <v>75000</v>
      </c>
      <c r="K447" s="13"/>
      <c r="N447" s="8"/>
      <c r="O447" s="12"/>
      <c r="P447" s="11"/>
    </row>
    <row r="448" spans="1:16" ht="24" hidden="1" customHeight="1" x14ac:dyDescent="0.3">
      <c r="A448" s="9">
        <v>44189</v>
      </c>
      <c r="B448" s="63" t="s">
        <v>1225</v>
      </c>
      <c r="C448" s="7">
        <v>500000</v>
      </c>
      <c r="D448" s="7"/>
      <c r="E448" s="7">
        <v>500000</v>
      </c>
      <c r="F448" s="7">
        <v>-54435225.820000038</v>
      </c>
      <c r="G448" s="10"/>
      <c r="H448" s="10"/>
      <c r="I448" s="7">
        <f>IF(FINANCIACION[[#This Row],[$ CAPITAL]]&gt;0,FINANCIACION[[#This Row],[$ CAPITAL]])</f>
        <v>500000</v>
      </c>
      <c r="J448" s="41">
        <f>IF(FINANCIACION[[#This Row],[$ CAPITAL]]&gt;=0,FINANCIACION[[#This Row],[$ CAPITAL]]+FINANCIACION[[#This Row],[$ INTERESES]],0)</f>
        <v>500000</v>
      </c>
      <c r="K448" s="13"/>
      <c r="N448" s="8"/>
      <c r="O448" s="12"/>
      <c r="P448" s="11"/>
    </row>
    <row r="449" spans="1:16" ht="24" hidden="1" customHeight="1" x14ac:dyDescent="0.3">
      <c r="A449" s="9">
        <v>44189</v>
      </c>
      <c r="B449" s="63" t="s">
        <v>1225</v>
      </c>
      <c r="C449" s="7">
        <v>3402510</v>
      </c>
      <c r="D449" s="7"/>
      <c r="E449" s="7">
        <v>3402510</v>
      </c>
      <c r="F449" s="7">
        <v>-54435225.820000038</v>
      </c>
      <c r="G449" s="10"/>
      <c r="H449" s="10"/>
      <c r="I449" s="7">
        <f>IF(FINANCIACION[[#This Row],[$ CAPITAL]]&gt;0,FINANCIACION[[#This Row],[$ CAPITAL]])</f>
        <v>3402510</v>
      </c>
      <c r="J449" s="41">
        <f>IF(FINANCIACION[[#This Row],[$ CAPITAL]]&gt;=0,FINANCIACION[[#This Row],[$ CAPITAL]]+FINANCIACION[[#This Row],[$ INTERESES]],0)</f>
        <v>3402510</v>
      </c>
      <c r="K449" s="13"/>
      <c r="N449" s="8"/>
      <c r="O449" s="12"/>
      <c r="P449" s="11"/>
    </row>
    <row r="450" spans="1:16" ht="24" hidden="1" customHeight="1" x14ac:dyDescent="0.3">
      <c r="A450" s="9">
        <v>44189</v>
      </c>
      <c r="B450" s="63" t="s">
        <v>1225</v>
      </c>
      <c r="C450" s="7">
        <v>500000</v>
      </c>
      <c r="D450" s="7"/>
      <c r="E450" s="7">
        <v>500000</v>
      </c>
      <c r="F450" s="7">
        <v>-54435225.820000038</v>
      </c>
      <c r="G450" s="10"/>
      <c r="H450" s="10"/>
      <c r="I450" s="7">
        <f>IF(FINANCIACION[[#This Row],[$ CAPITAL]]&gt;0,FINANCIACION[[#This Row],[$ CAPITAL]])</f>
        <v>500000</v>
      </c>
      <c r="J450" s="41">
        <f>IF(FINANCIACION[[#This Row],[$ CAPITAL]]&gt;=0,FINANCIACION[[#This Row],[$ CAPITAL]]+FINANCIACION[[#This Row],[$ INTERESES]],0)</f>
        <v>500000</v>
      </c>
      <c r="K450" s="13"/>
      <c r="N450" s="8"/>
      <c r="O450" s="12"/>
      <c r="P450" s="11"/>
    </row>
    <row r="451" spans="1:16" ht="24" hidden="1" customHeight="1" x14ac:dyDescent="0.3">
      <c r="A451" s="9">
        <v>44191</v>
      </c>
      <c r="B451" s="63" t="s">
        <v>1227</v>
      </c>
      <c r="C451" s="7"/>
      <c r="D451" s="7">
        <v>6750000</v>
      </c>
      <c r="E451" s="7">
        <v>6750000</v>
      </c>
      <c r="F451" s="7">
        <v>-75000000</v>
      </c>
      <c r="G451" s="10"/>
      <c r="H451" s="10"/>
      <c r="I451" s="7" t="b">
        <f>IF(FINANCIACION[[#This Row],[$ CAPITAL]]&gt;0,FINANCIACION[[#This Row],[$ CAPITAL]])</f>
        <v>0</v>
      </c>
      <c r="J451" s="41">
        <f>IF(FINANCIACION[[#This Row],[$ CAPITAL]]&gt;=0,FINANCIACION[[#This Row],[$ CAPITAL]]+FINANCIACION[[#This Row],[$ INTERESES]],0)</f>
        <v>6750000</v>
      </c>
      <c r="K451" s="13"/>
      <c r="N451" s="8"/>
      <c r="O451" s="12"/>
      <c r="P451" s="11"/>
    </row>
    <row r="452" spans="1:16" ht="24" hidden="1" customHeight="1" x14ac:dyDescent="0.3">
      <c r="A452" s="9">
        <v>44193</v>
      </c>
      <c r="B452" s="63" t="s">
        <v>1225</v>
      </c>
      <c r="C452" s="7">
        <v>3493770</v>
      </c>
      <c r="D452" s="7"/>
      <c r="E452" s="7">
        <v>3493770</v>
      </c>
      <c r="F452" s="7">
        <v>-50390160.820000038</v>
      </c>
      <c r="G452" s="10"/>
      <c r="H452" s="10"/>
      <c r="I452" s="7">
        <f>IF(FINANCIACION[[#This Row],[$ CAPITAL]]&gt;0,FINANCIACION[[#This Row],[$ CAPITAL]])</f>
        <v>3493770</v>
      </c>
      <c r="J452" s="41">
        <f>IF(FINANCIACION[[#This Row],[$ CAPITAL]]&gt;=0,FINANCIACION[[#This Row],[$ CAPITAL]]+FINANCIACION[[#This Row],[$ INTERESES]],0)</f>
        <v>3493770</v>
      </c>
      <c r="K452" s="13"/>
      <c r="N452" s="8"/>
      <c r="O452" s="12"/>
      <c r="P452" s="11"/>
    </row>
    <row r="453" spans="1:16" ht="24" hidden="1" customHeight="1" x14ac:dyDescent="0.3">
      <c r="A453" s="9">
        <v>44193</v>
      </c>
      <c r="B453" s="63" t="s">
        <v>1225</v>
      </c>
      <c r="C453" s="7">
        <v>551295</v>
      </c>
      <c r="D453" s="7"/>
      <c r="E453" s="7">
        <v>551295</v>
      </c>
      <c r="F453" s="7">
        <v>-50390160.820000038</v>
      </c>
      <c r="G453" s="10"/>
      <c r="H453" s="10"/>
      <c r="I453" s="7">
        <f>IF(FINANCIACION[[#This Row],[$ CAPITAL]]&gt;0,FINANCIACION[[#This Row],[$ CAPITAL]])</f>
        <v>551295</v>
      </c>
      <c r="J453" s="41">
        <f>IF(FINANCIACION[[#This Row],[$ CAPITAL]]&gt;=0,FINANCIACION[[#This Row],[$ CAPITAL]]+FINANCIACION[[#This Row],[$ INTERESES]],0)</f>
        <v>551295</v>
      </c>
      <c r="K453" s="13"/>
      <c r="N453" s="8"/>
      <c r="O453" s="12"/>
      <c r="P453" s="11"/>
    </row>
    <row r="454" spans="1:16" ht="24" hidden="1" customHeight="1" x14ac:dyDescent="0.3">
      <c r="A454" s="9">
        <v>44194</v>
      </c>
      <c r="B454" s="63" t="s">
        <v>1225</v>
      </c>
      <c r="C454" s="7">
        <v>3495390</v>
      </c>
      <c r="D454" s="7"/>
      <c r="E454" s="7">
        <v>3495390</v>
      </c>
      <c r="F454" s="7">
        <v>-46894770.820000038</v>
      </c>
      <c r="G454" s="10"/>
      <c r="H454" s="10"/>
      <c r="I454" s="7">
        <f>IF(FINANCIACION[[#This Row],[$ CAPITAL]]&gt;0,FINANCIACION[[#This Row],[$ CAPITAL]])</f>
        <v>3495390</v>
      </c>
      <c r="J454" s="41">
        <f>IF(FINANCIACION[[#This Row],[$ CAPITAL]]&gt;=0,FINANCIACION[[#This Row],[$ CAPITAL]]+FINANCIACION[[#This Row],[$ INTERESES]],0)</f>
        <v>3495390</v>
      </c>
      <c r="K454" s="13"/>
      <c r="N454" s="8"/>
      <c r="O454" s="12"/>
      <c r="P454" s="11"/>
    </row>
    <row r="455" spans="1:16" ht="24" hidden="1" customHeight="1" x14ac:dyDescent="0.3">
      <c r="A455" s="9">
        <v>44195</v>
      </c>
      <c r="B455" s="63" t="s">
        <v>1225</v>
      </c>
      <c r="C455" s="7">
        <v>1117500</v>
      </c>
      <c r="D455" s="7"/>
      <c r="E455" s="7">
        <v>1117500</v>
      </c>
      <c r="F455" s="7">
        <v>-38813070.820000038</v>
      </c>
      <c r="G455" s="10"/>
      <c r="H455" s="10"/>
      <c r="I455" s="7">
        <f>IF(FINANCIACION[[#This Row],[$ CAPITAL]]&gt;0,FINANCIACION[[#This Row],[$ CAPITAL]])</f>
        <v>1117500</v>
      </c>
      <c r="J455" s="41">
        <f>IF(FINANCIACION[[#This Row],[$ CAPITAL]]&gt;=0,FINANCIACION[[#This Row],[$ CAPITAL]]+FINANCIACION[[#This Row],[$ INTERESES]],0)</f>
        <v>1117500</v>
      </c>
      <c r="K455" s="13"/>
      <c r="N455" s="8"/>
      <c r="O455" s="12"/>
      <c r="P455" s="11"/>
    </row>
    <row r="456" spans="1:16" ht="24" hidden="1" customHeight="1" x14ac:dyDescent="0.3">
      <c r="A456" s="9">
        <v>44195</v>
      </c>
      <c r="B456" s="63" t="s">
        <v>1225</v>
      </c>
      <c r="C456" s="7">
        <v>6964200</v>
      </c>
      <c r="D456" s="7"/>
      <c r="E456" s="7">
        <v>6964200</v>
      </c>
      <c r="F456" s="7">
        <v>-38813070.820000038</v>
      </c>
      <c r="G456" s="10"/>
      <c r="H456" s="10"/>
      <c r="I456" s="7">
        <f>IF(FINANCIACION[[#This Row],[$ CAPITAL]]&gt;0,FINANCIACION[[#This Row],[$ CAPITAL]])</f>
        <v>6964200</v>
      </c>
      <c r="J456" s="41">
        <f>IF(FINANCIACION[[#This Row],[$ CAPITAL]]&gt;=0,FINANCIACION[[#This Row],[$ CAPITAL]]+FINANCIACION[[#This Row],[$ INTERESES]],0)</f>
        <v>6964200</v>
      </c>
      <c r="K456" s="13"/>
      <c r="N456" s="8"/>
      <c r="O456" s="12"/>
      <c r="P456" s="11"/>
    </row>
    <row r="457" spans="1:16" ht="24" hidden="1" customHeight="1" x14ac:dyDescent="0.3">
      <c r="A457" s="9">
        <v>44196</v>
      </c>
      <c r="B457" s="63" t="s">
        <v>1223</v>
      </c>
      <c r="C457" s="7">
        <v>-2349404.9287070036</v>
      </c>
      <c r="D457" s="7"/>
      <c r="E457" s="7" t="s">
        <v>146</v>
      </c>
      <c r="F457" s="7">
        <v>-66965431.858707003</v>
      </c>
      <c r="G457" s="10" t="s">
        <v>243</v>
      </c>
      <c r="H457" s="10"/>
      <c r="I457" s="7" t="b">
        <f>IF(FINANCIACION[[#This Row],[$ CAPITAL]]&gt;0,FINANCIACION[[#This Row],[$ CAPITAL]])</f>
        <v>0</v>
      </c>
      <c r="J457" s="41">
        <f>IF(FINANCIACION[[#This Row],[$ CAPITAL]]&gt;=0,FINANCIACION[[#This Row],[$ CAPITAL]]+FINANCIACION[[#This Row],[$ INTERESES]],0)</f>
        <v>0</v>
      </c>
      <c r="K457" s="13"/>
      <c r="N457" s="8"/>
      <c r="O457" s="12"/>
      <c r="P457" s="11"/>
    </row>
    <row r="458" spans="1:16" ht="24" hidden="1" customHeight="1" x14ac:dyDescent="0.3">
      <c r="A458" s="9">
        <v>44196</v>
      </c>
      <c r="B458" s="63" t="s">
        <v>195</v>
      </c>
      <c r="C458" s="7"/>
      <c r="D458" s="7">
        <v>76791</v>
      </c>
      <c r="E458" s="7">
        <v>76791</v>
      </c>
      <c r="F458" s="7">
        <v>-54330833</v>
      </c>
      <c r="G458" s="10"/>
      <c r="H458" s="10"/>
      <c r="I458" s="7" t="b">
        <f>IF(FINANCIACION[[#This Row],[$ CAPITAL]]&gt;0,FINANCIACION[[#This Row],[$ CAPITAL]])</f>
        <v>0</v>
      </c>
      <c r="J458" s="41">
        <f>IF(FINANCIACION[[#This Row],[$ CAPITAL]]&gt;=0,FINANCIACION[[#This Row],[$ CAPITAL]]+FINANCIACION[[#This Row],[$ INTERESES]],0)</f>
        <v>76791</v>
      </c>
      <c r="K458" s="13"/>
      <c r="N458" s="8"/>
      <c r="O458" s="12"/>
      <c r="P458" s="11"/>
    </row>
    <row r="459" spans="1:16" ht="24" hidden="1" customHeight="1" x14ac:dyDescent="0.3">
      <c r="A459" s="9">
        <v>44196</v>
      </c>
      <c r="B459" s="63" t="s">
        <v>196</v>
      </c>
      <c r="C459" s="7"/>
      <c r="D459" s="7">
        <v>513600</v>
      </c>
      <c r="E459" s="7">
        <v>513600</v>
      </c>
      <c r="F459" s="7">
        <v>-3071640</v>
      </c>
      <c r="G459" s="10"/>
      <c r="H459" s="10"/>
      <c r="I459" s="7" t="b">
        <f>IF(FINANCIACION[[#This Row],[$ CAPITAL]]&gt;0,FINANCIACION[[#This Row],[$ CAPITAL]])</f>
        <v>0</v>
      </c>
      <c r="J459" s="41">
        <f>IF(FINANCIACION[[#This Row],[$ CAPITAL]]&gt;=0,FINANCIACION[[#This Row],[$ CAPITAL]]+FINANCIACION[[#This Row],[$ INTERESES]],0)</f>
        <v>513600</v>
      </c>
      <c r="K459" s="13"/>
      <c r="N459" s="8"/>
      <c r="O459" s="12"/>
      <c r="P459" s="11"/>
    </row>
    <row r="460" spans="1:16" ht="24" hidden="1" customHeight="1" x14ac:dyDescent="0.3">
      <c r="A460" s="9">
        <v>44196</v>
      </c>
      <c r="B460" s="63" t="s">
        <v>1224</v>
      </c>
      <c r="C460" s="7">
        <v>36112485</v>
      </c>
      <c r="D460" s="7"/>
      <c r="E460" s="7">
        <v>36112485</v>
      </c>
      <c r="F460" s="7">
        <v>-349958312</v>
      </c>
      <c r="G460" s="10" t="s">
        <v>479</v>
      </c>
      <c r="H460" s="10"/>
      <c r="I460" s="7">
        <f>IF(FINANCIACION[[#This Row],[$ CAPITAL]]&gt;0,FINANCIACION[[#This Row],[$ CAPITAL]])</f>
        <v>36112485</v>
      </c>
      <c r="J460" s="41">
        <f>IF(FINANCIACION[[#This Row],[$ CAPITAL]]&gt;=0,FINANCIACION[[#This Row],[$ CAPITAL]]+FINANCIACION[[#This Row],[$ INTERESES]],0)</f>
        <v>36112485</v>
      </c>
      <c r="K460" s="13"/>
      <c r="N460" s="8"/>
      <c r="O460" s="12"/>
      <c r="P460" s="11"/>
    </row>
    <row r="461" spans="1:16" ht="24" hidden="1" customHeight="1" x14ac:dyDescent="0.3">
      <c r="A461" s="9">
        <v>44196</v>
      </c>
      <c r="B461" s="63" t="s">
        <v>1224</v>
      </c>
      <c r="C461" s="7">
        <v>5709486</v>
      </c>
      <c r="D461" s="7"/>
      <c r="E461" s="7">
        <v>5709486</v>
      </c>
      <c r="F461" s="7">
        <v>-349958312</v>
      </c>
      <c r="G461" s="10"/>
      <c r="H461" s="10"/>
      <c r="I461" s="7">
        <f>IF(FINANCIACION[[#This Row],[$ CAPITAL]]&gt;0,FINANCIACION[[#This Row],[$ CAPITAL]])</f>
        <v>5709486</v>
      </c>
      <c r="J461" s="41">
        <f>IF(FINANCIACION[[#This Row],[$ CAPITAL]]&gt;=0,FINANCIACION[[#This Row],[$ CAPITAL]]+FINANCIACION[[#This Row],[$ INTERESES]],0)</f>
        <v>5709486</v>
      </c>
      <c r="K461" s="13"/>
      <c r="N461" s="8"/>
      <c r="O461" s="12"/>
      <c r="P461" s="11"/>
    </row>
    <row r="462" spans="1:16" ht="24" hidden="1" customHeight="1" x14ac:dyDescent="0.3">
      <c r="A462" s="9">
        <v>44196</v>
      </c>
      <c r="B462" s="63" t="s">
        <v>1225</v>
      </c>
      <c r="C462" s="7">
        <v>-289141.33000000566</v>
      </c>
      <c r="D462" s="7"/>
      <c r="E462" s="7" t="s">
        <v>146</v>
      </c>
      <c r="F462" s="7">
        <v>-63507571.150000036</v>
      </c>
      <c r="G462" s="10"/>
      <c r="H462" s="10"/>
      <c r="I462" s="7" t="b">
        <f>IF(FINANCIACION[[#This Row],[$ CAPITAL]]&gt;0,FINANCIACION[[#This Row],[$ CAPITAL]])</f>
        <v>0</v>
      </c>
      <c r="J462" s="41">
        <f>IF(FINANCIACION[[#This Row],[$ CAPITAL]]&gt;=0,FINANCIACION[[#This Row],[$ CAPITAL]]+FINANCIACION[[#This Row],[$ INTERESES]],0)</f>
        <v>0</v>
      </c>
      <c r="K462" s="13"/>
      <c r="N462" s="8"/>
      <c r="O462" s="12"/>
      <c r="P462" s="11"/>
    </row>
    <row r="463" spans="1:16" ht="24" hidden="1" customHeight="1" x14ac:dyDescent="0.3">
      <c r="A463" s="9">
        <v>44196</v>
      </c>
      <c r="B463" s="63" t="s">
        <v>1225</v>
      </c>
      <c r="C463" s="7">
        <v>-3811270.9999999995</v>
      </c>
      <c r="D463" s="7"/>
      <c r="E463" s="7" t="s">
        <v>146</v>
      </c>
      <c r="F463" s="7">
        <v>-63507571.150000036</v>
      </c>
      <c r="G463" s="10"/>
      <c r="H463" s="10"/>
      <c r="I463" s="7" t="b">
        <f>IF(FINANCIACION[[#This Row],[$ CAPITAL]]&gt;0,FINANCIACION[[#This Row],[$ CAPITAL]])</f>
        <v>0</v>
      </c>
      <c r="J463" s="41">
        <f>IF(FINANCIACION[[#This Row],[$ CAPITAL]]&gt;=0,FINANCIACION[[#This Row],[$ CAPITAL]]+FINANCIACION[[#This Row],[$ INTERESES]],0)</f>
        <v>0</v>
      </c>
      <c r="K463" s="13"/>
      <c r="N463" s="8"/>
      <c r="O463" s="12"/>
      <c r="P463" s="11"/>
    </row>
    <row r="464" spans="1:16" ht="24" hidden="1" customHeight="1" x14ac:dyDescent="0.3">
      <c r="A464" s="9">
        <v>44196</v>
      </c>
      <c r="B464" s="63" t="s">
        <v>1225</v>
      </c>
      <c r="C464" s="7">
        <v>-15366659.999999993</v>
      </c>
      <c r="D464" s="7"/>
      <c r="E464" s="7" t="s">
        <v>146</v>
      </c>
      <c r="F464" s="7">
        <v>-63507571.150000036</v>
      </c>
      <c r="G464" s="10"/>
      <c r="H464" s="10"/>
      <c r="I464" s="7" t="b">
        <f>IF(FINANCIACION[[#This Row],[$ CAPITAL]]&gt;0,FINANCIACION[[#This Row],[$ CAPITAL]])</f>
        <v>0</v>
      </c>
      <c r="J464" s="41">
        <f>IF(FINANCIACION[[#This Row],[$ CAPITAL]]&gt;=0,FINANCIACION[[#This Row],[$ CAPITAL]]+FINANCIACION[[#This Row],[$ INTERESES]],0)</f>
        <v>0</v>
      </c>
      <c r="K464" s="13"/>
      <c r="N464" s="8"/>
      <c r="O464" s="12"/>
      <c r="P464" s="11"/>
    </row>
    <row r="465" spans="1:16" ht="24" hidden="1" customHeight="1" x14ac:dyDescent="0.3">
      <c r="A465" s="9">
        <v>44196</v>
      </c>
      <c r="B465" s="63" t="s">
        <v>1225</v>
      </c>
      <c r="C465" s="7">
        <v>-5227428</v>
      </c>
      <c r="D465" s="7"/>
      <c r="E465" s="7" t="s">
        <v>146</v>
      </c>
      <c r="F465" s="7">
        <v>-63507571.150000036</v>
      </c>
      <c r="G465" s="10"/>
      <c r="H465" s="10"/>
      <c r="I465" s="7" t="b">
        <f>IF(FINANCIACION[[#This Row],[$ CAPITAL]]&gt;0,FINANCIACION[[#This Row],[$ CAPITAL]])</f>
        <v>0</v>
      </c>
      <c r="J465" s="41">
        <f>IF(FINANCIACION[[#This Row],[$ CAPITAL]]&gt;=0,FINANCIACION[[#This Row],[$ CAPITAL]]+FINANCIACION[[#This Row],[$ INTERESES]],0)</f>
        <v>0</v>
      </c>
      <c r="K465" s="13"/>
      <c r="N465" s="8"/>
      <c r="O465" s="12"/>
      <c r="P465" s="11"/>
    </row>
    <row r="466" spans="1:16" ht="24" hidden="1" customHeight="1" x14ac:dyDescent="0.3">
      <c r="A466" s="9">
        <v>44196</v>
      </c>
      <c r="B466" s="63" t="s">
        <v>1228</v>
      </c>
      <c r="C466" s="7">
        <v>-512809.30999999493</v>
      </c>
      <c r="D466" s="7"/>
      <c r="E466" s="7" t="s">
        <v>146</v>
      </c>
      <c r="F466" s="7">
        <v>-65865540.649999999</v>
      </c>
      <c r="G466" s="10"/>
      <c r="H466" s="10"/>
      <c r="I466" s="7" t="b">
        <f>IF(FINANCIACION[[#This Row],[$ CAPITAL]]&gt;0,FINANCIACION[[#This Row],[$ CAPITAL]])</f>
        <v>0</v>
      </c>
      <c r="J466" s="41">
        <f>IF(FINANCIACION[[#This Row],[$ CAPITAL]]&gt;=0,FINANCIACION[[#This Row],[$ CAPITAL]]+FINANCIACION[[#This Row],[$ INTERESES]],0)</f>
        <v>0</v>
      </c>
      <c r="K466" s="13"/>
      <c r="N466" s="8"/>
      <c r="O466" s="12"/>
      <c r="P466" s="11"/>
    </row>
    <row r="467" spans="1:16" ht="24" hidden="1" customHeight="1" x14ac:dyDescent="0.3">
      <c r="A467" s="9">
        <v>44196</v>
      </c>
      <c r="B467" s="63" t="s">
        <v>1229</v>
      </c>
      <c r="C467" s="7">
        <v>-827891.71999999881</v>
      </c>
      <c r="D467" s="7"/>
      <c r="E467" s="7" t="s">
        <v>146</v>
      </c>
      <c r="F467" s="7">
        <v>-94944546.189999998</v>
      </c>
      <c r="G467" s="10"/>
      <c r="H467" s="10"/>
      <c r="I467" s="7" t="b">
        <f>IF(FINANCIACION[[#This Row],[$ CAPITAL]]&gt;0,FINANCIACION[[#This Row],[$ CAPITAL]])</f>
        <v>0</v>
      </c>
      <c r="J467" s="41">
        <f>IF(FINANCIACION[[#This Row],[$ CAPITAL]]&gt;=0,FINANCIACION[[#This Row],[$ CAPITAL]]+FINANCIACION[[#This Row],[$ INTERESES]],0)</f>
        <v>0</v>
      </c>
      <c r="K467" s="13"/>
      <c r="N467" s="8"/>
      <c r="O467" s="12"/>
      <c r="P467" s="11"/>
    </row>
    <row r="468" spans="1:16" ht="24" hidden="1" customHeight="1" x14ac:dyDescent="0.3">
      <c r="A468" s="9">
        <v>44196</v>
      </c>
      <c r="B468" s="63" t="s">
        <v>1230</v>
      </c>
      <c r="C468" s="7">
        <v>-198009.68999999799</v>
      </c>
      <c r="D468" s="7"/>
      <c r="E468" s="7" t="s">
        <v>146</v>
      </c>
      <c r="F468" s="7">
        <v>-25582703.219999999</v>
      </c>
      <c r="G468" s="10"/>
      <c r="H468" s="10"/>
      <c r="I468" s="7" t="b">
        <f>IF(FINANCIACION[[#This Row],[$ CAPITAL]]&gt;0,FINANCIACION[[#This Row],[$ CAPITAL]])</f>
        <v>0</v>
      </c>
      <c r="J468" s="41">
        <f>IF(FINANCIACION[[#This Row],[$ CAPITAL]]&gt;=0,FINANCIACION[[#This Row],[$ CAPITAL]]+FINANCIACION[[#This Row],[$ INTERESES]],0)</f>
        <v>0</v>
      </c>
      <c r="K468" s="13"/>
      <c r="N468" s="8"/>
      <c r="O468" s="12"/>
      <c r="P468" s="11"/>
    </row>
    <row r="469" spans="1:16" ht="24" hidden="1" customHeight="1" x14ac:dyDescent="0.3">
      <c r="A469" s="9">
        <v>44196</v>
      </c>
      <c r="B469" s="63" t="s">
        <v>1232</v>
      </c>
      <c r="C469" s="7">
        <v>-189250.28999999899</v>
      </c>
      <c r="D469" s="7"/>
      <c r="E469" s="7" t="s">
        <v>146</v>
      </c>
      <c r="F469" s="7">
        <v>-26810607.579999998</v>
      </c>
      <c r="G469" s="10"/>
      <c r="H469" s="10"/>
      <c r="I469" s="7" t="b">
        <f>IF(FINANCIACION[[#This Row],[$ CAPITAL]]&gt;0,FINANCIACION[[#This Row],[$ CAPITAL]])</f>
        <v>0</v>
      </c>
      <c r="J469" s="41">
        <f>IF(FINANCIACION[[#This Row],[$ CAPITAL]]&gt;=0,FINANCIACION[[#This Row],[$ CAPITAL]]+FINANCIACION[[#This Row],[$ INTERESES]],0)</f>
        <v>0</v>
      </c>
      <c r="K469" s="13"/>
      <c r="N469" s="8"/>
      <c r="O469" s="12"/>
      <c r="P469" s="11"/>
    </row>
    <row r="470" spans="1:16" ht="24" hidden="1" customHeight="1" x14ac:dyDescent="0.3">
      <c r="A470" s="9">
        <v>44197</v>
      </c>
      <c r="B470" s="63" t="s">
        <v>1233</v>
      </c>
      <c r="C470" s="7">
        <v>-13000000</v>
      </c>
      <c r="D470" s="7"/>
      <c r="E470" s="7" t="s">
        <v>146</v>
      </c>
      <c r="F470" s="7">
        <v>-13000000</v>
      </c>
      <c r="G470" s="10"/>
      <c r="H470" s="10"/>
      <c r="I470" s="7" t="b">
        <f>IF(FINANCIACION[[#This Row],[$ CAPITAL]]&gt;0,FINANCIACION[[#This Row],[$ CAPITAL]])</f>
        <v>0</v>
      </c>
      <c r="J470" s="41">
        <f>IF(FINANCIACION[[#This Row],[$ CAPITAL]]&gt;=0,FINANCIACION[[#This Row],[$ CAPITAL]]+FINANCIACION[[#This Row],[$ INTERESES]],0)</f>
        <v>0</v>
      </c>
      <c r="K470" s="13"/>
      <c r="N470" s="8"/>
      <c r="O470" s="12"/>
      <c r="P470" s="11"/>
    </row>
    <row r="471" spans="1:16" ht="24" hidden="1" customHeight="1" x14ac:dyDescent="0.3">
      <c r="A471" s="9">
        <v>44200</v>
      </c>
      <c r="B471" s="63" t="s">
        <v>1225</v>
      </c>
      <c r="C471" s="7">
        <v>990094.53</v>
      </c>
      <c r="D471" s="7">
        <v>157302.41999999993</v>
      </c>
      <c r="E471" s="7">
        <v>1147396.95</v>
      </c>
      <c r="F471" s="7">
        <v>-62517476.620000035</v>
      </c>
      <c r="G471" s="10"/>
      <c r="H471" s="10"/>
      <c r="I471" s="7">
        <f>IF(FINANCIACION[[#This Row],[$ CAPITAL]]&gt;0,FINANCIACION[[#This Row],[$ CAPITAL]])</f>
        <v>990094.53</v>
      </c>
      <c r="J471" s="41">
        <f>IF(FINANCIACION[[#This Row],[$ CAPITAL]]&gt;=0,FINANCIACION[[#This Row],[$ CAPITAL]]+FINANCIACION[[#This Row],[$ INTERESES]],0)</f>
        <v>1147396.95</v>
      </c>
      <c r="K471" s="13"/>
      <c r="N471" s="8"/>
      <c r="O471" s="12"/>
      <c r="P471" s="11"/>
    </row>
    <row r="472" spans="1:16" ht="24" hidden="1" customHeight="1" x14ac:dyDescent="0.3">
      <c r="A472" s="9">
        <v>44202</v>
      </c>
      <c r="B472" s="63" t="s">
        <v>199</v>
      </c>
      <c r="C472" s="7">
        <v>6326000</v>
      </c>
      <c r="D472" s="7">
        <v>616570.43999999994</v>
      </c>
      <c r="E472" s="7">
        <v>6942570.4399999995</v>
      </c>
      <c r="F472" s="7">
        <v>-85669126</v>
      </c>
      <c r="G472" s="10"/>
      <c r="H472" s="10"/>
      <c r="I472" s="7">
        <f>IF(FINANCIACION[[#This Row],[$ CAPITAL]]&gt;0,FINANCIACION[[#This Row],[$ CAPITAL]])</f>
        <v>6326000</v>
      </c>
      <c r="J472" s="41">
        <f>IF(FINANCIACION[[#This Row],[$ CAPITAL]]&gt;=0,FINANCIACION[[#This Row],[$ CAPITAL]]+FINANCIACION[[#This Row],[$ INTERESES]],0)</f>
        <v>6942570.4399999995</v>
      </c>
      <c r="K472" s="13"/>
      <c r="N472" s="8"/>
      <c r="O472" s="12"/>
      <c r="P472" s="11"/>
    </row>
    <row r="473" spans="1:16" ht="24" hidden="1" customHeight="1" x14ac:dyDescent="0.3">
      <c r="A473" s="9">
        <v>44204</v>
      </c>
      <c r="B473" s="63" t="s">
        <v>1222</v>
      </c>
      <c r="C473" s="7">
        <v>1672275.5133</v>
      </c>
      <c r="D473" s="7">
        <v>893624.48670000001</v>
      </c>
      <c r="E473" s="7">
        <v>2565900</v>
      </c>
      <c r="F473" s="7">
        <v>-87690173.1567</v>
      </c>
      <c r="G473" s="10"/>
      <c r="H473" s="10"/>
      <c r="I473" s="7">
        <f>IF(FINANCIACION[[#This Row],[$ CAPITAL]]&gt;0,FINANCIACION[[#This Row],[$ CAPITAL]])</f>
        <v>1672275.5133</v>
      </c>
      <c r="J473" s="41">
        <f>IF(FINANCIACION[[#This Row],[$ CAPITAL]]&gt;=0,FINANCIACION[[#This Row],[$ CAPITAL]]+FINANCIACION[[#This Row],[$ INTERESES]],0)</f>
        <v>2565900</v>
      </c>
      <c r="K473" s="13"/>
      <c r="N473" s="8"/>
      <c r="O473" s="12"/>
      <c r="P473" s="11"/>
    </row>
    <row r="474" spans="1:16" ht="24" hidden="1" customHeight="1" x14ac:dyDescent="0.3">
      <c r="A474" s="9">
        <v>44208</v>
      </c>
      <c r="B474" s="63" t="s">
        <v>1226</v>
      </c>
      <c r="C474" s="7">
        <v>875755.85</v>
      </c>
      <c r="D474" s="7">
        <v>124244.15000000001</v>
      </c>
      <c r="E474" s="7">
        <v>1000000</v>
      </c>
      <c r="F474" s="7">
        <v>-11548659.15</v>
      </c>
      <c r="G474" s="10"/>
      <c r="H474" s="10"/>
      <c r="I474" s="7">
        <f>IF(FINANCIACION[[#This Row],[$ CAPITAL]]&gt;0,FINANCIACION[[#This Row],[$ CAPITAL]])</f>
        <v>875755.85</v>
      </c>
      <c r="J474" s="41">
        <f>IF(FINANCIACION[[#This Row],[$ CAPITAL]]&gt;=0,FINANCIACION[[#This Row],[$ CAPITAL]]+FINANCIACION[[#This Row],[$ INTERESES]],0)</f>
        <v>1000000</v>
      </c>
      <c r="K474" s="13"/>
      <c r="N474" s="8"/>
      <c r="O474" s="12"/>
      <c r="P474" s="11"/>
    </row>
    <row r="475" spans="1:16" ht="24" hidden="1" customHeight="1" x14ac:dyDescent="0.3">
      <c r="A475" s="9">
        <v>44208</v>
      </c>
      <c r="B475" s="63" t="s">
        <v>1223</v>
      </c>
      <c r="C475" s="7">
        <v>553839.73069999996</v>
      </c>
      <c r="D475" s="7">
        <v>646160.26930000004</v>
      </c>
      <c r="E475" s="7">
        <v>1200000</v>
      </c>
      <c r="F475" s="7">
        <v>-66411592.128007002</v>
      </c>
      <c r="G475" s="10"/>
      <c r="H475" s="10"/>
      <c r="I475" s="7">
        <f>IF(FINANCIACION[[#This Row],[$ CAPITAL]]&gt;0,FINANCIACION[[#This Row],[$ CAPITAL]])</f>
        <v>553839.73069999996</v>
      </c>
      <c r="J475" s="41">
        <f>IF(FINANCIACION[[#This Row],[$ CAPITAL]]&gt;=0,FINANCIACION[[#This Row],[$ CAPITAL]]+FINANCIACION[[#This Row],[$ INTERESES]],0)</f>
        <v>1200000</v>
      </c>
      <c r="K475" s="13"/>
      <c r="N475" s="8"/>
      <c r="O475" s="12"/>
      <c r="P475" s="11"/>
    </row>
    <row r="476" spans="1:16" ht="24" hidden="1" customHeight="1" x14ac:dyDescent="0.3">
      <c r="A476" s="9">
        <v>44208</v>
      </c>
      <c r="B476" s="63" t="s">
        <v>1225</v>
      </c>
      <c r="C476" s="7"/>
      <c r="D476" s="7">
        <v>130000</v>
      </c>
      <c r="E476" s="7">
        <v>130000</v>
      </c>
      <c r="F476" s="7">
        <v>-60474043.620000035</v>
      </c>
      <c r="G476" s="10"/>
      <c r="H476" s="10"/>
      <c r="I476" s="7" t="b">
        <f>IF(FINANCIACION[[#This Row],[$ CAPITAL]]&gt;0,FINANCIACION[[#This Row],[$ CAPITAL]])</f>
        <v>0</v>
      </c>
      <c r="J476" s="41">
        <f>IF(FINANCIACION[[#This Row],[$ CAPITAL]]&gt;=0,FINANCIACION[[#This Row],[$ CAPITAL]]+FINANCIACION[[#This Row],[$ INTERESES]],0)</f>
        <v>130000</v>
      </c>
      <c r="K476" s="13"/>
      <c r="N476" s="8"/>
      <c r="O476" s="12"/>
      <c r="P476" s="11"/>
    </row>
    <row r="477" spans="1:16" ht="24" hidden="1" customHeight="1" x14ac:dyDescent="0.3">
      <c r="A477" s="9">
        <v>44208</v>
      </c>
      <c r="B477" s="63" t="s">
        <v>1225</v>
      </c>
      <c r="C477" s="7">
        <v>1043433</v>
      </c>
      <c r="D477" s="7"/>
      <c r="E477" s="7">
        <v>1043433</v>
      </c>
      <c r="F477" s="7">
        <v>-60474043.620000035</v>
      </c>
      <c r="G477" s="10"/>
      <c r="H477" s="10"/>
      <c r="I477" s="7">
        <f>IF(FINANCIACION[[#This Row],[$ CAPITAL]]&gt;0,FINANCIACION[[#This Row],[$ CAPITAL]])</f>
        <v>1043433</v>
      </c>
      <c r="J477" s="41">
        <f>IF(FINANCIACION[[#This Row],[$ CAPITAL]]&gt;=0,FINANCIACION[[#This Row],[$ CAPITAL]]+FINANCIACION[[#This Row],[$ INTERESES]],0)</f>
        <v>1043433</v>
      </c>
      <c r="K477" s="13"/>
      <c r="N477" s="8"/>
      <c r="O477" s="12"/>
      <c r="P477" s="11"/>
    </row>
    <row r="478" spans="1:16" ht="24" hidden="1" customHeight="1" x14ac:dyDescent="0.3">
      <c r="A478" s="9">
        <v>44208</v>
      </c>
      <c r="B478" s="63" t="s">
        <v>1225</v>
      </c>
      <c r="C478" s="7">
        <v>1000000</v>
      </c>
      <c r="D478" s="7"/>
      <c r="E478" s="7">
        <v>1000000</v>
      </c>
      <c r="F478" s="7">
        <v>-60474043.620000035</v>
      </c>
      <c r="G478" s="10"/>
      <c r="H478" s="10"/>
      <c r="I478" s="7">
        <f>IF(FINANCIACION[[#This Row],[$ CAPITAL]]&gt;0,FINANCIACION[[#This Row],[$ CAPITAL]])</f>
        <v>1000000</v>
      </c>
      <c r="J478" s="41">
        <f>IF(FINANCIACION[[#This Row],[$ CAPITAL]]&gt;=0,FINANCIACION[[#This Row],[$ CAPITAL]]+FINANCIACION[[#This Row],[$ INTERESES]],0)</f>
        <v>1000000</v>
      </c>
      <c r="K478" s="13"/>
      <c r="N478" s="8"/>
      <c r="O478" s="12"/>
      <c r="P478" s="11"/>
    </row>
    <row r="479" spans="1:16" ht="24" hidden="1" customHeight="1" x14ac:dyDescent="0.3">
      <c r="A479" s="9">
        <v>44212</v>
      </c>
      <c r="B479" s="63" t="s">
        <v>1225</v>
      </c>
      <c r="C479" s="7">
        <v>172</v>
      </c>
      <c r="D479" s="7"/>
      <c r="E479" s="7">
        <v>172</v>
      </c>
      <c r="F479" s="7">
        <v>-58432943.620000035</v>
      </c>
      <c r="G479" s="10"/>
      <c r="H479" s="10"/>
      <c r="I479" s="7">
        <f>IF(FINANCIACION[[#This Row],[$ CAPITAL]]&gt;0,FINANCIACION[[#This Row],[$ CAPITAL]])</f>
        <v>172</v>
      </c>
      <c r="J479" s="41">
        <f>IF(FINANCIACION[[#This Row],[$ CAPITAL]]&gt;=0,FINANCIACION[[#This Row],[$ CAPITAL]]+FINANCIACION[[#This Row],[$ INTERESES]],0)</f>
        <v>172</v>
      </c>
      <c r="K479" s="13"/>
      <c r="N479" s="8"/>
      <c r="O479" s="12"/>
      <c r="P479" s="11"/>
    </row>
    <row r="480" spans="1:16" ht="24" hidden="1" customHeight="1" x14ac:dyDescent="0.3">
      <c r="A480" s="9">
        <v>44212</v>
      </c>
      <c r="B480" s="63" t="s">
        <v>1225</v>
      </c>
      <c r="C480" s="7">
        <v>1040928.0000000001</v>
      </c>
      <c r="D480" s="7"/>
      <c r="E480" s="7">
        <v>1040928.0000000001</v>
      </c>
      <c r="F480" s="7">
        <v>-58432943.620000035</v>
      </c>
      <c r="G480" s="10"/>
      <c r="H480" s="10"/>
      <c r="I480" s="7">
        <f>IF(FINANCIACION[[#This Row],[$ CAPITAL]]&gt;0,FINANCIACION[[#This Row],[$ CAPITAL]])</f>
        <v>1040928.0000000001</v>
      </c>
      <c r="J480" s="41">
        <f>IF(FINANCIACION[[#This Row],[$ CAPITAL]]&gt;=0,FINANCIACION[[#This Row],[$ CAPITAL]]+FINANCIACION[[#This Row],[$ INTERESES]],0)</f>
        <v>1040928.0000000001</v>
      </c>
      <c r="K480" s="13"/>
      <c r="N480" s="8"/>
      <c r="O480" s="12"/>
      <c r="P480" s="11"/>
    </row>
    <row r="481" spans="1:16" ht="24" hidden="1" customHeight="1" x14ac:dyDescent="0.3">
      <c r="A481" s="9">
        <v>44212</v>
      </c>
      <c r="B481" s="63" t="s">
        <v>1225</v>
      </c>
      <c r="C481" s="7">
        <v>1000000</v>
      </c>
      <c r="D481" s="7"/>
      <c r="E481" s="7">
        <v>1000000</v>
      </c>
      <c r="F481" s="7">
        <v>-58432943.620000035</v>
      </c>
      <c r="G481" s="10"/>
      <c r="H481" s="10"/>
      <c r="I481" s="7">
        <f>IF(FINANCIACION[[#This Row],[$ CAPITAL]]&gt;0,FINANCIACION[[#This Row],[$ CAPITAL]])</f>
        <v>1000000</v>
      </c>
      <c r="J481" s="41">
        <f>IF(FINANCIACION[[#This Row],[$ CAPITAL]]&gt;=0,FINANCIACION[[#This Row],[$ CAPITAL]]+FINANCIACION[[#This Row],[$ INTERESES]],0)</f>
        <v>1000000</v>
      </c>
      <c r="K481" s="13"/>
      <c r="N481" s="8"/>
      <c r="O481" s="12"/>
      <c r="P481" s="11"/>
    </row>
    <row r="482" spans="1:16" ht="24" hidden="1" customHeight="1" x14ac:dyDescent="0.3">
      <c r="A482" s="9">
        <v>44226</v>
      </c>
      <c r="B482" s="63" t="s">
        <v>204</v>
      </c>
      <c r="C482" s="7">
        <v>-7016439</v>
      </c>
      <c r="D482" s="7"/>
      <c r="E482" s="7" t="s">
        <v>146</v>
      </c>
      <c r="F482" s="7">
        <v>-7016439</v>
      </c>
      <c r="G482" s="10" t="s">
        <v>233</v>
      </c>
      <c r="H482" s="10"/>
      <c r="I482" s="7" t="b">
        <f>IF(FINANCIACION[[#This Row],[$ CAPITAL]]&gt;0,FINANCIACION[[#This Row],[$ CAPITAL]])</f>
        <v>0</v>
      </c>
      <c r="J482" s="41">
        <f>IF(FINANCIACION[[#This Row],[$ CAPITAL]]&gt;=0,FINANCIACION[[#This Row],[$ CAPITAL]]+FINANCIACION[[#This Row],[$ INTERESES]],0)</f>
        <v>0</v>
      </c>
      <c r="K482" s="13"/>
      <c r="N482" s="8"/>
      <c r="O482" s="12"/>
      <c r="P482" s="11"/>
    </row>
    <row r="483" spans="1:16" ht="24" hidden="1" customHeight="1" x14ac:dyDescent="0.3">
      <c r="A483" s="9">
        <v>44228</v>
      </c>
      <c r="B483" s="63" t="s">
        <v>195</v>
      </c>
      <c r="C483" s="7"/>
      <c r="D483" s="7">
        <v>76791</v>
      </c>
      <c r="E483" s="7">
        <v>76791</v>
      </c>
      <c r="F483" s="7">
        <v>-54330833</v>
      </c>
      <c r="G483" s="10"/>
      <c r="H483" s="10"/>
      <c r="I483" s="7" t="b">
        <f>IF(FINANCIACION[[#This Row],[$ CAPITAL]]&gt;0,FINANCIACION[[#This Row],[$ CAPITAL]])</f>
        <v>0</v>
      </c>
      <c r="J483" s="41">
        <f>IF(FINANCIACION[[#This Row],[$ CAPITAL]]&gt;=0,FINANCIACION[[#This Row],[$ CAPITAL]]+FINANCIACION[[#This Row],[$ INTERESES]],0)</f>
        <v>76791</v>
      </c>
      <c r="K483" s="13"/>
      <c r="N483" s="8"/>
      <c r="O483" s="12"/>
      <c r="P483" s="11"/>
    </row>
    <row r="484" spans="1:16" ht="24" hidden="1" customHeight="1" x14ac:dyDescent="0.3">
      <c r="A484" s="9">
        <v>44231</v>
      </c>
      <c r="B484" s="63" t="s">
        <v>1225</v>
      </c>
      <c r="C484" s="7">
        <v>990094.53000000305</v>
      </c>
      <c r="D484" s="7">
        <v>144841.01</v>
      </c>
      <c r="E484" s="7">
        <v>1134935.5400000031</v>
      </c>
      <c r="F484" s="7">
        <v>-57442849.090000033</v>
      </c>
      <c r="G484" s="10"/>
      <c r="H484" s="10"/>
      <c r="I484" s="7">
        <f>IF(FINANCIACION[[#This Row],[$ CAPITAL]]&gt;0,FINANCIACION[[#This Row],[$ CAPITAL]])</f>
        <v>990094.53000000305</v>
      </c>
      <c r="J484" s="41">
        <f>IF(FINANCIACION[[#This Row],[$ CAPITAL]]&gt;=0,FINANCIACION[[#This Row],[$ CAPITAL]]+FINANCIACION[[#This Row],[$ INTERESES]],0)</f>
        <v>1134935.5400000031</v>
      </c>
      <c r="K484" s="13"/>
      <c r="N484" s="8"/>
      <c r="O484" s="12"/>
      <c r="P484" s="11"/>
    </row>
    <row r="485" spans="1:16" ht="24" hidden="1" customHeight="1" x14ac:dyDescent="0.3">
      <c r="A485" s="9">
        <v>44233</v>
      </c>
      <c r="B485" s="63" t="s">
        <v>199</v>
      </c>
      <c r="C485" s="7">
        <v>6326000</v>
      </c>
      <c r="D485" s="7">
        <v>569963.18000000005</v>
      </c>
      <c r="E485" s="7">
        <v>6895963.1799999997</v>
      </c>
      <c r="F485" s="7">
        <v>-79343126</v>
      </c>
      <c r="G485" s="10"/>
      <c r="H485" s="10"/>
      <c r="I485" s="7">
        <f>IF(FINANCIACION[[#This Row],[$ CAPITAL]]&gt;0,FINANCIACION[[#This Row],[$ CAPITAL]])</f>
        <v>6326000</v>
      </c>
      <c r="J485" s="41">
        <f>IF(FINANCIACION[[#This Row],[$ CAPITAL]]&gt;=0,FINANCIACION[[#This Row],[$ CAPITAL]]+FINANCIACION[[#This Row],[$ INTERESES]],0)</f>
        <v>6895963.1799999997</v>
      </c>
      <c r="K485" s="13"/>
      <c r="N485" s="8"/>
      <c r="O485" s="12"/>
      <c r="P485" s="11"/>
    </row>
    <row r="486" spans="1:16" ht="24" hidden="1" customHeight="1" x14ac:dyDescent="0.3">
      <c r="A486" s="9">
        <v>44237</v>
      </c>
      <c r="B486" s="63" t="s">
        <v>1222</v>
      </c>
      <c r="C486" s="7">
        <v>1672275.5133</v>
      </c>
      <c r="D486" s="7">
        <v>893624.48670000001</v>
      </c>
      <c r="E486" s="7">
        <v>2565900</v>
      </c>
      <c r="F486" s="7">
        <v>-86017897.643399999</v>
      </c>
      <c r="G486" s="10"/>
      <c r="H486" s="10"/>
      <c r="I486" s="7">
        <f>IF(FINANCIACION[[#This Row],[$ CAPITAL]]&gt;0,FINANCIACION[[#This Row],[$ CAPITAL]])</f>
        <v>1672275.5133</v>
      </c>
      <c r="J486" s="41">
        <f>IF(FINANCIACION[[#This Row],[$ CAPITAL]]&gt;=0,FINANCIACION[[#This Row],[$ CAPITAL]]+FINANCIACION[[#This Row],[$ INTERESES]],0)</f>
        <v>2565900</v>
      </c>
      <c r="K486" s="13"/>
      <c r="N486" s="8"/>
      <c r="O486" s="12"/>
      <c r="P486" s="11"/>
    </row>
    <row r="487" spans="1:16" ht="24" hidden="1" customHeight="1" x14ac:dyDescent="0.3">
      <c r="A487" s="9">
        <v>44237</v>
      </c>
      <c r="B487" s="63" t="s">
        <v>1226</v>
      </c>
      <c r="C487" s="7">
        <v>875755.85</v>
      </c>
      <c r="D487" s="7">
        <v>124244.15000000001</v>
      </c>
      <c r="E487" s="7">
        <v>1000000</v>
      </c>
      <c r="F487" s="7">
        <v>-10672903.300000001</v>
      </c>
      <c r="G487" s="10"/>
      <c r="H487" s="10"/>
      <c r="I487" s="7">
        <f>IF(FINANCIACION[[#This Row],[$ CAPITAL]]&gt;0,FINANCIACION[[#This Row],[$ CAPITAL]])</f>
        <v>875755.85</v>
      </c>
      <c r="J487" s="41">
        <f>IF(FINANCIACION[[#This Row],[$ CAPITAL]]&gt;=0,FINANCIACION[[#This Row],[$ CAPITAL]]+FINANCIACION[[#This Row],[$ INTERESES]],0)</f>
        <v>1000000</v>
      </c>
      <c r="K487" s="13"/>
      <c r="N487" s="8"/>
      <c r="O487" s="12"/>
      <c r="P487" s="11"/>
    </row>
    <row r="488" spans="1:16" ht="24" hidden="1" customHeight="1" x14ac:dyDescent="0.3">
      <c r="A488" s="9">
        <v>44237</v>
      </c>
      <c r="B488" s="63" t="s">
        <v>1223</v>
      </c>
      <c r="C488" s="7">
        <v>559378.12800699996</v>
      </c>
      <c r="D488" s="7">
        <v>640621.87199300004</v>
      </c>
      <c r="E488" s="7">
        <v>1200000</v>
      </c>
      <c r="F488" s="7">
        <v>-65852214</v>
      </c>
      <c r="G488" s="10"/>
      <c r="H488" s="10"/>
      <c r="I488" s="7">
        <f>IF(FINANCIACION[[#This Row],[$ CAPITAL]]&gt;0,FINANCIACION[[#This Row],[$ CAPITAL]])</f>
        <v>559378.12800699996</v>
      </c>
      <c r="J488" s="41">
        <f>IF(FINANCIACION[[#This Row],[$ CAPITAL]]&gt;=0,FINANCIACION[[#This Row],[$ CAPITAL]]+FINANCIACION[[#This Row],[$ INTERESES]],0)</f>
        <v>1200000</v>
      </c>
      <c r="K488" s="13"/>
      <c r="N488" s="8"/>
      <c r="O488" s="12"/>
      <c r="P488" s="11"/>
    </row>
    <row r="489" spans="1:16" ht="24" hidden="1" customHeight="1" x14ac:dyDescent="0.3">
      <c r="A489" s="9">
        <v>44237</v>
      </c>
      <c r="B489" s="63" t="s">
        <v>1225</v>
      </c>
      <c r="C489" s="7"/>
      <c r="D489" s="7">
        <v>130000</v>
      </c>
      <c r="E489" s="7">
        <v>130000</v>
      </c>
      <c r="F489" s="7">
        <v>-57442849.090000033</v>
      </c>
      <c r="G489" s="10"/>
      <c r="H489" s="10"/>
      <c r="I489" s="7" t="b">
        <f>IF(FINANCIACION[[#This Row],[$ CAPITAL]]&gt;0,FINANCIACION[[#This Row],[$ CAPITAL]])</f>
        <v>0</v>
      </c>
      <c r="J489" s="41">
        <f>IF(FINANCIACION[[#This Row],[$ CAPITAL]]&gt;=0,FINANCIACION[[#This Row],[$ CAPITAL]]+FINANCIACION[[#This Row],[$ INTERESES]],0)</f>
        <v>130000</v>
      </c>
      <c r="K489" s="13"/>
      <c r="N489" s="8"/>
      <c r="O489" s="12"/>
      <c r="P489" s="11"/>
    </row>
    <row r="490" spans="1:16" ht="24" hidden="1" customHeight="1" x14ac:dyDescent="0.3">
      <c r="A490" s="9">
        <v>44239</v>
      </c>
      <c r="B490" s="63" t="s">
        <v>1225</v>
      </c>
      <c r="C490" s="7">
        <v>3525450</v>
      </c>
      <c r="D490" s="7"/>
      <c r="E490" s="7">
        <v>3525450</v>
      </c>
      <c r="F490" s="7">
        <v>-53917399.090000033</v>
      </c>
      <c r="G490" s="10"/>
      <c r="H490" s="10"/>
      <c r="I490" s="7">
        <f>IF(FINANCIACION[[#This Row],[$ CAPITAL]]&gt;0,FINANCIACION[[#This Row],[$ CAPITAL]])</f>
        <v>3525450</v>
      </c>
      <c r="J490" s="41">
        <f>IF(FINANCIACION[[#This Row],[$ CAPITAL]]&gt;=0,FINANCIACION[[#This Row],[$ CAPITAL]]+FINANCIACION[[#This Row],[$ INTERESES]],0)</f>
        <v>3525450</v>
      </c>
      <c r="K490" s="13"/>
      <c r="N490" s="8"/>
      <c r="O490" s="12"/>
      <c r="P490" s="11"/>
    </row>
    <row r="491" spans="1:16" ht="24" hidden="1" customHeight="1" x14ac:dyDescent="0.3">
      <c r="A491" s="9">
        <v>44242</v>
      </c>
      <c r="B491" s="63" t="s">
        <v>1225</v>
      </c>
      <c r="C491" s="7">
        <v>3515650</v>
      </c>
      <c r="D491" s="7"/>
      <c r="E491" s="7">
        <v>3515650</v>
      </c>
      <c r="F491" s="7">
        <v>-49401749.090000033</v>
      </c>
      <c r="G491" s="10"/>
      <c r="H491" s="10"/>
      <c r="I491" s="7">
        <f>IF(FINANCIACION[[#This Row],[$ CAPITAL]]&gt;0,FINANCIACION[[#This Row],[$ CAPITAL]])</f>
        <v>3515650</v>
      </c>
      <c r="J491" s="41">
        <f>IF(FINANCIACION[[#This Row],[$ CAPITAL]]&gt;=0,FINANCIACION[[#This Row],[$ CAPITAL]]+FINANCIACION[[#This Row],[$ INTERESES]],0)</f>
        <v>3515650</v>
      </c>
      <c r="K491" s="13"/>
      <c r="N491" s="8"/>
      <c r="O491" s="12"/>
      <c r="P491" s="11"/>
    </row>
    <row r="492" spans="1:16" ht="24" hidden="1" customHeight="1" x14ac:dyDescent="0.3">
      <c r="A492" s="9">
        <v>44242</v>
      </c>
      <c r="B492" s="63" t="s">
        <v>1225</v>
      </c>
      <c r="C492" s="7">
        <v>1000000</v>
      </c>
      <c r="D492" s="7"/>
      <c r="E492" s="7">
        <v>1000000</v>
      </c>
      <c r="F492" s="7">
        <v>-49401749.090000033</v>
      </c>
      <c r="G492" s="10"/>
      <c r="H492" s="10"/>
      <c r="I492" s="7">
        <f>IF(FINANCIACION[[#This Row],[$ CAPITAL]]&gt;0,FINANCIACION[[#This Row],[$ CAPITAL]])</f>
        <v>1000000</v>
      </c>
      <c r="J492" s="41">
        <f>IF(FINANCIACION[[#This Row],[$ CAPITAL]]&gt;=0,FINANCIACION[[#This Row],[$ CAPITAL]]+FINANCIACION[[#This Row],[$ INTERESES]],0)</f>
        <v>1000000</v>
      </c>
      <c r="K492" s="13"/>
      <c r="N492" s="8"/>
      <c r="O492" s="12"/>
      <c r="P492" s="11"/>
    </row>
    <row r="493" spans="1:16" ht="24" hidden="1" customHeight="1" x14ac:dyDescent="0.3">
      <c r="A493" s="9">
        <v>44244</v>
      </c>
      <c r="B493" s="63" t="s">
        <v>1224</v>
      </c>
      <c r="C493" s="7">
        <v>108181</v>
      </c>
      <c r="D493" s="7"/>
      <c r="E493" s="7">
        <v>108181</v>
      </c>
      <c r="F493" s="7">
        <v>-346350131</v>
      </c>
      <c r="G493" s="10"/>
      <c r="H493" s="10"/>
      <c r="I493" s="7">
        <f>IF(FINANCIACION[[#This Row],[$ CAPITAL]]&gt;0,FINANCIACION[[#This Row],[$ CAPITAL]])</f>
        <v>108181</v>
      </c>
      <c r="J493" s="41">
        <f>IF(FINANCIACION[[#This Row],[$ CAPITAL]]&gt;=0,FINANCIACION[[#This Row],[$ CAPITAL]]+FINANCIACION[[#This Row],[$ INTERESES]],0)</f>
        <v>108181</v>
      </c>
      <c r="K493" s="13"/>
      <c r="N493" s="8"/>
      <c r="O493" s="12"/>
      <c r="P493" s="11"/>
    </row>
    <row r="494" spans="1:16" ht="24" hidden="1" customHeight="1" x14ac:dyDescent="0.3">
      <c r="A494" s="9">
        <v>44244</v>
      </c>
      <c r="B494" s="63" t="s">
        <v>1224</v>
      </c>
      <c r="C494" s="7">
        <v>3500000</v>
      </c>
      <c r="D494" s="7"/>
      <c r="E494" s="7">
        <v>3500000</v>
      </c>
      <c r="F494" s="7">
        <v>-346350131</v>
      </c>
      <c r="G494" s="10"/>
      <c r="H494" s="10"/>
      <c r="I494" s="7">
        <f>IF(FINANCIACION[[#This Row],[$ CAPITAL]]&gt;0,FINANCIACION[[#This Row],[$ CAPITAL]])</f>
        <v>3500000</v>
      </c>
      <c r="J494" s="41">
        <f>IF(FINANCIACION[[#This Row],[$ CAPITAL]]&gt;=0,FINANCIACION[[#This Row],[$ CAPITAL]]+FINANCIACION[[#This Row],[$ INTERESES]],0)</f>
        <v>3500000</v>
      </c>
      <c r="K494" s="13"/>
      <c r="N494" s="8"/>
      <c r="O494" s="12"/>
      <c r="P494" s="11"/>
    </row>
    <row r="495" spans="1:16" ht="24" hidden="1" customHeight="1" x14ac:dyDescent="0.3">
      <c r="A495" s="9">
        <v>44244</v>
      </c>
      <c r="B495" s="63" t="s">
        <v>1225</v>
      </c>
      <c r="C495" s="7">
        <v>1282000</v>
      </c>
      <c r="D495" s="7"/>
      <c r="E495" s="7">
        <v>1282000</v>
      </c>
      <c r="F495" s="7">
        <v>-46575749.090000033</v>
      </c>
      <c r="G495" s="10"/>
      <c r="H495" s="10"/>
      <c r="I495" s="7">
        <f>IF(FINANCIACION[[#This Row],[$ CAPITAL]]&gt;0,FINANCIACION[[#This Row],[$ CAPITAL]])</f>
        <v>1282000</v>
      </c>
      <c r="J495" s="41">
        <f>IF(FINANCIACION[[#This Row],[$ CAPITAL]]&gt;=0,FINANCIACION[[#This Row],[$ CAPITAL]]+FINANCIACION[[#This Row],[$ INTERESES]],0)</f>
        <v>1282000</v>
      </c>
      <c r="K495" s="13"/>
      <c r="N495" s="8"/>
      <c r="O495" s="12"/>
      <c r="P495" s="11"/>
    </row>
    <row r="496" spans="1:16" ht="24" hidden="1" customHeight="1" x14ac:dyDescent="0.3">
      <c r="A496" s="9">
        <v>44244</v>
      </c>
      <c r="B496" s="63" t="s">
        <v>1225</v>
      </c>
      <c r="C496" s="7">
        <v>1544000</v>
      </c>
      <c r="D496" s="7"/>
      <c r="E496" s="7">
        <v>1544000</v>
      </c>
      <c r="F496" s="7">
        <v>-46575749.090000033</v>
      </c>
      <c r="G496" s="10"/>
      <c r="H496" s="10"/>
      <c r="I496" s="7">
        <f>IF(FINANCIACION[[#This Row],[$ CAPITAL]]&gt;0,FINANCIACION[[#This Row],[$ CAPITAL]])</f>
        <v>1544000</v>
      </c>
      <c r="J496" s="41">
        <f>IF(FINANCIACION[[#This Row],[$ CAPITAL]]&gt;=0,FINANCIACION[[#This Row],[$ CAPITAL]]+FINANCIACION[[#This Row],[$ INTERESES]],0)</f>
        <v>1544000</v>
      </c>
      <c r="K496" s="13"/>
      <c r="N496" s="8"/>
      <c r="O496" s="12"/>
      <c r="P496" s="11"/>
    </row>
    <row r="497" spans="1:16" ht="24" hidden="1" customHeight="1" x14ac:dyDescent="0.3">
      <c r="A497" s="9">
        <v>44244</v>
      </c>
      <c r="B497" s="63" t="s">
        <v>1228</v>
      </c>
      <c r="C497" s="7">
        <v>2603000</v>
      </c>
      <c r="D497" s="7"/>
      <c r="E497" s="7">
        <v>2603000</v>
      </c>
      <c r="F497" s="7">
        <v>-63262540.649999999</v>
      </c>
      <c r="G497" s="10"/>
      <c r="H497" s="10"/>
      <c r="I497" s="7">
        <f>IF(FINANCIACION[[#This Row],[$ CAPITAL]]&gt;0,FINANCIACION[[#This Row],[$ CAPITAL]])</f>
        <v>2603000</v>
      </c>
      <c r="J497" s="41">
        <f>IF(FINANCIACION[[#This Row],[$ CAPITAL]]&gt;=0,FINANCIACION[[#This Row],[$ CAPITAL]]+FINANCIACION[[#This Row],[$ INTERESES]],0)</f>
        <v>2603000</v>
      </c>
      <c r="K497" s="13"/>
      <c r="N497" s="8"/>
      <c r="O497" s="12"/>
      <c r="P497" s="11"/>
    </row>
    <row r="498" spans="1:16" ht="24" hidden="1" customHeight="1" x14ac:dyDescent="0.3">
      <c r="A498" s="9">
        <v>44244</v>
      </c>
      <c r="B498" s="63" t="s">
        <v>1229</v>
      </c>
      <c r="C498" s="7">
        <v>2718857</v>
      </c>
      <c r="D498" s="7"/>
      <c r="E498" s="7">
        <v>2718857</v>
      </c>
      <c r="F498" s="7">
        <v>-92225689.189999998</v>
      </c>
      <c r="G498" s="10"/>
      <c r="H498" s="10"/>
      <c r="I498" s="7">
        <f>IF(FINANCIACION[[#This Row],[$ CAPITAL]]&gt;0,FINANCIACION[[#This Row],[$ CAPITAL]])</f>
        <v>2718857</v>
      </c>
      <c r="J498" s="41">
        <f>IF(FINANCIACION[[#This Row],[$ CAPITAL]]&gt;=0,FINANCIACION[[#This Row],[$ CAPITAL]]+FINANCIACION[[#This Row],[$ INTERESES]],0)</f>
        <v>2718857</v>
      </c>
      <c r="K498" s="13"/>
      <c r="N498" s="8"/>
      <c r="O498" s="12"/>
      <c r="P498" s="11"/>
    </row>
    <row r="499" spans="1:16" ht="24" hidden="1" customHeight="1" x14ac:dyDescent="0.3">
      <c r="A499" s="9">
        <v>44244</v>
      </c>
      <c r="B499" s="63" t="s">
        <v>1230</v>
      </c>
      <c r="C499" s="7">
        <v>1200643</v>
      </c>
      <c r="D499" s="7"/>
      <c r="E499" s="7">
        <v>1200643</v>
      </c>
      <c r="F499" s="7">
        <v>-24382060.219999999</v>
      </c>
      <c r="G499" s="10"/>
      <c r="H499" s="10"/>
      <c r="I499" s="7">
        <f>IF(FINANCIACION[[#This Row],[$ CAPITAL]]&gt;0,FINANCIACION[[#This Row],[$ CAPITAL]])</f>
        <v>1200643</v>
      </c>
      <c r="J499" s="41">
        <f>IF(FINANCIACION[[#This Row],[$ CAPITAL]]&gt;=0,FINANCIACION[[#This Row],[$ CAPITAL]]+FINANCIACION[[#This Row],[$ INTERESES]],0)</f>
        <v>1200643</v>
      </c>
      <c r="K499" s="13"/>
      <c r="N499" s="8"/>
      <c r="O499" s="12"/>
      <c r="P499" s="11"/>
    </row>
    <row r="500" spans="1:16" ht="24" hidden="1" customHeight="1" x14ac:dyDescent="0.3">
      <c r="A500" s="9">
        <v>44244</v>
      </c>
      <c r="B500" s="63" t="s">
        <v>1232</v>
      </c>
      <c r="C500" s="7">
        <v>181769</v>
      </c>
      <c r="D500" s="7"/>
      <c r="E500" s="7">
        <v>181769</v>
      </c>
      <c r="F500" s="7">
        <v>-26628838.579999998</v>
      </c>
      <c r="G500" s="10"/>
      <c r="H500" s="10"/>
      <c r="I500" s="7">
        <f>IF(FINANCIACION[[#This Row],[$ CAPITAL]]&gt;0,FINANCIACION[[#This Row],[$ CAPITAL]])</f>
        <v>181769</v>
      </c>
      <c r="J500" s="41">
        <f>IF(FINANCIACION[[#This Row],[$ CAPITAL]]&gt;=0,FINANCIACION[[#This Row],[$ CAPITAL]]+FINANCIACION[[#This Row],[$ INTERESES]],0)</f>
        <v>181769</v>
      </c>
      <c r="K500" s="13"/>
      <c r="N500" s="8"/>
      <c r="O500" s="12"/>
      <c r="P500" s="11"/>
    </row>
    <row r="501" spans="1:16" ht="24" hidden="1" customHeight="1" x14ac:dyDescent="0.3">
      <c r="A501" s="9">
        <v>44245</v>
      </c>
      <c r="B501" s="63" t="s">
        <v>1226</v>
      </c>
      <c r="C501" s="7">
        <v>-50000000</v>
      </c>
      <c r="D501" s="7"/>
      <c r="E501" s="7" t="s">
        <v>146</v>
      </c>
      <c r="F501" s="7">
        <v>-60672903.299999997</v>
      </c>
      <c r="G501" s="10"/>
      <c r="H501" s="10"/>
      <c r="I501" s="7" t="b">
        <f>IF(FINANCIACION[[#This Row],[$ CAPITAL]]&gt;0,FINANCIACION[[#This Row],[$ CAPITAL]])</f>
        <v>0</v>
      </c>
      <c r="J501" s="41">
        <f>IF(FINANCIACION[[#This Row],[$ CAPITAL]]&gt;=0,FINANCIACION[[#This Row],[$ CAPITAL]]+FINANCIACION[[#This Row],[$ INTERESES]],0)</f>
        <v>0</v>
      </c>
      <c r="K501" s="13"/>
      <c r="N501" s="8"/>
      <c r="O501" s="12"/>
      <c r="P501" s="11"/>
    </row>
    <row r="502" spans="1:16" ht="24" hidden="1" customHeight="1" x14ac:dyDescent="0.3">
      <c r="A502" s="9">
        <v>44247</v>
      </c>
      <c r="B502" s="63" t="s">
        <v>1233</v>
      </c>
      <c r="C502" s="7"/>
      <c r="D502" s="7">
        <v>130000</v>
      </c>
      <c r="E502" s="7">
        <v>130000</v>
      </c>
      <c r="F502" s="7">
        <v>-13000000</v>
      </c>
      <c r="G502" s="10"/>
      <c r="H502" s="10"/>
      <c r="I502" s="7" t="b">
        <f>IF(FINANCIACION[[#This Row],[$ CAPITAL]]&gt;0,FINANCIACION[[#This Row],[$ CAPITAL]])</f>
        <v>0</v>
      </c>
      <c r="J502" s="41">
        <f>IF(FINANCIACION[[#This Row],[$ CAPITAL]]&gt;=0,FINANCIACION[[#This Row],[$ CAPITAL]]+FINANCIACION[[#This Row],[$ INTERESES]],0)</f>
        <v>130000</v>
      </c>
      <c r="K502" s="13"/>
      <c r="N502" s="8"/>
      <c r="O502" s="12"/>
      <c r="P502" s="11"/>
    </row>
    <row r="503" spans="1:16" ht="24" hidden="1" customHeight="1" x14ac:dyDescent="0.3">
      <c r="A503" s="9">
        <v>44248</v>
      </c>
      <c r="B503" s="63" t="s">
        <v>1223</v>
      </c>
      <c r="C503" s="7">
        <v>-8879000</v>
      </c>
      <c r="D503" s="7"/>
      <c r="E503" s="7" t="s">
        <v>146</v>
      </c>
      <c r="F503" s="7">
        <v>-74731214</v>
      </c>
      <c r="G503" s="10"/>
      <c r="H503" s="10"/>
      <c r="I503" s="7" t="b">
        <f>IF(FINANCIACION[[#This Row],[$ CAPITAL]]&gt;0,FINANCIACION[[#This Row],[$ CAPITAL]])</f>
        <v>0</v>
      </c>
      <c r="J503" s="41">
        <f>IF(FINANCIACION[[#This Row],[$ CAPITAL]]&gt;=0,FINANCIACION[[#This Row],[$ CAPITAL]]+FINANCIACION[[#This Row],[$ INTERESES]],0)</f>
        <v>0</v>
      </c>
      <c r="K503" s="13"/>
      <c r="N503" s="8"/>
      <c r="O503" s="12"/>
      <c r="P503" s="11"/>
    </row>
    <row r="504" spans="1:16" ht="24" hidden="1" customHeight="1" x14ac:dyDescent="0.3">
      <c r="A504" s="9">
        <v>44255</v>
      </c>
      <c r="B504" s="63" t="s">
        <v>196</v>
      </c>
      <c r="C504" s="7">
        <v>230373</v>
      </c>
      <c r="D504" s="7">
        <v>510203</v>
      </c>
      <c r="E504" s="7">
        <v>740576</v>
      </c>
      <c r="F504" s="7">
        <v>-2841267</v>
      </c>
      <c r="G504" s="10" t="s">
        <v>233</v>
      </c>
      <c r="H504" s="10"/>
      <c r="I504" s="7">
        <f>IF(FINANCIACION[[#This Row],[$ CAPITAL]]&gt;0,FINANCIACION[[#This Row],[$ CAPITAL]])</f>
        <v>230373</v>
      </c>
      <c r="J504" s="41">
        <f>IF(FINANCIACION[[#This Row],[$ CAPITAL]]&gt;=0,FINANCIACION[[#This Row],[$ CAPITAL]]+FINANCIACION[[#This Row],[$ INTERESES]],0)</f>
        <v>740576</v>
      </c>
      <c r="K504" s="13"/>
      <c r="N504" s="8"/>
      <c r="O504" s="12"/>
      <c r="P504" s="11"/>
    </row>
    <row r="505" spans="1:16" ht="24" hidden="1" customHeight="1" x14ac:dyDescent="0.3">
      <c r="A505" s="9">
        <v>44255</v>
      </c>
      <c r="B505" s="63" t="s">
        <v>198</v>
      </c>
      <c r="C505" s="7">
        <v>-2575168</v>
      </c>
      <c r="D505" s="7"/>
      <c r="E505" s="7" t="s">
        <v>146</v>
      </c>
      <c r="F505" s="7">
        <v>-92706048</v>
      </c>
      <c r="G505" s="10" t="s">
        <v>233</v>
      </c>
      <c r="H505" s="10"/>
      <c r="I505" s="7" t="b">
        <f>IF(FINANCIACION[[#This Row],[$ CAPITAL]]&gt;0,FINANCIACION[[#This Row],[$ CAPITAL]])</f>
        <v>0</v>
      </c>
      <c r="J505" s="41">
        <f>IF(FINANCIACION[[#This Row],[$ CAPITAL]]&gt;=0,FINANCIACION[[#This Row],[$ CAPITAL]]+FINANCIACION[[#This Row],[$ INTERESES]],0)</f>
        <v>0</v>
      </c>
      <c r="K505" s="13"/>
      <c r="N505" s="8"/>
      <c r="O505" s="12"/>
      <c r="P505" s="11"/>
    </row>
    <row r="506" spans="1:16" ht="24" hidden="1" customHeight="1" x14ac:dyDescent="0.3">
      <c r="A506" s="9">
        <v>44255</v>
      </c>
      <c r="B506" s="63" t="s">
        <v>1224</v>
      </c>
      <c r="C506" s="7">
        <v>-8929573</v>
      </c>
      <c r="D506" s="7"/>
      <c r="E506" s="7" t="s">
        <v>146</v>
      </c>
      <c r="F506" s="7">
        <v>-355279704</v>
      </c>
      <c r="G506" s="10" t="s">
        <v>233</v>
      </c>
      <c r="H506" s="10"/>
      <c r="I506" s="7" t="b">
        <f>IF(FINANCIACION[[#This Row],[$ CAPITAL]]&gt;0,FINANCIACION[[#This Row],[$ CAPITAL]])</f>
        <v>0</v>
      </c>
      <c r="J506" s="41">
        <f>IF(FINANCIACION[[#This Row],[$ CAPITAL]]&gt;=0,FINANCIACION[[#This Row],[$ CAPITAL]]+FINANCIACION[[#This Row],[$ INTERESES]],0)</f>
        <v>0</v>
      </c>
      <c r="K506" s="13"/>
      <c r="N506" s="8"/>
      <c r="O506" s="12"/>
      <c r="P506" s="11"/>
    </row>
    <row r="507" spans="1:16" ht="24" hidden="1" customHeight="1" x14ac:dyDescent="0.3">
      <c r="A507" s="9">
        <v>44255</v>
      </c>
      <c r="B507" s="63" t="s">
        <v>1225</v>
      </c>
      <c r="C507" s="7">
        <v>1162943.3500000052</v>
      </c>
      <c r="D507" s="7"/>
      <c r="E507" s="7">
        <v>1162943.3500000052</v>
      </c>
      <c r="F507" s="7">
        <v>-72197464.860000014</v>
      </c>
      <c r="G507" s="10" t="s">
        <v>233</v>
      </c>
      <c r="H507" s="10"/>
      <c r="I507" s="7">
        <f>IF(FINANCIACION[[#This Row],[$ CAPITAL]]&gt;0,FINANCIACION[[#This Row],[$ CAPITAL]])</f>
        <v>1162943.3500000052</v>
      </c>
      <c r="J507" s="41">
        <f>IF(FINANCIACION[[#This Row],[$ CAPITAL]]&gt;=0,FINANCIACION[[#This Row],[$ CAPITAL]]+FINANCIACION[[#This Row],[$ INTERESES]],0)</f>
        <v>1162943.3500000052</v>
      </c>
      <c r="K507" s="13"/>
      <c r="N507" s="8"/>
      <c r="O507" s="12"/>
      <c r="P507" s="11"/>
    </row>
    <row r="508" spans="1:16" ht="24" hidden="1" customHeight="1" x14ac:dyDescent="0.3">
      <c r="A508" s="9">
        <v>44255</v>
      </c>
      <c r="B508" s="63" t="s">
        <v>1225</v>
      </c>
      <c r="C508" s="7">
        <v>-267882</v>
      </c>
      <c r="D508" s="7"/>
      <c r="E508" s="7" t="s">
        <v>146</v>
      </c>
      <c r="F508" s="7">
        <v>-72197464.860000014</v>
      </c>
      <c r="G508" s="10" t="s">
        <v>233</v>
      </c>
      <c r="H508" s="10"/>
      <c r="I508" s="7" t="b">
        <f>IF(FINANCIACION[[#This Row],[$ CAPITAL]]&gt;0,FINANCIACION[[#This Row],[$ CAPITAL]])</f>
        <v>0</v>
      </c>
      <c r="J508" s="41">
        <f>IF(FINANCIACION[[#This Row],[$ CAPITAL]]&gt;=0,FINANCIACION[[#This Row],[$ CAPITAL]]+FINANCIACION[[#This Row],[$ INTERESES]],0)</f>
        <v>0</v>
      </c>
      <c r="K508" s="13"/>
      <c r="N508" s="8"/>
      <c r="O508" s="12"/>
      <c r="P508" s="11"/>
    </row>
    <row r="509" spans="1:16" ht="24" hidden="1" customHeight="1" x14ac:dyDescent="0.3">
      <c r="A509" s="9">
        <v>44255</v>
      </c>
      <c r="B509" s="63" t="s">
        <v>1225</v>
      </c>
      <c r="C509" s="7">
        <v>-27478261</v>
      </c>
      <c r="D509" s="7"/>
      <c r="E509" s="7" t="s">
        <v>146</v>
      </c>
      <c r="F509" s="7">
        <v>-72197464.860000014</v>
      </c>
      <c r="G509" s="10" t="s">
        <v>233</v>
      </c>
      <c r="H509" s="10"/>
      <c r="I509" s="7" t="b">
        <f>IF(FINANCIACION[[#This Row],[$ CAPITAL]]&gt;0,FINANCIACION[[#This Row],[$ CAPITAL]])</f>
        <v>0</v>
      </c>
      <c r="J509" s="41">
        <f>IF(FINANCIACION[[#This Row],[$ CAPITAL]]&gt;=0,FINANCIACION[[#This Row],[$ CAPITAL]]+FINANCIACION[[#This Row],[$ INTERESES]],0)</f>
        <v>0</v>
      </c>
      <c r="K509" s="13"/>
      <c r="N509" s="8"/>
      <c r="O509" s="12"/>
      <c r="P509" s="11"/>
    </row>
    <row r="510" spans="1:16" ht="24" hidden="1" customHeight="1" x14ac:dyDescent="0.3">
      <c r="A510" s="9">
        <v>44255</v>
      </c>
      <c r="B510" s="63" t="s">
        <v>1225</v>
      </c>
      <c r="C510" s="7">
        <v>-141771.9999999851</v>
      </c>
      <c r="D510" s="7"/>
      <c r="E510" s="7" t="s">
        <v>146</v>
      </c>
      <c r="F510" s="7">
        <v>-72197464.860000014</v>
      </c>
      <c r="G510" s="10" t="s">
        <v>233</v>
      </c>
      <c r="H510" s="10"/>
      <c r="I510" s="7" t="b">
        <f>IF(FINANCIACION[[#This Row],[$ CAPITAL]]&gt;0,FINANCIACION[[#This Row],[$ CAPITAL]])</f>
        <v>0</v>
      </c>
      <c r="J510" s="41">
        <f>IF(FINANCIACION[[#This Row],[$ CAPITAL]]&gt;=0,FINANCIACION[[#This Row],[$ CAPITAL]]+FINANCIACION[[#This Row],[$ INTERESES]],0)</f>
        <v>0</v>
      </c>
      <c r="K510" s="13"/>
      <c r="N510" s="8"/>
      <c r="O510" s="12"/>
      <c r="P510" s="11"/>
    </row>
    <row r="511" spans="1:16" ht="24" hidden="1" customHeight="1" x14ac:dyDescent="0.3">
      <c r="A511" s="9">
        <v>44255</v>
      </c>
      <c r="B511" s="63" t="s">
        <v>1225</v>
      </c>
      <c r="C511" s="7">
        <v>1103255.8800000027</v>
      </c>
      <c r="D511" s="7"/>
      <c r="E511" s="7">
        <v>1103255.8800000027</v>
      </c>
      <c r="F511" s="7">
        <v>-72197464.860000014</v>
      </c>
      <c r="G511" s="10" t="s">
        <v>233</v>
      </c>
      <c r="H511" s="10"/>
      <c r="I511" s="7">
        <f>IF(FINANCIACION[[#This Row],[$ CAPITAL]]&gt;0,FINANCIACION[[#This Row],[$ CAPITAL]])</f>
        <v>1103255.8800000027</v>
      </c>
      <c r="J511" s="41">
        <f>IF(FINANCIACION[[#This Row],[$ CAPITAL]]&gt;=0,FINANCIACION[[#This Row],[$ CAPITAL]]+FINANCIACION[[#This Row],[$ INTERESES]],0)</f>
        <v>1103255.8800000027</v>
      </c>
      <c r="K511" s="13"/>
      <c r="N511" s="8"/>
      <c r="O511" s="12"/>
      <c r="P511" s="11"/>
    </row>
    <row r="512" spans="1:16" ht="24" hidden="1" customHeight="1" x14ac:dyDescent="0.3">
      <c r="A512" s="9">
        <v>44255</v>
      </c>
      <c r="B512" s="63" t="s">
        <v>1228</v>
      </c>
      <c r="C512" s="7">
        <v>2266793.0700000003</v>
      </c>
      <c r="D512" s="7"/>
      <c r="E512" s="7">
        <v>2266793.0700000003</v>
      </c>
      <c r="F512" s="7">
        <v>-60995747.579999998</v>
      </c>
      <c r="G512" s="10" t="s">
        <v>233</v>
      </c>
      <c r="H512" s="10"/>
      <c r="I512" s="7">
        <f>IF(FINANCIACION[[#This Row],[$ CAPITAL]]&gt;0,FINANCIACION[[#This Row],[$ CAPITAL]])</f>
        <v>2266793.0700000003</v>
      </c>
      <c r="J512" s="41">
        <f>IF(FINANCIACION[[#This Row],[$ CAPITAL]]&gt;=0,FINANCIACION[[#This Row],[$ CAPITAL]]+FINANCIACION[[#This Row],[$ INTERESES]],0)</f>
        <v>2266793.0700000003</v>
      </c>
      <c r="K512" s="13"/>
      <c r="N512" s="8"/>
      <c r="O512" s="12"/>
      <c r="P512" s="11"/>
    </row>
    <row r="513" spans="1:16" ht="24" hidden="1" customHeight="1" x14ac:dyDescent="0.3">
      <c r="A513" s="9">
        <v>44255</v>
      </c>
      <c r="B513" s="63" t="s">
        <v>1229</v>
      </c>
      <c r="C513" s="7">
        <v>3748799.9599999934</v>
      </c>
      <c r="D513" s="7"/>
      <c r="E513" s="7">
        <v>3748799.9599999934</v>
      </c>
      <c r="F513" s="7">
        <v>-88476889.230000004</v>
      </c>
      <c r="G513" s="10" t="s">
        <v>233</v>
      </c>
      <c r="H513" s="10"/>
      <c r="I513" s="7">
        <f>IF(FINANCIACION[[#This Row],[$ CAPITAL]]&gt;0,FINANCIACION[[#This Row],[$ CAPITAL]])</f>
        <v>3748799.9599999934</v>
      </c>
      <c r="J513" s="41">
        <f>IF(FINANCIACION[[#This Row],[$ CAPITAL]]&gt;=0,FINANCIACION[[#This Row],[$ CAPITAL]]+FINANCIACION[[#This Row],[$ INTERESES]],0)</f>
        <v>3748799.9599999934</v>
      </c>
      <c r="K513" s="13"/>
      <c r="N513" s="8"/>
      <c r="O513" s="12"/>
      <c r="P513" s="11"/>
    </row>
    <row r="514" spans="1:16" ht="24" hidden="1" customHeight="1" x14ac:dyDescent="0.3">
      <c r="A514" s="9">
        <v>44255</v>
      </c>
      <c r="B514" s="63" t="s">
        <v>1230</v>
      </c>
      <c r="C514" s="7">
        <v>-324272.9299999997</v>
      </c>
      <c r="D514" s="7"/>
      <c r="E514" s="7" t="s">
        <v>146</v>
      </c>
      <c r="F514" s="7">
        <v>-24706333.149999999</v>
      </c>
      <c r="G514" s="10" t="s">
        <v>233</v>
      </c>
      <c r="H514" s="10"/>
      <c r="I514" s="7" t="b">
        <f>IF(FINANCIACION[[#This Row],[$ CAPITAL]]&gt;0,FINANCIACION[[#This Row],[$ CAPITAL]])</f>
        <v>0</v>
      </c>
      <c r="J514" s="41">
        <f>IF(FINANCIACION[[#This Row],[$ CAPITAL]]&gt;=0,FINANCIACION[[#This Row],[$ CAPITAL]]+FINANCIACION[[#This Row],[$ INTERESES]],0)</f>
        <v>0</v>
      </c>
      <c r="K514" s="13"/>
      <c r="N514" s="8"/>
      <c r="O514" s="12"/>
      <c r="P514" s="11"/>
    </row>
    <row r="515" spans="1:16" ht="24" hidden="1" customHeight="1" x14ac:dyDescent="0.3">
      <c r="A515" s="9">
        <v>44255</v>
      </c>
      <c r="B515" s="63" t="s">
        <v>1232</v>
      </c>
      <c r="C515" s="7">
        <v>-362321.97000000253</v>
      </c>
      <c r="D515" s="7"/>
      <c r="E515" s="7" t="s">
        <v>146</v>
      </c>
      <c r="F515" s="7">
        <v>-26991160.550000001</v>
      </c>
      <c r="G515" s="10" t="s">
        <v>233</v>
      </c>
      <c r="H515" s="10"/>
      <c r="I515" s="7" t="b">
        <f>IF(FINANCIACION[[#This Row],[$ CAPITAL]]&gt;0,FINANCIACION[[#This Row],[$ CAPITAL]])</f>
        <v>0</v>
      </c>
      <c r="J515" s="41">
        <f>IF(FINANCIACION[[#This Row],[$ CAPITAL]]&gt;=0,FINANCIACION[[#This Row],[$ CAPITAL]]+FINANCIACION[[#This Row],[$ INTERESES]],0)</f>
        <v>0</v>
      </c>
      <c r="K515" s="13"/>
      <c r="N515" s="8"/>
      <c r="O515" s="12"/>
      <c r="P515" s="11"/>
    </row>
    <row r="516" spans="1:16" ht="24" hidden="1" customHeight="1" x14ac:dyDescent="0.3">
      <c r="A516" s="9">
        <v>44255</v>
      </c>
      <c r="B516" s="63" t="s">
        <v>204</v>
      </c>
      <c r="C516" s="7">
        <v>-20437161</v>
      </c>
      <c r="D516" s="7"/>
      <c r="E516" s="7" t="s">
        <v>146</v>
      </c>
      <c r="F516" s="7">
        <v>-27453600</v>
      </c>
      <c r="G516" s="10" t="s">
        <v>233</v>
      </c>
      <c r="H516" s="10"/>
      <c r="I516" s="7" t="b">
        <f>IF(FINANCIACION[[#This Row],[$ CAPITAL]]&gt;0,FINANCIACION[[#This Row],[$ CAPITAL]])</f>
        <v>0</v>
      </c>
      <c r="J516" s="41">
        <f>IF(FINANCIACION[[#This Row],[$ CAPITAL]]&gt;=0,FINANCIACION[[#This Row],[$ CAPITAL]]+FINANCIACION[[#This Row],[$ INTERESES]],0)</f>
        <v>0</v>
      </c>
      <c r="K516" s="13"/>
      <c r="N516" s="8"/>
      <c r="O516" s="12"/>
      <c r="P516" s="11"/>
    </row>
    <row r="517" spans="1:16" ht="24" hidden="1" customHeight="1" x14ac:dyDescent="0.3">
      <c r="A517" s="9">
        <v>44256</v>
      </c>
      <c r="B517" s="63" t="s">
        <v>195</v>
      </c>
      <c r="C517" s="7"/>
      <c r="D517" s="7">
        <v>462578</v>
      </c>
      <c r="E517" s="7">
        <v>462578</v>
      </c>
      <c r="F517" s="7">
        <v>-54330833</v>
      </c>
      <c r="G517" s="10"/>
      <c r="H517" s="10"/>
      <c r="I517" s="7" t="b">
        <f>IF(FINANCIACION[[#This Row],[$ CAPITAL]]&gt;0,FINANCIACION[[#This Row],[$ CAPITAL]])</f>
        <v>0</v>
      </c>
      <c r="J517" s="41">
        <f>IF(FINANCIACION[[#This Row],[$ CAPITAL]]&gt;=0,FINANCIACION[[#This Row],[$ CAPITAL]]+FINANCIACION[[#This Row],[$ INTERESES]],0)</f>
        <v>462578</v>
      </c>
      <c r="K517" s="13"/>
      <c r="N517" s="8"/>
      <c r="O517" s="12"/>
      <c r="P517" s="11"/>
    </row>
    <row r="518" spans="1:16" ht="24" hidden="1" customHeight="1" x14ac:dyDescent="0.3">
      <c r="A518" s="9">
        <v>44256</v>
      </c>
      <c r="B518" s="63" t="s">
        <v>196</v>
      </c>
      <c r="C518" s="7"/>
      <c r="D518" s="7">
        <v>76791</v>
      </c>
      <c r="E518" s="7">
        <v>76791</v>
      </c>
      <c r="F518" s="7">
        <v>-2841267</v>
      </c>
      <c r="G518" s="10"/>
      <c r="H518" s="10"/>
      <c r="I518" s="7" t="b">
        <f>IF(FINANCIACION[[#This Row],[$ CAPITAL]]&gt;0,FINANCIACION[[#This Row],[$ CAPITAL]])</f>
        <v>0</v>
      </c>
      <c r="J518" s="41">
        <f>IF(FINANCIACION[[#This Row],[$ CAPITAL]]&gt;=0,FINANCIACION[[#This Row],[$ CAPITAL]]+FINANCIACION[[#This Row],[$ INTERESES]],0)</f>
        <v>76791</v>
      </c>
      <c r="K518" s="13"/>
      <c r="N518" s="8"/>
      <c r="O518" s="12"/>
      <c r="P518" s="11"/>
    </row>
    <row r="519" spans="1:16" ht="24" hidden="1" customHeight="1" x14ac:dyDescent="0.3">
      <c r="A519" s="9">
        <v>44257</v>
      </c>
      <c r="B519" s="63" t="s">
        <v>1225</v>
      </c>
      <c r="C519" s="7">
        <v>1227858</v>
      </c>
      <c r="D519" s="7"/>
      <c r="E519" s="7">
        <v>1227858</v>
      </c>
      <c r="F519" s="7">
        <v>-69969606.860000014</v>
      </c>
      <c r="G519" s="10"/>
      <c r="H519" s="10"/>
      <c r="I519" s="7">
        <f>IF(FINANCIACION[[#This Row],[$ CAPITAL]]&gt;0,FINANCIACION[[#This Row],[$ CAPITAL]])</f>
        <v>1227858</v>
      </c>
      <c r="J519" s="41">
        <f>IF(FINANCIACION[[#This Row],[$ CAPITAL]]&gt;=0,FINANCIACION[[#This Row],[$ CAPITAL]]+FINANCIACION[[#This Row],[$ INTERESES]],0)</f>
        <v>1227858</v>
      </c>
      <c r="K519" s="13"/>
      <c r="N519" s="8"/>
      <c r="O519" s="12"/>
      <c r="P519" s="11"/>
    </row>
    <row r="520" spans="1:16" ht="24" hidden="1" customHeight="1" x14ac:dyDescent="0.3">
      <c r="A520" s="9">
        <v>44257</v>
      </c>
      <c r="B520" s="63" t="s">
        <v>1225</v>
      </c>
      <c r="C520" s="7">
        <v>100000</v>
      </c>
      <c r="D520" s="7"/>
      <c r="E520" s="7">
        <v>100000</v>
      </c>
      <c r="F520" s="7">
        <v>-69969606.860000014</v>
      </c>
      <c r="G520" s="10"/>
      <c r="H520" s="10"/>
      <c r="I520" s="7">
        <f>IF(FINANCIACION[[#This Row],[$ CAPITAL]]&gt;0,FINANCIACION[[#This Row],[$ CAPITAL]])</f>
        <v>100000</v>
      </c>
      <c r="J520" s="41">
        <f>IF(FINANCIACION[[#This Row],[$ CAPITAL]]&gt;=0,FINANCIACION[[#This Row],[$ CAPITAL]]+FINANCIACION[[#This Row],[$ INTERESES]],0)</f>
        <v>100000</v>
      </c>
      <c r="K520" s="13"/>
      <c r="N520" s="8"/>
      <c r="O520" s="12"/>
      <c r="P520" s="11"/>
    </row>
    <row r="521" spans="1:16" ht="24" hidden="1" customHeight="1" x14ac:dyDescent="0.3">
      <c r="A521" s="9">
        <v>44257</v>
      </c>
      <c r="B521" s="63" t="s">
        <v>1225</v>
      </c>
      <c r="C521" s="7">
        <v>900000</v>
      </c>
      <c r="D521" s="7"/>
      <c r="E521" s="7">
        <v>900000</v>
      </c>
      <c r="F521" s="7">
        <v>-69969606.860000014</v>
      </c>
      <c r="G521" s="10"/>
      <c r="H521" s="10"/>
      <c r="I521" s="7">
        <f>IF(FINANCIACION[[#This Row],[$ CAPITAL]]&gt;0,FINANCIACION[[#This Row],[$ CAPITAL]])</f>
        <v>900000</v>
      </c>
      <c r="J521" s="41">
        <f>IF(FINANCIACION[[#This Row],[$ CAPITAL]]&gt;=0,FINANCIACION[[#This Row],[$ CAPITAL]]+FINANCIACION[[#This Row],[$ INTERESES]],0)</f>
        <v>900000</v>
      </c>
      <c r="K521" s="13"/>
      <c r="N521" s="8"/>
      <c r="O521" s="12"/>
      <c r="P521" s="11"/>
    </row>
    <row r="522" spans="1:16" ht="24" hidden="1" customHeight="1" x14ac:dyDescent="0.3">
      <c r="A522" s="9">
        <v>44259</v>
      </c>
      <c r="B522" s="63" t="s">
        <v>1225</v>
      </c>
      <c r="C522" s="7">
        <v>990094.53000000305</v>
      </c>
      <c r="D522" s="7">
        <v>132480.529999997</v>
      </c>
      <c r="E522" s="7">
        <v>1122575.06</v>
      </c>
      <c r="F522" s="7">
        <v>-68979512.330000013</v>
      </c>
      <c r="G522" s="10"/>
      <c r="H522" s="10"/>
      <c r="I522" s="7">
        <f>IF(FINANCIACION[[#This Row],[$ CAPITAL]]&gt;0,FINANCIACION[[#This Row],[$ CAPITAL]])</f>
        <v>990094.53000000305</v>
      </c>
      <c r="J522" s="41">
        <f>IF(FINANCIACION[[#This Row],[$ CAPITAL]]&gt;=0,FINANCIACION[[#This Row],[$ CAPITAL]]+FINANCIACION[[#This Row],[$ INTERESES]],0)</f>
        <v>1122575.06</v>
      </c>
      <c r="K522" s="13"/>
      <c r="N522" s="8"/>
      <c r="O522" s="12"/>
      <c r="P522" s="11"/>
    </row>
    <row r="523" spans="1:16" ht="24" hidden="1" customHeight="1" x14ac:dyDescent="0.3">
      <c r="A523" s="9">
        <v>44261</v>
      </c>
      <c r="B523" s="63" t="s">
        <v>199</v>
      </c>
      <c r="C523" s="7">
        <v>6326000</v>
      </c>
      <c r="D523" s="7">
        <v>528525.73</v>
      </c>
      <c r="E523" s="7">
        <v>6854525.7300000004</v>
      </c>
      <c r="F523" s="7">
        <v>-73017126</v>
      </c>
      <c r="G523" s="10"/>
      <c r="H523" s="10"/>
      <c r="I523" s="7">
        <f>IF(FINANCIACION[[#This Row],[$ CAPITAL]]&gt;0,FINANCIACION[[#This Row],[$ CAPITAL]])</f>
        <v>6326000</v>
      </c>
      <c r="J523" s="41">
        <f>IF(FINANCIACION[[#This Row],[$ CAPITAL]]&gt;=0,FINANCIACION[[#This Row],[$ CAPITAL]]+FINANCIACION[[#This Row],[$ INTERESES]],0)</f>
        <v>6854525.7300000004</v>
      </c>
      <c r="K523" s="13"/>
      <c r="N523" s="8"/>
      <c r="O523" s="12"/>
      <c r="P523" s="11"/>
    </row>
    <row r="524" spans="1:16" ht="24" hidden="1" customHeight="1" x14ac:dyDescent="0.3">
      <c r="A524" s="9">
        <v>44263</v>
      </c>
      <c r="B524" s="63" t="s">
        <v>1225</v>
      </c>
      <c r="C524" s="7">
        <v>9100500</v>
      </c>
      <c r="D524" s="7"/>
      <c r="E524" s="7">
        <v>9100500</v>
      </c>
      <c r="F524" s="7">
        <v>-59879012.330000013</v>
      </c>
      <c r="G524" s="10"/>
      <c r="H524" s="10"/>
      <c r="I524" s="7">
        <f>IF(FINANCIACION[[#This Row],[$ CAPITAL]]&gt;0,FINANCIACION[[#This Row],[$ CAPITAL]])</f>
        <v>9100500</v>
      </c>
      <c r="J524" s="41">
        <f>IF(FINANCIACION[[#This Row],[$ CAPITAL]]&gt;=0,FINANCIACION[[#This Row],[$ CAPITAL]]+FINANCIACION[[#This Row],[$ INTERESES]],0)</f>
        <v>9100500</v>
      </c>
      <c r="K524" s="13"/>
      <c r="N524" s="8"/>
      <c r="O524" s="12"/>
      <c r="P524" s="11"/>
    </row>
    <row r="525" spans="1:16" ht="24" hidden="1" customHeight="1" x14ac:dyDescent="0.3">
      <c r="A525" s="9">
        <v>44264</v>
      </c>
      <c r="B525" s="63" t="s">
        <v>1222</v>
      </c>
      <c r="C525" s="7">
        <v>1705721.0235660002</v>
      </c>
      <c r="D525" s="7">
        <v>860178.97643399995</v>
      </c>
      <c r="E525" s="7">
        <v>2565900</v>
      </c>
      <c r="F525" s="7">
        <v>-84312176.619834006</v>
      </c>
      <c r="G525" s="10"/>
      <c r="H525" s="10"/>
      <c r="I525" s="7">
        <f>IF(FINANCIACION[[#This Row],[$ CAPITAL]]&gt;0,FINANCIACION[[#This Row],[$ CAPITAL]])</f>
        <v>1705721.0235660002</v>
      </c>
      <c r="J525" s="41">
        <f>IF(FINANCIACION[[#This Row],[$ CAPITAL]]&gt;=0,FINANCIACION[[#This Row],[$ CAPITAL]]+FINANCIACION[[#This Row],[$ INTERESES]],0)</f>
        <v>2565900</v>
      </c>
      <c r="K525" s="13"/>
      <c r="N525" s="8"/>
      <c r="O525" s="12"/>
      <c r="P525" s="11"/>
    </row>
    <row r="526" spans="1:16" ht="24" hidden="1" customHeight="1" x14ac:dyDescent="0.3">
      <c r="A526" s="9">
        <v>44264</v>
      </c>
      <c r="B526" s="63" t="s">
        <v>1225</v>
      </c>
      <c r="C526" s="7"/>
      <c r="D526" s="7">
        <v>130000</v>
      </c>
      <c r="E526" s="7">
        <v>130000</v>
      </c>
      <c r="F526" s="7">
        <v>-59879012.330000013</v>
      </c>
      <c r="G526" s="10"/>
      <c r="H526" s="10"/>
      <c r="I526" s="7" t="b">
        <f>IF(FINANCIACION[[#This Row],[$ CAPITAL]]&gt;0,FINANCIACION[[#This Row],[$ CAPITAL]])</f>
        <v>0</v>
      </c>
      <c r="J526" s="41">
        <f>IF(FINANCIACION[[#This Row],[$ CAPITAL]]&gt;=0,FINANCIACION[[#This Row],[$ CAPITAL]]+FINANCIACION[[#This Row],[$ INTERESES]],0)</f>
        <v>130000</v>
      </c>
      <c r="K526" s="13"/>
      <c r="N526" s="8"/>
      <c r="O526" s="12"/>
      <c r="P526" s="11"/>
    </row>
    <row r="527" spans="1:16" ht="24" hidden="1" customHeight="1" x14ac:dyDescent="0.3">
      <c r="A527" s="9">
        <v>44265</v>
      </c>
      <c r="B527" s="63" t="s">
        <v>1233</v>
      </c>
      <c r="C527" s="7"/>
      <c r="D527" s="7">
        <v>130000</v>
      </c>
      <c r="E527" s="7">
        <v>130000</v>
      </c>
      <c r="F527" s="7">
        <v>-13000000</v>
      </c>
      <c r="G527" s="10"/>
      <c r="H527" s="10"/>
      <c r="I527" s="7" t="b">
        <f>IF(FINANCIACION[[#This Row],[$ CAPITAL]]&gt;0,FINANCIACION[[#This Row],[$ CAPITAL]])</f>
        <v>0</v>
      </c>
      <c r="J527" s="41">
        <f>IF(FINANCIACION[[#This Row],[$ CAPITAL]]&gt;=0,FINANCIACION[[#This Row],[$ CAPITAL]]+FINANCIACION[[#This Row],[$ INTERESES]],0)</f>
        <v>130000</v>
      </c>
      <c r="K527" s="13"/>
      <c r="N527" s="8"/>
      <c r="O527" s="12"/>
      <c r="P527" s="11"/>
    </row>
    <row r="528" spans="1:16" ht="24" hidden="1" customHeight="1" x14ac:dyDescent="0.3">
      <c r="A528" s="9">
        <v>44265</v>
      </c>
      <c r="B528" s="63" t="s">
        <v>1226</v>
      </c>
      <c r="C528" s="7">
        <v>277743.10809999995</v>
      </c>
      <c r="D528" s="7">
        <v>922256.89190000005</v>
      </c>
      <c r="E528" s="7">
        <v>1200000</v>
      </c>
      <c r="F528" s="7">
        <v>-60395160.1919</v>
      </c>
      <c r="G528" s="10"/>
      <c r="H528" s="10"/>
      <c r="I528" s="7">
        <f>IF(FINANCIACION[[#This Row],[$ CAPITAL]]&gt;0,FINANCIACION[[#This Row],[$ CAPITAL]])</f>
        <v>277743.10809999995</v>
      </c>
      <c r="J528" s="41">
        <f>IF(FINANCIACION[[#This Row],[$ CAPITAL]]&gt;=0,FINANCIACION[[#This Row],[$ CAPITAL]]+FINANCIACION[[#This Row],[$ INTERESES]],0)</f>
        <v>1200000</v>
      </c>
      <c r="K528" s="13"/>
      <c r="N528" s="8"/>
      <c r="O528" s="12"/>
      <c r="P528" s="11"/>
    </row>
    <row r="529" spans="1:16" ht="24" hidden="1" customHeight="1" x14ac:dyDescent="0.3">
      <c r="A529" s="9">
        <v>44265</v>
      </c>
      <c r="B529" s="63" t="s">
        <v>1223</v>
      </c>
      <c r="C529" s="7">
        <v>552687.86</v>
      </c>
      <c r="D529" s="7">
        <v>747312.14</v>
      </c>
      <c r="E529" s="7">
        <v>1300000</v>
      </c>
      <c r="F529" s="7">
        <v>-74178526.140000001</v>
      </c>
      <c r="G529" s="10"/>
      <c r="H529" s="10"/>
      <c r="I529" s="7">
        <f>IF(FINANCIACION[[#This Row],[$ CAPITAL]]&gt;0,FINANCIACION[[#This Row],[$ CAPITAL]])</f>
        <v>552687.86</v>
      </c>
      <c r="J529" s="41">
        <f>IF(FINANCIACION[[#This Row],[$ CAPITAL]]&gt;=0,FINANCIACION[[#This Row],[$ CAPITAL]]+FINANCIACION[[#This Row],[$ INTERESES]],0)</f>
        <v>1300000</v>
      </c>
      <c r="K529" s="13"/>
      <c r="N529" s="8"/>
      <c r="O529" s="12"/>
      <c r="P529" s="11"/>
    </row>
    <row r="530" spans="1:16" ht="24" hidden="1" customHeight="1" x14ac:dyDescent="0.3">
      <c r="A530" s="9">
        <v>44266</v>
      </c>
      <c r="B530" s="63" t="s">
        <v>1226</v>
      </c>
      <c r="C530" s="7">
        <v>315160.19189999998</v>
      </c>
      <c r="D530" s="7"/>
      <c r="E530" s="7">
        <v>315160.19189999998</v>
      </c>
      <c r="F530" s="7">
        <v>-60080000</v>
      </c>
      <c r="G530" s="10" t="s">
        <v>244</v>
      </c>
      <c r="H530" s="10"/>
      <c r="I530" s="7">
        <f>IF(FINANCIACION[[#This Row],[$ CAPITAL]]&gt;0,FINANCIACION[[#This Row],[$ CAPITAL]])</f>
        <v>315160.19189999998</v>
      </c>
      <c r="J530" s="41">
        <f>IF(FINANCIACION[[#This Row],[$ CAPITAL]]&gt;=0,FINANCIACION[[#This Row],[$ CAPITAL]]+FINANCIACION[[#This Row],[$ INTERESES]],0)</f>
        <v>315160.19189999998</v>
      </c>
      <c r="K530" s="13"/>
      <c r="N530" s="8"/>
      <c r="O530" s="12"/>
      <c r="P530" s="11"/>
    </row>
    <row r="531" spans="1:16" ht="24" hidden="1" customHeight="1" x14ac:dyDescent="0.3">
      <c r="A531" s="9">
        <v>44271</v>
      </c>
      <c r="B531" s="63" t="s">
        <v>1225</v>
      </c>
      <c r="C531" s="7">
        <v>3575630</v>
      </c>
      <c r="D531" s="7"/>
      <c r="E531" s="7">
        <v>3575630</v>
      </c>
      <c r="F531" s="7">
        <v>-56303382.330000013</v>
      </c>
      <c r="G531" s="10" t="s">
        <v>68</v>
      </c>
      <c r="H531" s="10"/>
      <c r="I531" s="7">
        <f>IF(FINANCIACION[[#This Row],[$ CAPITAL]]&gt;0,FINANCIACION[[#This Row],[$ CAPITAL]])</f>
        <v>3575630</v>
      </c>
      <c r="J531" s="41">
        <f>IF(FINANCIACION[[#This Row],[$ CAPITAL]]&gt;=0,FINANCIACION[[#This Row],[$ CAPITAL]]+FINANCIACION[[#This Row],[$ INTERESES]],0)</f>
        <v>3575630</v>
      </c>
      <c r="K531" s="13"/>
      <c r="N531" s="8"/>
      <c r="O531" s="12"/>
      <c r="P531" s="11"/>
    </row>
    <row r="532" spans="1:16" ht="24" hidden="1" customHeight="1" x14ac:dyDescent="0.3">
      <c r="A532" s="9">
        <v>44284</v>
      </c>
      <c r="B532" s="63" t="s">
        <v>1224</v>
      </c>
      <c r="C532" s="7">
        <v>8286154</v>
      </c>
      <c r="D532" s="7">
        <v>120765</v>
      </c>
      <c r="E532" s="7">
        <v>8406919</v>
      </c>
      <c r="F532" s="7">
        <v>-346993550</v>
      </c>
      <c r="G532" s="10"/>
      <c r="H532" s="10"/>
      <c r="I532" s="7">
        <f>IF(FINANCIACION[[#This Row],[$ CAPITAL]]&gt;0,FINANCIACION[[#This Row],[$ CAPITAL]])</f>
        <v>8286154</v>
      </c>
      <c r="J532" s="41">
        <f>IF(FINANCIACION[[#This Row],[$ CAPITAL]]&gt;=0,FINANCIACION[[#This Row],[$ CAPITAL]]+FINANCIACION[[#This Row],[$ INTERESES]],0)</f>
        <v>8406919</v>
      </c>
      <c r="K532" s="13"/>
      <c r="N532" s="8"/>
      <c r="O532" s="12"/>
      <c r="P532" s="11"/>
    </row>
    <row r="533" spans="1:16" ht="24" hidden="1" customHeight="1" x14ac:dyDescent="0.3">
      <c r="A533" s="9">
        <v>44284</v>
      </c>
      <c r="B533" s="63" t="s">
        <v>1225</v>
      </c>
      <c r="C533" s="7">
        <v>1247099.7200000025</v>
      </c>
      <c r="D533" s="7">
        <v>24900.279999997467</v>
      </c>
      <c r="E533" s="7">
        <v>1272000</v>
      </c>
      <c r="F533" s="7">
        <v>-49887024.860000014</v>
      </c>
      <c r="G533" s="10"/>
      <c r="H533" s="10"/>
      <c r="I533" s="7">
        <f>IF(FINANCIACION[[#This Row],[$ CAPITAL]]&gt;0,FINANCIACION[[#This Row],[$ CAPITAL]])</f>
        <v>1247099.7200000025</v>
      </c>
      <c r="J533" s="41">
        <f>IF(FINANCIACION[[#This Row],[$ CAPITAL]]&gt;=0,FINANCIACION[[#This Row],[$ CAPITAL]]+FINANCIACION[[#This Row],[$ INTERESES]],0)</f>
        <v>1272000</v>
      </c>
      <c r="K533" s="13"/>
      <c r="N533" s="8"/>
      <c r="O533" s="12"/>
      <c r="P533" s="11"/>
    </row>
    <row r="534" spans="1:16" ht="24" hidden="1" customHeight="1" x14ac:dyDescent="0.3">
      <c r="A534" s="9">
        <v>44284</v>
      </c>
      <c r="B534" s="63" t="s">
        <v>1225</v>
      </c>
      <c r="C534" s="7">
        <v>3665410</v>
      </c>
      <c r="D534" s="7"/>
      <c r="E534" s="7">
        <v>3665410</v>
      </c>
      <c r="F534" s="7">
        <v>-49887024.860000014</v>
      </c>
      <c r="G534" s="10"/>
      <c r="H534" s="10"/>
      <c r="I534" s="7">
        <f>IF(FINANCIACION[[#This Row],[$ CAPITAL]]&gt;0,FINANCIACION[[#This Row],[$ CAPITAL]])</f>
        <v>3665410</v>
      </c>
      <c r="J534" s="41">
        <f>IF(FINANCIACION[[#This Row],[$ CAPITAL]]&gt;=0,FINANCIACION[[#This Row],[$ CAPITAL]]+FINANCIACION[[#This Row],[$ INTERESES]],0)</f>
        <v>3665410</v>
      </c>
      <c r="K534" s="13"/>
      <c r="N534" s="8"/>
      <c r="O534" s="12"/>
      <c r="P534" s="11"/>
    </row>
    <row r="535" spans="1:16" ht="24" hidden="1" customHeight="1" x14ac:dyDescent="0.3">
      <c r="A535" s="9">
        <v>44284</v>
      </c>
      <c r="B535" s="63" t="s">
        <v>1225</v>
      </c>
      <c r="C535" s="7">
        <v>1503847.75</v>
      </c>
      <c r="D535" s="7">
        <v>28152.25</v>
      </c>
      <c r="E535" s="7">
        <v>1532000</v>
      </c>
      <c r="F535" s="7">
        <v>-49887024.860000014</v>
      </c>
      <c r="G535" s="10"/>
      <c r="H535" s="10"/>
      <c r="I535" s="7">
        <f>IF(FINANCIACION[[#This Row],[$ CAPITAL]]&gt;0,FINANCIACION[[#This Row],[$ CAPITAL]])</f>
        <v>1503847.75</v>
      </c>
      <c r="J535" s="41">
        <f>IF(FINANCIACION[[#This Row],[$ CAPITAL]]&gt;=0,FINANCIACION[[#This Row],[$ CAPITAL]]+FINANCIACION[[#This Row],[$ INTERESES]],0)</f>
        <v>1532000</v>
      </c>
      <c r="K535" s="13"/>
      <c r="N535" s="8"/>
      <c r="O535" s="12"/>
      <c r="P535" s="11"/>
    </row>
    <row r="536" spans="1:16" ht="24" hidden="1" customHeight="1" x14ac:dyDescent="0.3">
      <c r="A536" s="9">
        <v>44284</v>
      </c>
      <c r="B536" s="63" t="s">
        <v>1228</v>
      </c>
      <c r="C536" s="7">
        <v>2572447.9900000021</v>
      </c>
      <c r="D536" s="7">
        <v>12552.009999997914</v>
      </c>
      <c r="E536" s="7">
        <v>2585000</v>
      </c>
      <c r="F536" s="7">
        <v>-58423299.589999996</v>
      </c>
      <c r="G536" s="10"/>
      <c r="H536" s="10"/>
      <c r="I536" s="7">
        <f>IF(FINANCIACION[[#This Row],[$ CAPITAL]]&gt;0,FINANCIACION[[#This Row],[$ CAPITAL]])</f>
        <v>2572447.9900000021</v>
      </c>
      <c r="J536" s="41">
        <f>IF(FINANCIACION[[#This Row],[$ CAPITAL]]&gt;=0,FINANCIACION[[#This Row],[$ CAPITAL]]+FINANCIACION[[#This Row],[$ INTERESES]],0)</f>
        <v>2585000</v>
      </c>
      <c r="K536" s="13"/>
      <c r="N536" s="8"/>
      <c r="O536" s="12"/>
      <c r="P536" s="11"/>
    </row>
    <row r="537" spans="1:16" ht="24" hidden="1" customHeight="1" x14ac:dyDescent="0.3">
      <c r="A537" s="9">
        <v>44284</v>
      </c>
      <c r="B537" s="63" t="s">
        <v>1229</v>
      </c>
      <c r="C537" s="7">
        <v>4917561.8900000006</v>
      </c>
      <c r="D537" s="7">
        <v>82438.109999999404</v>
      </c>
      <c r="E537" s="7">
        <v>5000000</v>
      </c>
      <c r="F537" s="7">
        <v>-83559327.340000004</v>
      </c>
      <c r="G537" s="10"/>
      <c r="H537" s="10"/>
      <c r="I537" s="7">
        <f>IF(FINANCIACION[[#This Row],[$ CAPITAL]]&gt;0,FINANCIACION[[#This Row],[$ CAPITAL]])</f>
        <v>4917561.8900000006</v>
      </c>
      <c r="J537" s="41">
        <f>IF(FINANCIACION[[#This Row],[$ CAPITAL]]&gt;=0,FINANCIACION[[#This Row],[$ CAPITAL]]+FINANCIACION[[#This Row],[$ INTERESES]],0)</f>
        <v>5000000</v>
      </c>
      <c r="K537" s="13"/>
      <c r="N537" s="8"/>
      <c r="O537" s="12"/>
      <c r="P537" s="11"/>
    </row>
    <row r="538" spans="1:16" ht="24" hidden="1" customHeight="1" x14ac:dyDescent="0.3">
      <c r="A538" s="9">
        <v>44284</v>
      </c>
      <c r="B538" s="63" t="s">
        <v>1230</v>
      </c>
      <c r="C538" s="7">
        <v>997424.58000000194</v>
      </c>
      <c r="D538" s="7">
        <v>20575.419999998063</v>
      </c>
      <c r="E538" s="7">
        <v>1018000</v>
      </c>
      <c r="F538" s="7">
        <v>-23708908.569999997</v>
      </c>
      <c r="G538" s="10"/>
      <c r="H538" s="10"/>
      <c r="I538" s="7">
        <f>IF(FINANCIACION[[#This Row],[$ CAPITAL]]&gt;0,FINANCIACION[[#This Row],[$ CAPITAL]])</f>
        <v>997424.58000000194</v>
      </c>
      <c r="J538" s="41">
        <f>IF(FINANCIACION[[#This Row],[$ CAPITAL]]&gt;=0,FINANCIACION[[#This Row],[$ CAPITAL]]+FINANCIACION[[#This Row],[$ INTERESES]],0)</f>
        <v>1018000</v>
      </c>
      <c r="K538" s="13"/>
      <c r="N538" s="8"/>
      <c r="O538" s="12"/>
      <c r="P538" s="11"/>
    </row>
    <row r="539" spans="1:16" ht="24" hidden="1" customHeight="1" x14ac:dyDescent="0.3">
      <c r="A539" s="9">
        <v>44284</v>
      </c>
      <c r="B539" s="63" t="s">
        <v>1232</v>
      </c>
      <c r="C539" s="7">
        <v>1233330.6600000001</v>
      </c>
      <c r="D539" s="7">
        <v>22384.339999999851</v>
      </c>
      <c r="E539" s="7">
        <v>1255715</v>
      </c>
      <c r="F539" s="7">
        <v>-25757829.890000001</v>
      </c>
      <c r="G539" s="10"/>
      <c r="H539" s="10"/>
      <c r="I539" s="7">
        <f>IF(FINANCIACION[[#This Row],[$ CAPITAL]]&gt;0,FINANCIACION[[#This Row],[$ CAPITAL]])</f>
        <v>1233330.6600000001</v>
      </c>
      <c r="J539" s="41">
        <f>IF(FINANCIACION[[#This Row],[$ CAPITAL]]&gt;=0,FINANCIACION[[#This Row],[$ CAPITAL]]+FINANCIACION[[#This Row],[$ INTERESES]],0)</f>
        <v>1255715</v>
      </c>
      <c r="K539" s="13"/>
      <c r="N539" s="8"/>
      <c r="O539" s="12"/>
      <c r="P539" s="11"/>
    </row>
    <row r="540" spans="1:16" ht="24" hidden="1" customHeight="1" x14ac:dyDescent="0.3">
      <c r="A540" s="9">
        <v>44285</v>
      </c>
      <c r="B540" s="63" t="s">
        <v>297</v>
      </c>
      <c r="C540" s="7">
        <v>-55440541</v>
      </c>
      <c r="D540" s="7"/>
      <c r="E540" s="7" t="s">
        <v>146</v>
      </c>
      <c r="F540" s="7">
        <v>-55440541</v>
      </c>
      <c r="G540" s="10" t="s">
        <v>1234</v>
      </c>
      <c r="H540" s="10">
        <v>-14983.93</v>
      </c>
      <c r="I540" s="7" t="b">
        <f>IF(FINANCIACION[[#This Row],[$ CAPITAL]]&gt;0,FINANCIACION[[#This Row],[$ CAPITAL]])</f>
        <v>0</v>
      </c>
      <c r="J540" s="41">
        <f>IF(FINANCIACION[[#This Row],[$ CAPITAL]]&gt;=0,FINANCIACION[[#This Row],[$ CAPITAL]]+FINANCIACION[[#This Row],[$ INTERESES]],0)</f>
        <v>0</v>
      </c>
      <c r="K540" s="13"/>
      <c r="N540" s="8"/>
      <c r="O540" s="12"/>
      <c r="P540" s="11"/>
    </row>
    <row r="541" spans="1:16" ht="24" hidden="1" customHeight="1" x14ac:dyDescent="0.3">
      <c r="A541" s="9">
        <v>44285</v>
      </c>
      <c r="B541" s="63" t="s">
        <v>204</v>
      </c>
      <c r="C541" s="7">
        <v>1068900</v>
      </c>
      <c r="D541" s="7"/>
      <c r="E541" s="7">
        <v>1068900</v>
      </c>
      <c r="F541" s="7">
        <v>-26384700</v>
      </c>
      <c r="G541" s="10" t="s">
        <v>233</v>
      </c>
      <c r="H541" s="10"/>
      <c r="I541" s="7">
        <f>IF(FINANCIACION[[#This Row],[$ CAPITAL]]&gt;0,FINANCIACION[[#This Row],[$ CAPITAL]])</f>
        <v>1068900</v>
      </c>
      <c r="J541" s="41">
        <f>IF(FINANCIACION[[#This Row],[$ CAPITAL]]&gt;=0,FINANCIACION[[#This Row],[$ CAPITAL]]+FINANCIACION[[#This Row],[$ INTERESES]],0)</f>
        <v>1068900</v>
      </c>
      <c r="K541" s="13"/>
      <c r="N541" s="8"/>
      <c r="O541" s="12"/>
      <c r="P541" s="11"/>
    </row>
    <row r="542" spans="1:16" ht="24" hidden="1" customHeight="1" x14ac:dyDescent="0.3">
      <c r="A542" s="9">
        <v>44286</v>
      </c>
      <c r="B542" s="63" t="s">
        <v>195</v>
      </c>
      <c r="C542" s="7">
        <v>1468400</v>
      </c>
      <c r="D542" s="7">
        <v>506320</v>
      </c>
      <c r="E542" s="7">
        <v>1974720</v>
      </c>
      <c r="F542" s="7">
        <v>-52862433</v>
      </c>
      <c r="G542" s="10"/>
      <c r="H542" s="10"/>
      <c r="I542" s="7">
        <f>IF(FINANCIACION[[#This Row],[$ CAPITAL]]&gt;0,FINANCIACION[[#This Row],[$ CAPITAL]])</f>
        <v>1468400</v>
      </c>
      <c r="J542" s="41">
        <f>IF(FINANCIACION[[#This Row],[$ CAPITAL]]&gt;=0,FINANCIACION[[#This Row],[$ CAPITAL]]+FINANCIACION[[#This Row],[$ INTERESES]],0)</f>
        <v>1974720</v>
      </c>
      <c r="K542" s="13"/>
      <c r="N542" s="8"/>
      <c r="O542" s="12"/>
      <c r="P542" s="11"/>
    </row>
    <row r="543" spans="1:16" ht="24" hidden="1" customHeight="1" x14ac:dyDescent="0.3">
      <c r="A543" s="9">
        <v>44286</v>
      </c>
      <c r="B543" s="63" t="s">
        <v>196</v>
      </c>
      <c r="C543" s="7"/>
      <c r="D543" s="7">
        <v>76791</v>
      </c>
      <c r="E543" s="7">
        <v>76791</v>
      </c>
      <c r="F543" s="7">
        <v>-2841267</v>
      </c>
      <c r="G543" s="10"/>
      <c r="H543" s="10"/>
      <c r="I543" s="7" t="b">
        <f>IF(FINANCIACION[[#This Row],[$ CAPITAL]]&gt;0,FINANCIACION[[#This Row],[$ CAPITAL]])</f>
        <v>0</v>
      </c>
      <c r="J543" s="41">
        <f>IF(FINANCIACION[[#This Row],[$ CAPITAL]]&gt;=0,FINANCIACION[[#This Row],[$ CAPITAL]]+FINANCIACION[[#This Row],[$ INTERESES]],0)</f>
        <v>76791</v>
      </c>
      <c r="K543" s="13"/>
      <c r="N543" s="8"/>
      <c r="O543" s="12"/>
      <c r="P543" s="11"/>
    </row>
    <row r="544" spans="1:16" ht="24" hidden="1" customHeight="1" x14ac:dyDescent="0.3">
      <c r="A544" s="9">
        <v>44286</v>
      </c>
      <c r="B544" s="63" t="s">
        <v>1224</v>
      </c>
      <c r="C544" s="7">
        <v>-4128919</v>
      </c>
      <c r="D544" s="7"/>
      <c r="E544" s="7" t="s">
        <v>146</v>
      </c>
      <c r="F544" s="7">
        <v>-351122469</v>
      </c>
      <c r="G544" s="10" t="s">
        <v>233</v>
      </c>
      <c r="H544" s="10"/>
      <c r="I544" s="7" t="b">
        <f>IF(FINANCIACION[[#This Row],[$ CAPITAL]]&gt;0,FINANCIACION[[#This Row],[$ CAPITAL]])</f>
        <v>0</v>
      </c>
      <c r="J544" s="41">
        <f>IF(FINANCIACION[[#This Row],[$ CAPITAL]]&gt;=0,FINANCIACION[[#This Row],[$ CAPITAL]]+FINANCIACION[[#This Row],[$ INTERESES]],0)</f>
        <v>0</v>
      </c>
      <c r="K544" s="13"/>
      <c r="N544" s="8"/>
      <c r="O544" s="12"/>
      <c r="P544" s="11"/>
    </row>
    <row r="545" spans="1:16" ht="24" hidden="1" customHeight="1" x14ac:dyDescent="0.3">
      <c r="A545" s="9">
        <v>44286</v>
      </c>
      <c r="B545" s="63" t="s">
        <v>1225</v>
      </c>
      <c r="C545" s="7">
        <v>-208305.96000000462</v>
      </c>
      <c r="D545" s="7"/>
      <c r="E545" s="7" t="s">
        <v>146</v>
      </c>
      <c r="F545" s="7">
        <v>-70787902.990000024</v>
      </c>
      <c r="G545" s="10" t="s">
        <v>233</v>
      </c>
      <c r="H545" s="10"/>
      <c r="I545" s="7" t="b">
        <f>IF(FINANCIACION[[#This Row],[$ CAPITAL]]&gt;0,FINANCIACION[[#This Row],[$ CAPITAL]])</f>
        <v>0</v>
      </c>
      <c r="J545" s="41">
        <f>IF(FINANCIACION[[#This Row],[$ CAPITAL]]&gt;=0,FINANCIACION[[#This Row],[$ CAPITAL]]+FINANCIACION[[#This Row],[$ INTERESES]],0)</f>
        <v>0</v>
      </c>
      <c r="K545" s="13"/>
      <c r="N545" s="8"/>
      <c r="O545" s="12"/>
      <c r="P545" s="11"/>
    </row>
    <row r="546" spans="1:16" ht="24" hidden="1" customHeight="1" x14ac:dyDescent="0.3">
      <c r="A546" s="9">
        <v>44286</v>
      </c>
      <c r="B546" s="63" t="s">
        <v>1225</v>
      </c>
      <c r="C546" s="7">
        <v>67182</v>
      </c>
      <c r="D546" s="7"/>
      <c r="E546" s="7">
        <v>67182</v>
      </c>
      <c r="F546" s="7">
        <v>-70787902.990000024</v>
      </c>
      <c r="G546" s="10" t="s">
        <v>233</v>
      </c>
      <c r="H546" s="10"/>
      <c r="I546" s="7">
        <f>IF(FINANCIACION[[#This Row],[$ CAPITAL]]&gt;0,FINANCIACION[[#This Row],[$ CAPITAL]])</f>
        <v>67182</v>
      </c>
      <c r="J546" s="41">
        <f>IF(FINANCIACION[[#This Row],[$ CAPITAL]]&gt;=0,FINANCIACION[[#This Row],[$ CAPITAL]]+FINANCIACION[[#This Row],[$ INTERESES]],0)</f>
        <v>67182</v>
      </c>
      <c r="K546" s="13"/>
      <c r="N546" s="8"/>
      <c r="O546" s="12"/>
      <c r="P546" s="11"/>
    </row>
    <row r="547" spans="1:16" ht="24" hidden="1" customHeight="1" x14ac:dyDescent="0.3">
      <c r="A547" s="9">
        <v>44286</v>
      </c>
      <c r="B547" s="63" t="s">
        <v>1225</v>
      </c>
      <c r="C547" s="7">
        <v>-16500498</v>
      </c>
      <c r="D547" s="7"/>
      <c r="E547" s="7" t="s">
        <v>146</v>
      </c>
      <c r="F547" s="7">
        <v>-70787902.990000024</v>
      </c>
      <c r="G547" s="10" t="s">
        <v>233</v>
      </c>
      <c r="H547" s="10"/>
      <c r="I547" s="7" t="b">
        <f>IF(FINANCIACION[[#This Row],[$ CAPITAL]]&gt;0,FINANCIACION[[#This Row],[$ CAPITAL]])</f>
        <v>0</v>
      </c>
      <c r="J547" s="41">
        <f>IF(FINANCIACION[[#This Row],[$ CAPITAL]]&gt;=0,FINANCIACION[[#This Row],[$ CAPITAL]]+FINANCIACION[[#This Row],[$ INTERESES]],0)</f>
        <v>0</v>
      </c>
      <c r="K547" s="13"/>
      <c r="N547" s="8"/>
      <c r="O547" s="12"/>
      <c r="P547" s="11"/>
    </row>
    <row r="548" spans="1:16" ht="24" hidden="1" customHeight="1" x14ac:dyDescent="0.3">
      <c r="A548" s="9">
        <v>44286</v>
      </c>
      <c r="B548" s="63" t="s">
        <v>1225</v>
      </c>
      <c r="C548" s="7">
        <v>-4040471</v>
      </c>
      <c r="D548" s="7"/>
      <c r="E548" s="7" t="s">
        <v>146</v>
      </c>
      <c r="F548" s="7">
        <v>-70787902.990000024</v>
      </c>
      <c r="G548" s="10" t="s">
        <v>233</v>
      </c>
      <c r="H548" s="10"/>
      <c r="I548" s="7" t="b">
        <f>IF(FINANCIACION[[#This Row],[$ CAPITAL]]&gt;0,FINANCIACION[[#This Row],[$ CAPITAL]])</f>
        <v>0</v>
      </c>
      <c r="J548" s="41">
        <f>IF(FINANCIACION[[#This Row],[$ CAPITAL]]&gt;=0,FINANCIACION[[#This Row],[$ CAPITAL]]+FINANCIACION[[#This Row],[$ INTERESES]],0)</f>
        <v>0</v>
      </c>
      <c r="K548" s="13"/>
      <c r="N548" s="8"/>
      <c r="O548" s="12"/>
      <c r="P548" s="11"/>
    </row>
    <row r="549" spans="1:16" ht="24" hidden="1" customHeight="1" x14ac:dyDescent="0.3">
      <c r="A549" s="9">
        <v>44286</v>
      </c>
      <c r="B549" s="63" t="s">
        <v>1225</v>
      </c>
      <c r="C549" s="7">
        <v>-218785.16999999806</v>
      </c>
      <c r="D549" s="7"/>
      <c r="E549" s="7" t="s">
        <v>146</v>
      </c>
      <c r="F549" s="7">
        <v>-70787902.990000024</v>
      </c>
      <c r="G549" s="10" t="s">
        <v>233</v>
      </c>
      <c r="H549" s="10"/>
      <c r="I549" s="7" t="b">
        <f>IF(FINANCIACION[[#This Row],[$ CAPITAL]]&gt;0,FINANCIACION[[#This Row],[$ CAPITAL]])</f>
        <v>0</v>
      </c>
      <c r="J549" s="41">
        <f>IF(FINANCIACION[[#This Row],[$ CAPITAL]]&gt;=0,FINANCIACION[[#This Row],[$ CAPITAL]]+FINANCIACION[[#This Row],[$ INTERESES]],0)</f>
        <v>0</v>
      </c>
      <c r="K549" s="13"/>
      <c r="N549" s="8"/>
      <c r="O549" s="12"/>
      <c r="P549" s="11"/>
    </row>
    <row r="550" spans="1:16" ht="24" hidden="1" customHeight="1" x14ac:dyDescent="0.3">
      <c r="A550" s="9">
        <v>44286</v>
      </c>
      <c r="B550" s="63" t="s">
        <v>1228</v>
      </c>
      <c r="C550" s="7">
        <v>-479341.21000000089</v>
      </c>
      <c r="D550" s="7"/>
      <c r="E550" s="7" t="s">
        <v>146</v>
      </c>
      <c r="F550" s="7">
        <v>-58902640.799999997</v>
      </c>
      <c r="G550" s="10" t="s">
        <v>233</v>
      </c>
      <c r="H550" s="10"/>
      <c r="I550" s="7" t="b">
        <f>IF(FINANCIACION[[#This Row],[$ CAPITAL]]&gt;0,FINANCIACION[[#This Row],[$ CAPITAL]])</f>
        <v>0</v>
      </c>
      <c r="J550" s="41">
        <f>IF(FINANCIACION[[#This Row],[$ CAPITAL]]&gt;=0,FINANCIACION[[#This Row],[$ CAPITAL]]+FINANCIACION[[#This Row],[$ INTERESES]],0)</f>
        <v>0</v>
      </c>
      <c r="K550" s="13"/>
      <c r="N550" s="8"/>
      <c r="O550" s="12"/>
      <c r="P550" s="11"/>
    </row>
    <row r="551" spans="1:16" ht="24" hidden="1" customHeight="1" x14ac:dyDescent="0.3">
      <c r="A551" s="9">
        <v>44286</v>
      </c>
      <c r="B551" s="63" t="s">
        <v>1229</v>
      </c>
      <c r="C551" s="7">
        <v>-703537.09999999404</v>
      </c>
      <c r="D551" s="7"/>
      <c r="E551" s="7" t="s">
        <v>146</v>
      </c>
      <c r="F551" s="7">
        <v>-84262864.439999998</v>
      </c>
      <c r="G551" s="10" t="s">
        <v>233</v>
      </c>
      <c r="H551" s="10"/>
      <c r="I551" s="7" t="b">
        <f>IF(FINANCIACION[[#This Row],[$ CAPITAL]]&gt;0,FINANCIACION[[#This Row],[$ CAPITAL]])</f>
        <v>0</v>
      </c>
      <c r="J551" s="41">
        <f>IF(FINANCIACION[[#This Row],[$ CAPITAL]]&gt;=0,FINANCIACION[[#This Row],[$ CAPITAL]]+FINANCIACION[[#This Row],[$ INTERESES]],0)</f>
        <v>0</v>
      </c>
      <c r="K551" s="13"/>
      <c r="N551" s="8"/>
      <c r="O551" s="12"/>
      <c r="P551" s="11"/>
    </row>
    <row r="552" spans="1:16" ht="24" hidden="1" customHeight="1" x14ac:dyDescent="0.3">
      <c r="A552" s="9">
        <v>44286</v>
      </c>
      <c r="B552" s="63" t="s">
        <v>1230</v>
      </c>
      <c r="C552" s="7">
        <v>-159538.51000000164</v>
      </c>
      <c r="D552" s="7"/>
      <c r="E552" s="7" t="s">
        <v>146</v>
      </c>
      <c r="F552" s="7">
        <v>-23868447.079999998</v>
      </c>
      <c r="G552" s="10" t="s">
        <v>233</v>
      </c>
      <c r="H552" s="10"/>
      <c r="I552" s="7" t="b">
        <f>IF(FINANCIACION[[#This Row],[$ CAPITAL]]&gt;0,FINANCIACION[[#This Row],[$ CAPITAL]])</f>
        <v>0</v>
      </c>
      <c r="J552" s="41">
        <f>IF(FINANCIACION[[#This Row],[$ CAPITAL]]&gt;=0,FINANCIACION[[#This Row],[$ CAPITAL]]+FINANCIACION[[#This Row],[$ INTERESES]],0)</f>
        <v>0</v>
      </c>
      <c r="K552" s="13"/>
      <c r="N552" s="8"/>
      <c r="O552" s="12"/>
      <c r="P552" s="11"/>
    </row>
    <row r="553" spans="1:16" ht="24" hidden="1" customHeight="1" x14ac:dyDescent="0.3">
      <c r="A553" s="9">
        <v>44286</v>
      </c>
      <c r="B553" s="63" t="s">
        <v>1232</v>
      </c>
      <c r="C553" s="7">
        <v>-155319.6400000006</v>
      </c>
      <c r="D553" s="7"/>
      <c r="E553" s="7" t="s">
        <v>146</v>
      </c>
      <c r="F553" s="7">
        <v>-25913149.530000001</v>
      </c>
      <c r="G553" s="10" t="s">
        <v>233</v>
      </c>
      <c r="H553" s="10"/>
      <c r="I553" s="7" t="b">
        <f>IF(FINANCIACION[[#This Row],[$ CAPITAL]]&gt;0,FINANCIACION[[#This Row],[$ CAPITAL]])</f>
        <v>0</v>
      </c>
      <c r="J553" s="41">
        <f>IF(FINANCIACION[[#This Row],[$ CAPITAL]]&gt;=0,FINANCIACION[[#This Row],[$ CAPITAL]]+FINANCIACION[[#This Row],[$ INTERESES]],0)</f>
        <v>0</v>
      </c>
      <c r="K553" s="13"/>
      <c r="N553" s="8"/>
      <c r="O553" s="12"/>
      <c r="P553" s="11"/>
    </row>
    <row r="554" spans="1:16" ht="24" hidden="1" customHeight="1" x14ac:dyDescent="0.3">
      <c r="A554" s="9">
        <v>44290</v>
      </c>
      <c r="B554" s="63" t="s">
        <v>1225</v>
      </c>
      <c r="C554" s="7">
        <v>990094.53000000305</v>
      </c>
      <c r="D554" s="7">
        <v>120069.57999999705</v>
      </c>
      <c r="E554" s="7">
        <v>1110164.1100000001</v>
      </c>
      <c r="F554" s="7">
        <v>-69797808.460000023</v>
      </c>
      <c r="G554" s="10"/>
      <c r="H554" s="10"/>
      <c r="I554" s="7">
        <f>IF(FINANCIACION[[#This Row],[$ CAPITAL]]&gt;0,FINANCIACION[[#This Row],[$ CAPITAL]])</f>
        <v>990094.53000000305</v>
      </c>
      <c r="J554" s="41">
        <f>IF(FINANCIACION[[#This Row],[$ CAPITAL]]&gt;=0,FINANCIACION[[#This Row],[$ CAPITAL]]+FINANCIACION[[#This Row],[$ INTERESES]],0)</f>
        <v>1110164.1100000001</v>
      </c>
      <c r="K554" s="13"/>
      <c r="N554" s="8"/>
      <c r="O554" s="12"/>
      <c r="P554" s="11"/>
    </row>
    <row r="555" spans="1:16" ht="24" hidden="1" customHeight="1" x14ac:dyDescent="0.3">
      <c r="A555" s="9">
        <v>44294</v>
      </c>
      <c r="B555" s="63" t="s">
        <v>199</v>
      </c>
      <c r="C555" s="7">
        <v>6326000</v>
      </c>
      <c r="D555" s="7">
        <v>510908.2</v>
      </c>
      <c r="E555" s="7">
        <v>6836908.2000000002</v>
      </c>
      <c r="F555" s="7">
        <v>-66691126</v>
      </c>
      <c r="G555" s="10"/>
      <c r="H555" s="10"/>
      <c r="I555" s="7">
        <f>IF(FINANCIACION[[#This Row],[$ CAPITAL]]&gt;0,FINANCIACION[[#This Row],[$ CAPITAL]])</f>
        <v>6326000</v>
      </c>
      <c r="J555" s="41">
        <f>IF(FINANCIACION[[#This Row],[$ CAPITAL]]&gt;=0,FINANCIACION[[#This Row],[$ CAPITAL]]+FINANCIACION[[#This Row],[$ INTERESES]],0)</f>
        <v>6836908.2000000002</v>
      </c>
      <c r="K555" s="13"/>
      <c r="N555" s="8"/>
      <c r="O555" s="12"/>
      <c r="P555" s="11"/>
    </row>
    <row r="556" spans="1:16" ht="24" hidden="1" customHeight="1" x14ac:dyDescent="0.3">
      <c r="A556" s="9">
        <v>44299</v>
      </c>
      <c r="B556" s="63" t="s">
        <v>1222</v>
      </c>
      <c r="C556" s="7">
        <v>1722778.2338016599</v>
      </c>
      <c r="D556" s="7">
        <v>843121.7661983401</v>
      </c>
      <c r="E556" s="7">
        <v>2565900</v>
      </c>
      <c r="F556" s="7">
        <v>-82589398.386032343</v>
      </c>
      <c r="G556" s="10"/>
      <c r="H556" s="10"/>
      <c r="I556" s="7">
        <f>IF(FINANCIACION[[#This Row],[$ CAPITAL]]&gt;0,FINANCIACION[[#This Row],[$ CAPITAL]])</f>
        <v>1722778.2338016599</v>
      </c>
      <c r="J556" s="41">
        <f>IF(FINANCIACION[[#This Row],[$ CAPITAL]]&gt;=0,FINANCIACION[[#This Row],[$ CAPITAL]]+FINANCIACION[[#This Row],[$ INTERESES]],0)</f>
        <v>2565900</v>
      </c>
      <c r="K556" s="13"/>
      <c r="N556" s="8"/>
      <c r="O556" s="12"/>
      <c r="P556" s="11"/>
    </row>
    <row r="557" spans="1:16" ht="24" hidden="1" customHeight="1" x14ac:dyDescent="0.3">
      <c r="A557" s="9">
        <v>44299</v>
      </c>
      <c r="B557" s="63" t="s">
        <v>1226</v>
      </c>
      <c r="C557" s="7">
        <v>699200</v>
      </c>
      <c r="D557" s="7">
        <v>600800</v>
      </c>
      <c r="E557" s="7">
        <v>1300000</v>
      </c>
      <c r="F557" s="7">
        <v>-59380800</v>
      </c>
      <c r="G557" s="10"/>
      <c r="H557" s="10"/>
      <c r="I557" s="7">
        <f>IF(FINANCIACION[[#This Row],[$ CAPITAL]]&gt;0,FINANCIACION[[#This Row],[$ CAPITAL]])</f>
        <v>699200</v>
      </c>
      <c r="J557" s="41">
        <f>IF(FINANCIACION[[#This Row],[$ CAPITAL]]&gt;=0,FINANCIACION[[#This Row],[$ CAPITAL]]+FINANCIACION[[#This Row],[$ INTERESES]],0)</f>
        <v>1300000</v>
      </c>
      <c r="K557" s="13"/>
      <c r="N557" s="8"/>
      <c r="O557" s="12"/>
      <c r="P557" s="11"/>
    </row>
    <row r="558" spans="1:16" ht="24" hidden="1" customHeight="1" x14ac:dyDescent="0.3">
      <c r="A558" s="9">
        <v>44299</v>
      </c>
      <c r="B558" s="63" t="s">
        <v>1225</v>
      </c>
      <c r="C558" s="7">
        <v>13152852</v>
      </c>
      <c r="D558" s="7"/>
      <c r="E558" s="7">
        <v>13152852</v>
      </c>
      <c r="F558" s="7">
        <v>-56644956.460000023</v>
      </c>
      <c r="G558" s="10"/>
      <c r="H558" s="10"/>
      <c r="I558" s="7">
        <f>IF(FINANCIACION[[#This Row],[$ CAPITAL]]&gt;0,FINANCIACION[[#This Row],[$ CAPITAL]])</f>
        <v>13152852</v>
      </c>
      <c r="J558" s="41">
        <f>IF(FINANCIACION[[#This Row],[$ CAPITAL]]&gt;=0,FINANCIACION[[#This Row],[$ CAPITAL]]+FINANCIACION[[#This Row],[$ INTERESES]],0)</f>
        <v>13152852</v>
      </c>
      <c r="K558" s="13"/>
      <c r="N558" s="8"/>
      <c r="O558" s="12"/>
      <c r="P558" s="11"/>
    </row>
    <row r="559" spans="1:16" ht="24" hidden="1" customHeight="1" x14ac:dyDescent="0.3">
      <c r="A559" s="9">
        <v>44301</v>
      </c>
      <c r="B559" s="63" t="s">
        <v>1235</v>
      </c>
      <c r="C559" s="7">
        <v>-12000000</v>
      </c>
      <c r="D559" s="7"/>
      <c r="E559" s="7" t="s">
        <v>146</v>
      </c>
      <c r="F559" s="7">
        <v>-12000000</v>
      </c>
      <c r="G559" s="10"/>
      <c r="H559" s="10"/>
      <c r="I559" s="7" t="b">
        <f>IF(FINANCIACION[[#This Row],[$ CAPITAL]]&gt;0,FINANCIACION[[#This Row],[$ CAPITAL]])</f>
        <v>0</v>
      </c>
      <c r="J559" s="41">
        <f>IF(FINANCIACION[[#This Row],[$ CAPITAL]]&gt;=0,FINANCIACION[[#This Row],[$ CAPITAL]]+FINANCIACION[[#This Row],[$ INTERESES]],0)</f>
        <v>0</v>
      </c>
      <c r="K559" s="13"/>
      <c r="N559" s="8"/>
      <c r="O559" s="12"/>
      <c r="P559" s="11"/>
    </row>
    <row r="560" spans="1:16" ht="24" hidden="1" customHeight="1" x14ac:dyDescent="0.3">
      <c r="A560" s="9">
        <v>44301</v>
      </c>
      <c r="B560" s="63" t="s">
        <v>1225</v>
      </c>
      <c r="C560" s="7">
        <v>4904459</v>
      </c>
      <c r="D560" s="7"/>
      <c r="E560" s="7">
        <v>4904459</v>
      </c>
      <c r="F560" s="7">
        <v>-51740497.460000023</v>
      </c>
      <c r="G560" s="10"/>
      <c r="H560" s="10"/>
      <c r="I560" s="7">
        <f>IF(FINANCIACION[[#This Row],[$ CAPITAL]]&gt;0,FINANCIACION[[#This Row],[$ CAPITAL]])</f>
        <v>4904459</v>
      </c>
      <c r="J560" s="41">
        <f>IF(FINANCIACION[[#This Row],[$ CAPITAL]]&gt;=0,FINANCIACION[[#This Row],[$ CAPITAL]]+FINANCIACION[[#This Row],[$ INTERESES]],0)</f>
        <v>4904459</v>
      </c>
      <c r="K560" s="13"/>
      <c r="N560" s="8"/>
      <c r="O560" s="12"/>
      <c r="P560" s="11"/>
    </row>
    <row r="561" spans="1:16" ht="24" hidden="1" customHeight="1" x14ac:dyDescent="0.3">
      <c r="A561" s="9">
        <v>44312</v>
      </c>
      <c r="B561" s="63" t="s">
        <v>1225</v>
      </c>
      <c r="C561" s="7">
        <v>200700</v>
      </c>
      <c r="D561" s="7"/>
      <c r="E561" s="7">
        <v>200700</v>
      </c>
      <c r="F561" s="7">
        <v>-51539797.460000023</v>
      </c>
      <c r="G561" s="10"/>
      <c r="H561" s="10"/>
      <c r="I561" s="7">
        <f>IF(FINANCIACION[[#This Row],[$ CAPITAL]]&gt;0,FINANCIACION[[#This Row],[$ CAPITAL]])</f>
        <v>200700</v>
      </c>
      <c r="J561" s="41">
        <f>IF(FINANCIACION[[#This Row],[$ CAPITAL]]&gt;=0,FINANCIACION[[#This Row],[$ CAPITAL]]+FINANCIACION[[#This Row],[$ INTERESES]],0)</f>
        <v>200700</v>
      </c>
      <c r="K561" s="13"/>
      <c r="N561" s="8"/>
      <c r="O561" s="12"/>
      <c r="P561" s="11"/>
    </row>
    <row r="562" spans="1:16" ht="24" hidden="1" customHeight="1" x14ac:dyDescent="0.3">
      <c r="A562" s="9">
        <v>44315</v>
      </c>
      <c r="B562" s="63" t="s">
        <v>1225</v>
      </c>
      <c r="C562" s="7">
        <v>1620486.1199999999</v>
      </c>
      <c r="D562" s="7"/>
      <c r="E562" s="7">
        <v>1620486.1199999999</v>
      </c>
      <c r="F562" s="7">
        <v>-49919311.340000026</v>
      </c>
      <c r="G562" s="10"/>
      <c r="H562" s="10"/>
      <c r="I562" s="7">
        <f>IF(FINANCIACION[[#This Row],[$ CAPITAL]]&gt;0,FINANCIACION[[#This Row],[$ CAPITAL]])</f>
        <v>1620486.1199999999</v>
      </c>
      <c r="J562" s="41">
        <f>IF(FINANCIACION[[#This Row],[$ CAPITAL]]&gt;=0,FINANCIACION[[#This Row],[$ CAPITAL]]+FINANCIACION[[#This Row],[$ INTERESES]],0)</f>
        <v>1620486.1199999999</v>
      </c>
      <c r="K562" s="13"/>
      <c r="N562" s="8"/>
      <c r="O562" s="12"/>
      <c r="P562" s="11"/>
    </row>
    <row r="563" spans="1:16" ht="24" hidden="1" customHeight="1" x14ac:dyDescent="0.3">
      <c r="A563" s="9">
        <v>44316</v>
      </c>
      <c r="B563" s="63" t="s">
        <v>195</v>
      </c>
      <c r="C563" s="7">
        <v>1468400</v>
      </c>
      <c r="D563" s="7">
        <v>506320</v>
      </c>
      <c r="E563" s="7">
        <v>1974720</v>
      </c>
      <c r="F563" s="7">
        <v>-51394000</v>
      </c>
      <c r="G563" s="10"/>
      <c r="H563" s="10"/>
      <c r="I563" s="7">
        <f>IF(FINANCIACION[[#This Row],[$ CAPITAL]]&gt;0,FINANCIACION[[#This Row],[$ CAPITAL]])</f>
        <v>1468400</v>
      </c>
      <c r="J563" s="41">
        <f>IF(FINANCIACION[[#This Row],[$ CAPITAL]]&gt;=0,FINANCIACION[[#This Row],[$ CAPITAL]]+FINANCIACION[[#This Row],[$ INTERESES]],0)</f>
        <v>1974720</v>
      </c>
      <c r="K563" s="13"/>
      <c r="N563" s="8"/>
      <c r="O563" s="12"/>
      <c r="P563" s="11"/>
    </row>
    <row r="564" spans="1:16" ht="24" hidden="1" customHeight="1" x14ac:dyDescent="0.3">
      <c r="A564" s="9">
        <v>44316</v>
      </c>
      <c r="B564" s="63" t="s">
        <v>195</v>
      </c>
      <c r="C564" s="7">
        <v>33</v>
      </c>
      <c r="D564" s="7"/>
      <c r="E564" s="7">
        <v>33</v>
      </c>
      <c r="F564" s="7">
        <v>-51394000</v>
      </c>
      <c r="G564" s="10" t="s">
        <v>233</v>
      </c>
      <c r="H564" s="10"/>
      <c r="I564" s="7">
        <f>IF(FINANCIACION[[#This Row],[$ CAPITAL]]&gt;0,FINANCIACION[[#This Row],[$ CAPITAL]])</f>
        <v>33</v>
      </c>
      <c r="J564" s="41">
        <f>IF(FINANCIACION[[#This Row],[$ CAPITAL]]&gt;=0,FINANCIACION[[#This Row],[$ CAPITAL]]+FINANCIACION[[#This Row],[$ INTERESES]],0)</f>
        <v>33</v>
      </c>
    </row>
    <row r="565" spans="1:16" ht="24" hidden="1" customHeight="1" x14ac:dyDescent="0.3">
      <c r="A565" s="9">
        <v>44316</v>
      </c>
      <c r="B565" s="63" t="s">
        <v>196</v>
      </c>
      <c r="C565" s="7"/>
      <c r="D565" s="7">
        <v>76791</v>
      </c>
      <c r="E565" s="7">
        <v>76791</v>
      </c>
      <c r="F565" s="7">
        <v>-2687685</v>
      </c>
      <c r="G565" s="10"/>
      <c r="H565" s="10"/>
      <c r="I565" s="7" t="b">
        <f>IF(FINANCIACION[[#This Row],[$ CAPITAL]]&gt;0,FINANCIACION[[#This Row],[$ CAPITAL]])</f>
        <v>0</v>
      </c>
      <c r="J565" s="41">
        <f>IF(FINANCIACION[[#This Row],[$ CAPITAL]]&gt;=0,FINANCIACION[[#This Row],[$ CAPITAL]]+FINANCIACION[[#This Row],[$ INTERESES]],0)</f>
        <v>76791</v>
      </c>
    </row>
    <row r="566" spans="1:16" ht="24" hidden="1" customHeight="1" x14ac:dyDescent="0.3">
      <c r="A566" s="9">
        <v>44316</v>
      </c>
      <c r="B566" s="63" t="s">
        <v>196</v>
      </c>
      <c r="C566" s="7">
        <v>153582</v>
      </c>
      <c r="D566" s="7"/>
      <c r="E566" s="7">
        <v>153582</v>
      </c>
      <c r="F566" s="7">
        <v>-2687685</v>
      </c>
      <c r="G566" s="10" t="s">
        <v>233</v>
      </c>
      <c r="H566" s="10"/>
      <c r="I566" s="7">
        <f>IF(FINANCIACION[[#This Row],[$ CAPITAL]]&gt;0,FINANCIACION[[#This Row],[$ CAPITAL]])</f>
        <v>153582</v>
      </c>
      <c r="J566" s="41">
        <f>IF(FINANCIACION[[#This Row],[$ CAPITAL]]&gt;=0,FINANCIACION[[#This Row],[$ CAPITAL]]+FINANCIACION[[#This Row],[$ INTERESES]],0)</f>
        <v>153582</v>
      </c>
    </row>
    <row r="567" spans="1:16" ht="24" hidden="1" customHeight="1" x14ac:dyDescent="0.3">
      <c r="A567" s="9">
        <v>44316</v>
      </c>
      <c r="B567" s="63" t="s">
        <v>198</v>
      </c>
      <c r="C567" s="7">
        <v>-5150336</v>
      </c>
      <c r="D567" s="7"/>
      <c r="E567" s="7" t="s">
        <v>146</v>
      </c>
      <c r="F567" s="7">
        <v>-97856384</v>
      </c>
      <c r="G567" s="10" t="s">
        <v>233</v>
      </c>
      <c r="H567" s="10"/>
      <c r="I567" s="7" t="b">
        <f>IF(FINANCIACION[[#This Row],[$ CAPITAL]]&gt;0,FINANCIACION[[#This Row],[$ CAPITAL]])</f>
        <v>0</v>
      </c>
      <c r="J567" s="41">
        <f>IF(FINANCIACION[[#This Row],[$ CAPITAL]]&gt;=0,FINANCIACION[[#This Row],[$ CAPITAL]]+FINANCIACION[[#This Row],[$ INTERESES]],0)</f>
        <v>0</v>
      </c>
    </row>
    <row r="568" spans="1:16" ht="24" hidden="1" customHeight="1" x14ac:dyDescent="0.3">
      <c r="A568" s="9">
        <v>44316</v>
      </c>
      <c r="B568" s="63" t="s">
        <v>297</v>
      </c>
      <c r="C568" s="7">
        <v>-1498393</v>
      </c>
      <c r="D568" s="7"/>
      <c r="E568" s="7" t="s">
        <v>146</v>
      </c>
      <c r="F568" s="7">
        <v>-56938934</v>
      </c>
      <c r="G568" s="10" t="s">
        <v>233</v>
      </c>
      <c r="H568" s="10"/>
      <c r="I568" s="7" t="b">
        <f>IF(FINANCIACION[[#This Row],[$ CAPITAL]]&gt;0,FINANCIACION[[#This Row],[$ CAPITAL]])</f>
        <v>0</v>
      </c>
      <c r="J568" s="41">
        <f>IF(FINANCIACION[[#This Row],[$ CAPITAL]]&gt;=0,FINANCIACION[[#This Row],[$ CAPITAL]]+FINANCIACION[[#This Row],[$ INTERESES]],0)</f>
        <v>0</v>
      </c>
    </row>
    <row r="569" spans="1:16" ht="24" hidden="1" customHeight="1" x14ac:dyDescent="0.3">
      <c r="A569" s="9">
        <v>44316</v>
      </c>
      <c r="B569" s="63" t="s">
        <v>1224</v>
      </c>
      <c r="C569" s="7">
        <v>-3722340</v>
      </c>
      <c r="D569" s="7"/>
      <c r="E569" s="7" t="s">
        <v>146</v>
      </c>
      <c r="F569" s="7">
        <v>-354844809</v>
      </c>
      <c r="G569" s="10" t="s">
        <v>233</v>
      </c>
      <c r="H569" s="10"/>
      <c r="I569" s="7" t="b">
        <f>IF(FINANCIACION[[#This Row],[$ CAPITAL]]&gt;0,FINANCIACION[[#This Row],[$ CAPITAL]])</f>
        <v>0</v>
      </c>
      <c r="J569" s="41">
        <f>IF(FINANCIACION[[#This Row],[$ CAPITAL]]&gt;=0,FINANCIACION[[#This Row],[$ CAPITAL]]+FINANCIACION[[#This Row],[$ INTERESES]],0)</f>
        <v>0</v>
      </c>
    </row>
    <row r="570" spans="1:16" ht="24" hidden="1" customHeight="1" x14ac:dyDescent="0.3">
      <c r="A570" s="9">
        <v>44316</v>
      </c>
      <c r="B570" s="63" t="s">
        <v>1225</v>
      </c>
      <c r="C570" s="7">
        <v>1096187</v>
      </c>
      <c r="D570" s="7"/>
      <c r="E570" s="7">
        <v>1096187</v>
      </c>
      <c r="F570" s="7">
        <v>-71741402.340000033</v>
      </c>
      <c r="G570" s="10" t="s">
        <v>233</v>
      </c>
      <c r="H570" s="10"/>
      <c r="I570" s="7">
        <f>IF(FINANCIACION[[#This Row],[$ CAPITAL]]&gt;0,FINANCIACION[[#This Row],[$ CAPITAL]])</f>
        <v>1096187</v>
      </c>
      <c r="J570" s="41">
        <f>IF(FINANCIACION[[#This Row],[$ CAPITAL]]&gt;=0,FINANCIACION[[#This Row],[$ CAPITAL]]+FINANCIACION[[#This Row],[$ INTERESES]],0)</f>
        <v>1096187</v>
      </c>
    </row>
    <row r="571" spans="1:16" ht="24" hidden="1" customHeight="1" x14ac:dyDescent="0.3">
      <c r="A571" s="9">
        <v>44316</v>
      </c>
      <c r="B571" s="63" t="s">
        <v>1225</v>
      </c>
      <c r="C571" s="7">
        <v>-22691238.119999997</v>
      </c>
      <c r="D571" s="7"/>
      <c r="E571" s="7" t="s">
        <v>146</v>
      </c>
      <c r="F571" s="7">
        <v>-71741402.340000033</v>
      </c>
      <c r="G571" s="10" t="s">
        <v>233</v>
      </c>
      <c r="H571" s="10"/>
      <c r="I571" s="7" t="b">
        <f>IF(FINANCIACION[[#This Row],[$ CAPITAL]]&gt;0,FINANCIACION[[#This Row],[$ CAPITAL]])</f>
        <v>0</v>
      </c>
      <c r="J571" s="41">
        <f>IF(FINANCIACION[[#This Row],[$ CAPITAL]]&gt;=0,FINANCIACION[[#This Row],[$ CAPITAL]]+FINANCIACION[[#This Row],[$ INTERESES]],0)</f>
        <v>0</v>
      </c>
    </row>
    <row r="572" spans="1:16" ht="24" hidden="1" customHeight="1" x14ac:dyDescent="0.3">
      <c r="A572" s="9">
        <v>44316</v>
      </c>
      <c r="B572" s="63" t="s">
        <v>1225</v>
      </c>
      <c r="C572" s="7">
        <v>-18535</v>
      </c>
      <c r="D572" s="7"/>
      <c r="E572" s="7" t="s">
        <v>146</v>
      </c>
      <c r="F572" s="7">
        <v>-71741402.340000033</v>
      </c>
      <c r="G572" s="10" t="s">
        <v>233</v>
      </c>
      <c r="H572" s="10"/>
      <c r="I572" s="7" t="b">
        <f>IF(FINANCIACION[[#This Row],[$ CAPITAL]]&gt;0,FINANCIACION[[#This Row],[$ CAPITAL]])</f>
        <v>0</v>
      </c>
      <c r="J572" s="41">
        <f>IF(FINANCIACION[[#This Row],[$ CAPITAL]]&gt;=0,FINANCIACION[[#This Row],[$ CAPITAL]]+FINANCIACION[[#This Row],[$ INTERESES]],0)</f>
        <v>0</v>
      </c>
    </row>
    <row r="573" spans="1:16" ht="24" hidden="1" customHeight="1" x14ac:dyDescent="0.3">
      <c r="A573" s="9">
        <v>44316</v>
      </c>
      <c r="B573" s="63" t="s">
        <v>1225</v>
      </c>
      <c r="C573" s="7">
        <v>-208504.88000000268</v>
      </c>
      <c r="D573" s="7"/>
      <c r="E573" s="7" t="s">
        <v>146</v>
      </c>
      <c r="F573" s="7">
        <v>-71741402.340000033</v>
      </c>
      <c r="G573" s="10" t="s">
        <v>233</v>
      </c>
      <c r="H573" s="10"/>
      <c r="I573" s="7" t="b">
        <f>IF(FINANCIACION[[#This Row],[$ CAPITAL]]&gt;0,FINANCIACION[[#This Row],[$ CAPITAL]])</f>
        <v>0</v>
      </c>
      <c r="J573" s="41">
        <f>IF(FINANCIACION[[#This Row],[$ CAPITAL]]&gt;=0,FINANCIACION[[#This Row],[$ CAPITAL]]+FINANCIACION[[#This Row],[$ INTERESES]],0)</f>
        <v>0</v>
      </c>
    </row>
    <row r="574" spans="1:16" ht="24" hidden="1" customHeight="1" x14ac:dyDescent="0.3">
      <c r="A574" s="9">
        <v>44316</v>
      </c>
      <c r="B574" s="63" t="s">
        <v>1228</v>
      </c>
      <c r="C574" s="7">
        <v>2220246.8299999982</v>
      </c>
      <c r="D574" s="7"/>
      <c r="E574" s="7">
        <v>2220246.8299999982</v>
      </c>
      <c r="F574" s="7">
        <v>-56682393.969999999</v>
      </c>
      <c r="G574" s="10" t="s">
        <v>233</v>
      </c>
      <c r="H574" s="10"/>
      <c r="I574" s="7">
        <f>IF(FINANCIACION[[#This Row],[$ CAPITAL]]&gt;0,FINANCIACION[[#This Row],[$ CAPITAL]])</f>
        <v>2220246.8299999982</v>
      </c>
      <c r="J574" s="41">
        <f>IF(FINANCIACION[[#This Row],[$ CAPITAL]]&gt;=0,FINANCIACION[[#This Row],[$ CAPITAL]]+FINANCIACION[[#This Row],[$ INTERESES]],0)</f>
        <v>2220246.8299999982</v>
      </c>
    </row>
    <row r="575" spans="1:16" ht="24" hidden="1" customHeight="1" x14ac:dyDescent="0.3">
      <c r="A575" s="9">
        <v>44316</v>
      </c>
      <c r="B575" s="63" t="s">
        <v>1229</v>
      </c>
      <c r="C575" s="7">
        <v>2039889.7599999905</v>
      </c>
      <c r="D575" s="7"/>
      <c r="E575" s="7">
        <v>2039889.7599999905</v>
      </c>
      <c r="F575" s="7">
        <v>-82222974.680000007</v>
      </c>
      <c r="G575" s="10" t="s">
        <v>233</v>
      </c>
      <c r="H575" s="10"/>
      <c r="I575" s="7">
        <f>IF(FINANCIACION[[#This Row],[$ CAPITAL]]&gt;0,FINANCIACION[[#This Row],[$ CAPITAL]])</f>
        <v>2039889.7599999905</v>
      </c>
      <c r="J575" s="41">
        <f>IF(FINANCIACION[[#This Row],[$ CAPITAL]]&gt;=0,FINANCIACION[[#This Row],[$ CAPITAL]]+FINANCIACION[[#This Row],[$ INTERESES]],0)</f>
        <v>2039889.7599999905</v>
      </c>
    </row>
    <row r="576" spans="1:16" ht="24" hidden="1" customHeight="1" x14ac:dyDescent="0.3">
      <c r="A576" s="9">
        <v>44316</v>
      </c>
      <c r="B576" s="63" t="s">
        <v>1230</v>
      </c>
      <c r="C576" s="7">
        <v>-152551.12000000104</v>
      </c>
      <c r="D576" s="7"/>
      <c r="E576" s="7" t="s">
        <v>146</v>
      </c>
      <c r="F576" s="7">
        <v>-24020998.199999999</v>
      </c>
      <c r="G576" s="10" t="s">
        <v>233</v>
      </c>
      <c r="H576" s="10"/>
      <c r="I576" s="7" t="b">
        <f>IF(FINANCIACION[[#This Row],[$ CAPITAL]]&gt;0,FINANCIACION[[#This Row],[$ CAPITAL]])</f>
        <v>0</v>
      </c>
      <c r="J576" s="41">
        <f>IF(FINANCIACION[[#This Row],[$ CAPITAL]]&gt;=0,FINANCIACION[[#This Row],[$ CAPITAL]]+FINANCIACION[[#This Row],[$ INTERESES]],0)</f>
        <v>0</v>
      </c>
    </row>
    <row r="577" spans="1:10" ht="24" hidden="1" customHeight="1" x14ac:dyDescent="0.3">
      <c r="A577" s="9">
        <v>44316</v>
      </c>
      <c r="B577" s="63" t="s">
        <v>1232</v>
      </c>
      <c r="C577" s="7">
        <v>-171349.36999999732</v>
      </c>
      <c r="D577" s="7"/>
      <c r="E577" s="7" t="s">
        <v>146</v>
      </c>
      <c r="F577" s="7">
        <v>-26084498.899999999</v>
      </c>
      <c r="G577" s="10" t="s">
        <v>233</v>
      </c>
      <c r="H577" s="10"/>
      <c r="I577" s="7" t="b">
        <f>IF(FINANCIACION[[#This Row],[$ CAPITAL]]&gt;0,FINANCIACION[[#This Row],[$ CAPITAL]])</f>
        <v>0</v>
      </c>
      <c r="J577" s="41">
        <f>IF(FINANCIACION[[#This Row],[$ CAPITAL]]&gt;=0,FINANCIACION[[#This Row],[$ CAPITAL]]+FINANCIACION[[#This Row],[$ INTERESES]],0)</f>
        <v>0</v>
      </c>
    </row>
    <row r="578" spans="1:10" ht="24" hidden="1" customHeight="1" x14ac:dyDescent="0.3">
      <c r="A578" s="9">
        <v>44316</v>
      </c>
      <c r="B578" s="63" t="s">
        <v>204</v>
      </c>
      <c r="C578" s="7">
        <v>-7917900</v>
      </c>
      <c r="D578" s="7"/>
      <c r="E578" s="7" t="s">
        <v>146</v>
      </c>
      <c r="F578" s="7">
        <v>-34302600</v>
      </c>
      <c r="G578" s="10" t="s">
        <v>233</v>
      </c>
      <c r="H578" s="10"/>
      <c r="I578" s="7" t="b">
        <f>IF(FINANCIACION[[#This Row],[$ CAPITAL]]&gt;0,FINANCIACION[[#This Row],[$ CAPITAL]])</f>
        <v>0</v>
      </c>
      <c r="J578" s="41">
        <f>IF(FINANCIACION[[#This Row],[$ CAPITAL]]&gt;=0,FINANCIACION[[#This Row],[$ CAPITAL]]+FINANCIACION[[#This Row],[$ INTERESES]],0)</f>
        <v>0</v>
      </c>
    </row>
    <row r="579" spans="1:10" ht="24" hidden="1" customHeight="1" x14ac:dyDescent="0.3">
      <c r="A579" s="9">
        <v>44319</v>
      </c>
      <c r="B579" s="63" t="s">
        <v>1232</v>
      </c>
      <c r="C579" s="7">
        <v>894000</v>
      </c>
      <c r="D579" s="7">
        <v>166402.96</v>
      </c>
      <c r="E579" s="7">
        <v>1060402.96</v>
      </c>
      <c r="F579" s="7">
        <v>-25190498.899999999</v>
      </c>
      <c r="G579" s="10"/>
      <c r="H579" s="10"/>
      <c r="I579" s="7">
        <f>IF(FINANCIACION[[#This Row],[$ CAPITAL]]&gt;0,FINANCIACION[[#This Row],[$ CAPITAL]])</f>
        <v>894000</v>
      </c>
      <c r="J579" s="41">
        <f>IF(FINANCIACION[[#This Row],[$ CAPITAL]]&gt;=0,FINANCIACION[[#This Row],[$ CAPITAL]]+FINANCIACION[[#This Row],[$ INTERESES]],0)</f>
        <v>1060402.96</v>
      </c>
    </row>
    <row r="580" spans="1:10" ht="24" hidden="1" customHeight="1" x14ac:dyDescent="0.3">
      <c r="A580" s="9">
        <v>44320</v>
      </c>
      <c r="B580" s="63" t="s">
        <v>1224</v>
      </c>
      <c r="C580" s="7">
        <v>5000000</v>
      </c>
      <c r="D580" s="7"/>
      <c r="E580" s="7">
        <v>5000000</v>
      </c>
      <c r="F580" s="7">
        <v>-349844809</v>
      </c>
      <c r="G580" s="10"/>
      <c r="H580" s="10"/>
      <c r="I580" s="7">
        <f>IF(FINANCIACION[[#This Row],[$ CAPITAL]]&gt;0,FINANCIACION[[#This Row],[$ CAPITAL]])</f>
        <v>5000000</v>
      </c>
      <c r="J580" s="41">
        <f>IF(FINANCIACION[[#This Row],[$ CAPITAL]]&gt;=0,FINANCIACION[[#This Row],[$ CAPITAL]]+FINANCIACION[[#This Row],[$ INTERESES]],0)</f>
        <v>5000000</v>
      </c>
    </row>
    <row r="581" spans="1:10" ht="24" hidden="1" customHeight="1" x14ac:dyDescent="0.3">
      <c r="A581" s="9">
        <v>44320</v>
      </c>
      <c r="B581" s="63" t="s">
        <v>1225</v>
      </c>
      <c r="C581" s="7">
        <v>990094.53000000305</v>
      </c>
      <c r="D581" s="7">
        <v>107658.64999999688</v>
      </c>
      <c r="E581" s="7">
        <v>1097753.18</v>
      </c>
      <c r="F581" s="7">
        <v>-69229307.810000032</v>
      </c>
      <c r="G581" s="10"/>
      <c r="H581" s="10"/>
      <c r="I581" s="7">
        <f>IF(FINANCIACION[[#This Row],[$ CAPITAL]]&gt;0,FINANCIACION[[#This Row],[$ CAPITAL]])</f>
        <v>990094.53000000305</v>
      </c>
      <c r="J581" s="41">
        <f>IF(FINANCIACION[[#This Row],[$ CAPITAL]]&gt;=0,FINANCIACION[[#This Row],[$ CAPITAL]]+FINANCIACION[[#This Row],[$ INTERESES]],0)</f>
        <v>1097753.18</v>
      </c>
    </row>
    <row r="582" spans="1:10" ht="24" hidden="1" customHeight="1" x14ac:dyDescent="0.3">
      <c r="A582" s="9">
        <v>44320</v>
      </c>
      <c r="B582" s="63" t="s">
        <v>1225</v>
      </c>
      <c r="C582" s="7">
        <v>1522000</v>
      </c>
      <c r="D582" s="7"/>
      <c r="E582" s="7">
        <v>1522000</v>
      </c>
      <c r="F582" s="7">
        <v>-69229307.810000032</v>
      </c>
      <c r="G582" s="10"/>
      <c r="H582" s="10"/>
      <c r="I582" s="7">
        <f>IF(FINANCIACION[[#This Row],[$ CAPITAL]]&gt;0,FINANCIACION[[#This Row],[$ CAPITAL]])</f>
        <v>1522000</v>
      </c>
      <c r="J582" s="41">
        <f>IF(FINANCIACION[[#This Row],[$ CAPITAL]]&gt;=0,FINANCIACION[[#This Row],[$ CAPITAL]]+FINANCIACION[[#This Row],[$ INTERESES]],0)</f>
        <v>1522000</v>
      </c>
    </row>
    <row r="583" spans="1:10" ht="24" hidden="1" customHeight="1" x14ac:dyDescent="0.3">
      <c r="A583" s="9">
        <v>44320</v>
      </c>
      <c r="B583" s="63" t="s">
        <v>1230</v>
      </c>
      <c r="C583" s="7">
        <v>1011000</v>
      </c>
      <c r="D583" s="7"/>
      <c r="E583" s="7">
        <v>1011000</v>
      </c>
      <c r="F583" s="7">
        <v>-23009998.199999999</v>
      </c>
      <c r="G583" s="10"/>
      <c r="H583" s="10"/>
      <c r="I583" s="7">
        <f>IF(FINANCIACION[[#This Row],[$ CAPITAL]]&gt;0,FINANCIACION[[#This Row],[$ CAPITAL]])</f>
        <v>1011000</v>
      </c>
      <c r="J583" s="41">
        <f>IF(FINANCIACION[[#This Row],[$ CAPITAL]]&gt;=0,FINANCIACION[[#This Row],[$ CAPITAL]]+FINANCIACION[[#This Row],[$ INTERESES]],0)</f>
        <v>1011000</v>
      </c>
    </row>
    <row r="584" spans="1:10" ht="24" hidden="1" customHeight="1" x14ac:dyDescent="0.3">
      <c r="A584" s="9">
        <v>44328</v>
      </c>
      <c r="B584" s="63" t="s">
        <v>199</v>
      </c>
      <c r="C584" s="7">
        <v>6342416.9000000004</v>
      </c>
      <c r="D584" s="7">
        <v>443060.1</v>
      </c>
      <c r="E584" s="7">
        <v>6785477</v>
      </c>
      <c r="F584" s="7">
        <v>-60348709.100000001</v>
      </c>
      <c r="G584" s="10"/>
      <c r="H584" s="10"/>
      <c r="I584" s="7">
        <f>IF(FINANCIACION[[#This Row],[$ CAPITAL]]&gt;0,FINANCIACION[[#This Row],[$ CAPITAL]])</f>
        <v>6342416.9000000004</v>
      </c>
      <c r="J584" s="41">
        <f>IF(FINANCIACION[[#This Row],[$ CAPITAL]]&gt;=0,FINANCIACION[[#This Row],[$ CAPITAL]]+FINANCIACION[[#This Row],[$ INTERESES]],0)</f>
        <v>6785477</v>
      </c>
    </row>
    <row r="585" spans="1:10" ht="24" hidden="1" customHeight="1" x14ac:dyDescent="0.3">
      <c r="A585" s="9">
        <v>44328</v>
      </c>
      <c r="B585" s="63" t="s">
        <v>1224</v>
      </c>
      <c r="C585" s="7">
        <v>918187</v>
      </c>
      <c r="D585" s="7"/>
      <c r="E585" s="7">
        <v>918187</v>
      </c>
      <c r="F585" s="7">
        <v>-348926622</v>
      </c>
      <c r="G585" s="10"/>
      <c r="H585" s="10"/>
      <c r="I585" s="7">
        <f>IF(FINANCIACION[[#This Row],[$ CAPITAL]]&gt;0,FINANCIACION[[#This Row],[$ CAPITAL]])</f>
        <v>918187</v>
      </c>
      <c r="J585" s="41">
        <f>IF(FINANCIACION[[#This Row],[$ CAPITAL]]&gt;=0,FINANCIACION[[#This Row],[$ CAPITAL]]+FINANCIACION[[#This Row],[$ INTERESES]],0)</f>
        <v>918187</v>
      </c>
    </row>
    <row r="586" spans="1:10" ht="24" hidden="1" customHeight="1" x14ac:dyDescent="0.3">
      <c r="A586" s="9">
        <v>44328</v>
      </c>
      <c r="B586" s="63" t="s">
        <v>1225</v>
      </c>
      <c r="C586" s="7">
        <v>7406400</v>
      </c>
      <c r="D586" s="7"/>
      <c r="E586" s="7">
        <v>7406400</v>
      </c>
      <c r="F586" s="7">
        <v>-58119707.810000032</v>
      </c>
      <c r="G586" s="10"/>
      <c r="H586" s="10"/>
      <c r="I586" s="7">
        <f>IF(FINANCIACION[[#This Row],[$ CAPITAL]]&gt;0,FINANCIACION[[#This Row],[$ CAPITAL]])</f>
        <v>7406400</v>
      </c>
      <c r="J586" s="41">
        <f>IF(FINANCIACION[[#This Row],[$ CAPITAL]]&gt;=0,FINANCIACION[[#This Row],[$ CAPITAL]]+FINANCIACION[[#This Row],[$ INTERESES]],0)</f>
        <v>7406400</v>
      </c>
    </row>
    <row r="587" spans="1:10" ht="24" hidden="1" customHeight="1" x14ac:dyDescent="0.3">
      <c r="A587" s="9">
        <v>44328</v>
      </c>
      <c r="B587" s="63" t="s">
        <v>1225</v>
      </c>
      <c r="C587" s="7">
        <v>3703200</v>
      </c>
      <c r="D587" s="7"/>
      <c r="E587" s="7">
        <v>3703200</v>
      </c>
      <c r="F587" s="7">
        <v>-58119707.810000032</v>
      </c>
      <c r="G587" s="10"/>
      <c r="H587" s="10"/>
      <c r="I587" s="7">
        <f>IF(FINANCIACION[[#This Row],[$ CAPITAL]]&gt;0,FINANCIACION[[#This Row],[$ CAPITAL]])</f>
        <v>3703200</v>
      </c>
      <c r="J587" s="41">
        <f>IF(FINANCIACION[[#This Row],[$ CAPITAL]]&gt;=0,FINANCIACION[[#This Row],[$ CAPITAL]]+FINANCIACION[[#This Row],[$ INTERESES]],0)</f>
        <v>3703200</v>
      </c>
    </row>
    <row r="588" spans="1:10" ht="24" hidden="1" customHeight="1" x14ac:dyDescent="0.3">
      <c r="A588" s="9">
        <v>44330</v>
      </c>
      <c r="B588" s="63" t="s">
        <v>1225</v>
      </c>
      <c r="C588" s="7">
        <v>-35000000</v>
      </c>
      <c r="D588" s="7">
        <v>955808</v>
      </c>
      <c r="E588" s="7" t="s">
        <v>146</v>
      </c>
      <c r="F588" s="7">
        <v>-93119707.810000032</v>
      </c>
      <c r="G588" s="10"/>
      <c r="H588" s="10"/>
      <c r="I588" s="7" t="b">
        <f>IF(FINANCIACION[[#This Row],[$ CAPITAL]]&gt;0,FINANCIACION[[#This Row],[$ CAPITAL]])</f>
        <v>0</v>
      </c>
      <c r="J588" s="41">
        <f>IF(FINANCIACION[[#This Row],[$ CAPITAL]]&gt;=0,FINANCIACION[[#This Row],[$ CAPITAL]]+FINANCIACION[[#This Row],[$ INTERESES]],0)</f>
        <v>0</v>
      </c>
    </row>
    <row r="589" spans="1:10" ht="24" hidden="1" customHeight="1" x14ac:dyDescent="0.3">
      <c r="A589" s="9">
        <v>44330</v>
      </c>
      <c r="B589" s="63" t="s">
        <v>202</v>
      </c>
      <c r="C589" s="7">
        <v>-35000000</v>
      </c>
      <c r="D589" s="7">
        <v>955808</v>
      </c>
      <c r="E589" s="7" t="s">
        <v>146</v>
      </c>
      <c r="F589" s="7">
        <v>-35000000</v>
      </c>
      <c r="G589" s="10"/>
      <c r="H589" s="10"/>
      <c r="I589" s="7" t="b">
        <f>IF(FINANCIACION[[#This Row],[$ CAPITAL]]&gt;0,FINANCIACION[[#This Row],[$ CAPITAL]])</f>
        <v>0</v>
      </c>
      <c r="J589" s="41">
        <f>IF(FINANCIACION[[#This Row],[$ CAPITAL]]&gt;=0,FINANCIACION[[#This Row],[$ CAPITAL]]+FINANCIACION[[#This Row],[$ INTERESES]],0)</f>
        <v>0</v>
      </c>
    </row>
    <row r="590" spans="1:10" ht="24" hidden="1" customHeight="1" x14ac:dyDescent="0.3">
      <c r="A590" s="9">
        <v>44334</v>
      </c>
      <c r="B590" s="63" t="s">
        <v>1225</v>
      </c>
      <c r="C590" s="7">
        <v>8131031.1399999913</v>
      </c>
      <c r="D590" s="7">
        <v>12434.860000008717</v>
      </c>
      <c r="E590" s="7">
        <v>8143466</v>
      </c>
      <c r="F590" s="7">
        <v>-84464929.670000046</v>
      </c>
      <c r="G590" s="10"/>
      <c r="H590" s="10"/>
      <c r="I590" s="7">
        <f>IF(FINANCIACION[[#This Row],[$ CAPITAL]]&gt;0,FINANCIACION[[#This Row],[$ CAPITAL]])</f>
        <v>8131031.1399999913</v>
      </c>
      <c r="J590" s="41">
        <f>IF(FINANCIACION[[#This Row],[$ CAPITAL]]&gt;=0,FINANCIACION[[#This Row],[$ CAPITAL]]+FINANCIACION[[#This Row],[$ INTERESES]],0)</f>
        <v>8143466</v>
      </c>
    </row>
    <row r="591" spans="1:10" ht="24" hidden="1" customHeight="1" x14ac:dyDescent="0.3">
      <c r="A591" s="9">
        <v>44334</v>
      </c>
      <c r="B591" s="63" t="s">
        <v>1225</v>
      </c>
      <c r="C591" s="7">
        <v>523747</v>
      </c>
      <c r="D591" s="7"/>
      <c r="E591" s="7">
        <v>523747</v>
      </c>
      <c r="F591" s="7">
        <v>-84464929.670000046</v>
      </c>
      <c r="G591" s="10"/>
      <c r="H591" s="10"/>
      <c r="I591" s="7">
        <f>IF(FINANCIACION[[#This Row],[$ CAPITAL]]&gt;0,FINANCIACION[[#This Row],[$ CAPITAL]])</f>
        <v>523747</v>
      </c>
      <c r="J591" s="41">
        <f>IF(FINANCIACION[[#This Row],[$ CAPITAL]]&gt;=0,FINANCIACION[[#This Row],[$ CAPITAL]]+FINANCIACION[[#This Row],[$ INTERESES]],0)</f>
        <v>523747</v>
      </c>
    </row>
    <row r="592" spans="1:10" ht="24" hidden="1" customHeight="1" x14ac:dyDescent="0.3">
      <c r="A592" s="9">
        <v>44340</v>
      </c>
      <c r="B592" s="63" t="s">
        <v>1223</v>
      </c>
      <c r="C592" s="7">
        <v>458214.73859999992</v>
      </c>
      <c r="D592" s="7">
        <v>741785.26140000008</v>
      </c>
      <c r="E592" s="7">
        <v>1200000</v>
      </c>
      <c r="F592" s="7">
        <v>-73720311.4014</v>
      </c>
      <c r="G592" s="10"/>
      <c r="H592" s="10"/>
      <c r="I592" s="7">
        <f>IF(FINANCIACION[[#This Row],[$ CAPITAL]]&gt;0,FINANCIACION[[#This Row],[$ CAPITAL]])</f>
        <v>458214.73859999992</v>
      </c>
      <c r="J592" s="41">
        <f>IF(FINANCIACION[[#This Row],[$ CAPITAL]]&gt;=0,FINANCIACION[[#This Row],[$ CAPITAL]]+FINANCIACION[[#This Row],[$ INTERESES]],0)</f>
        <v>1200000</v>
      </c>
    </row>
    <row r="593" spans="1:10" ht="24" hidden="1" customHeight="1" x14ac:dyDescent="0.3">
      <c r="A593" s="9">
        <v>44340</v>
      </c>
      <c r="B593" s="63" t="s">
        <v>1235</v>
      </c>
      <c r="C593" s="7"/>
      <c r="D593" s="7">
        <v>120000</v>
      </c>
      <c r="E593" s="7">
        <v>120000</v>
      </c>
      <c r="F593" s="7">
        <v>-12000000</v>
      </c>
      <c r="G593" s="10"/>
      <c r="H593" s="10"/>
      <c r="I593" s="7" t="b">
        <f>IF(FINANCIACION[[#This Row],[$ CAPITAL]]&gt;0,FINANCIACION[[#This Row],[$ CAPITAL]])</f>
        <v>0</v>
      </c>
      <c r="J593" s="41">
        <f>IF(FINANCIACION[[#This Row],[$ CAPITAL]]&gt;=0,FINANCIACION[[#This Row],[$ CAPITAL]]+FINANCIACION[[#This Row],[$ INTERESES]],0)</f>
        <v>120000</v>
      </c>
    </row>
    <row r="594" spans="1:10" ht="24" hidden="1" customHeight="1" x14ac:dyDescent="0.3">
      <c r="A594" s="9">
        <v>44340</v>
      </c>
      <c r="B594" s="63" t="s">
        <v>1225</v>
      </c>
      <c r="C594" s="7">
        <v>1251291.4899999984</v>
      </c>
      <c r="D594" s="7">
        <v>5708.5100000016391</v>
      </c>
      <c r="E594" s="7">
        <v>1257000</v>
      </c>
      <c r="F594" s="7">
        <v>-74228675.440000057</v>
      </c>
      <c r="G594" s="10"/>
      <c r="H594" s="10"/>
      <c r="I594" s="7">
        <f>IF(FINANCIACION[[#This Row],[$ CAPITAL]]&gt;0,FINANCIACION[[#This Row],[$ CAPITAL]])</f>
        <v>1251291.4899999984</v>
      </c>
      <c r="J594" s="11">
        <f>IF(FINANCIACION[[#This Row],[$ CAPITAL]]&gt;=0,FINANCIACION[[#This Row],[$ CAPITAL]]+FINANCIACION[[#This Row],[$ INTERESES]],0)</f>
        <v>1257000</v>
      </c>
    </row>
    <row r="595" spans="1:10" ht="24" hidden="1" customHeight="1" x14ac:dyDescent="0.3">
      <c r="A595" s="9">
        <v>44340</v>
      </c>
      <c r="B595" s="63" t="s">
        <v>1225</v>
      </c>
      <c r="C595" s="7">
        <v>7476380</v>
      </c>
      <c r="D595" s="7"/>
      <c r="E595" s="7">
        <v>7476380</v>
      </c>
      <c r="F595" s="7">
        <v>-74228675.440000057</v>
      </c>
      <c r="G595" s="10"/>
      <c r="H595" s="10"/>
      <c r="I595" s="7">
        <f>IF(FINANCIACION[[#This Row],[$ CAPITAL]]&gt;0,FINANCIACION[[#This Row],[$ CAPITAL]])</f>
        <v>7476380</v>
      </c>
      <c r="J595" s="41">
        <f>IF(FINANCIACION[[#This Row],[$ CAPITAL]]&gt;=0,FINANCIACION[[#This Row],[$ CAPITAL]]+FINANCIACION[[#This Row],[$ INTERESES]],0)</f>
        <v>7476380</v>
      </c>
    </row>
    <row r="596" spans="1:10" ht="24" hidden="1" customHeight="1" x14ac:dyDescent="0.3">
      <c r="A596" s="9">
        <v>44340</v>
      </c>
      <c r="B596" s="63" t="s">
        <v>1225</v>
      </c>
      <c r="C596" s="7">
        <v>1508582.7400000021</v>
      </c>
      <c r="D596" s="7">
        <v>6417.2599999979138</v>
      </c>
      <c r="E596" s="7">
        <v>1515000</v>
      </c>
      <c r="F596" s="7">
        <v>-74228675.440000057</v>
      </c>
      <c r="G596" s="10"/>
      <c r="H596" s="10"/>
      <c r="I596" s="7">
        <f>IF(FINANCIACION[[#This Row],[$ CAPITAL]]&gt;0,FINANCIACION[[#This Row],[$ CAPITAL]])</f>
        <v>1508582.7400000021</v>
      </c>
      <c r="J596" s="41">
        <f>IF(FINANCIACION[[#This Row],[$ CAPITAL]]&gt;=0,FINANCIACION[[#This Row],[$ CAPITAL]]+FINANCIACION[[#This Row],[$ INTERESES]],0)</f>
        <v>1515000</v>
      </c>
    </row>
    <row r="597" spans="1:10" ht="24" hidden="1" customHeight="1" x14ac:dyDescent="0.3">
      <c r="A597" s="9">
        <v>44340</v>
      </c>
      <c r="B597" s="63" t="s">
        <v>1228</v>
      </c>
      <c r="C597" s="7">
        <v>2539245.3100000024</v>
      </c>
      <c r="D597" s="7">
        <v>11754.689999997616</v>
      </c>
      <c r="E597" s="7">
        <v>2551000</v>
      </c>
      <c r="F597" s="7">
        <v>-54143148.659999996</v>
      </c>
      <c r="G597" s="10"/>
      <c r="H597" s="10"/>
      <c r="I597" s="7">
        <f>IF(FINANCIACION[[#This Row],[$ CAPITAL]]&gt;0,FINANCIACION[[#This Row],[$ CAPITAL]])</f>
        <v>2539245.3100000024</v>
      </c>
      <c r="J597" s="41">
        <f>IF(FINANCIACION[[#This Row],[$ CAPITAL]]&gt;=0,FINANCIACION[[#This Row],[$ CAPITAL]]+FINANCIACION[[#This Row],[$ INTERESES]],0)</f>
        <v>2551000</v>
      </c>
    </row>
    <row r="598" spans="1:10" ht="24" hidden="1" customHeight="1" x14ac:dyDescent="0.3">
      <c r="A598" s="9">
        <v>44340</v>
      </c>
      <c r="B598" s="63" t="s">
        <v>1229</v>
      </c>
      <c r="C598" s="7">
        <v>3748005.3799999952</v>
      </c>
      <c r="D598" s="7">
        <v>18994.620000004768</v>
      </c>
      <c r="E598" s="7">
        <v>3767000</v>
      </c>
      <c r="F598" s="7">
        <v>-78474969.300000012</v>
      </c>
      <c r="G598" s="10"/>
      <c r="H598" s="10"/>
      <c r="I598" s="7">
        <f>IF(FINANCIACION[[#This Row],[$ CAPITAL]]&gt;0,FINANCIACION[[#This Row],[$ CAPITAL]])</f>
        <v>3748005.3799999952</v>
      </c>
      <c r="J598" s="41">
        <f>IF(FINANCIACION[[#This Row],[$ CAPITAL]]&gt;=0,FINANCIACION[[#This Row],[$ CAPITAL]]+FINANCIACION[[#This Row],[$ INTERESES]],0)</f>
        <v>3767000</v>
      </c>
    </row>
    <row r="599" spans="1:10" ht="24" hidden="1" customHeight="1" x14ac:dyDescent="0.3">
      <c r="A599" s="9">
        <v>44340</v>
      </c>
      <c r="B599" s="63" t="s">
        <v>1230</v>
      </c>
      <c r="C599" s="7">
        <v>1002261.0300000012</v>
      </c>
      <c r="D599" s="7">
        <v>4738.9699999988079</v>
      </c>
      <c r="E599" s="7">
        <v>1007000</v>
      </c>
      <c r="F599" s="7">
        <v>-22007737.169999998</v>
      </c>
      <c r="G599" s="10"/>
      <c r="H599" s="10"/>
      <c r="I599" s="7">
        <f>IF(FINANCIACION[[#This Row],[$ CAPITAL]]&gt;0,FINANCIACION[[#This Row],[$ CAPITAL]])</f>
        <v>1002261.0300000012</v>
      </c>
      <c r="J599" s="11">
        <f>IF(FINANCIACION[[#This Row],[$ CAPITAL]]&gt;=0,FINANCIACION[[#This Row],[$ CAPITAL]]+FINANCIACION[[#This Row],[$ INTERESES]],0)</f>
        <v>1007000</v>
      </c>
    </row>
    <row r="600" spans="1:10" ht="24" hidden="1" customHeight="1" x14ac:dyDescent="0.3">
      <c r="A600" s="9">
        <v>44340</v>
      </c>
      <c r="B600" s="63" t="s">
        <v>1232</v>
      </c>
      <c r="C600" s="7">
        <v>1055849.8999999985</v>
      </c>
      <c r="D600" s="7">
        <v>5150.1000000014901</v>
      </c>
      <c r="E600" s="7">
        <v>1061000</v>
      </c>
      <c r="F600" s="7">
        <v>-24134649</v>
      </c>
      <c r="G600" s="10"/>
      <c r="H600" s="10"/>
      <c r="I600" s="7">
        <f>IF(FINANCIACION[[#This Row],[$ CAPITAL]]&gt;0,FINANCIACION[[#This Row],[$ CAPITAL]])</f>
        <v>1055849.8999999985</v>
      </c>
      <c r="J600" s="11">
        <f>IF(FINANCIACION[[#This Row],[$ CAPITAL]]&gt;=0,FINANCIACION[[#This Row],[$ CAPITAL]]+FINANCIACION[[#This Row],[$ INTERESES]],0)</f>
        <v>1061000</v>
      </c>
    </row>
    <row r="601" spans="1:10" ht="24" hidden="1" customHeight="1" x14ac:dyDescent="0.3">
      <c r="A601" s="9">
        <v>44341</v>
      </c>
      <c r="B601" s="63" t="s">
        <v>1225</v>
      </c>
      <c r="C601" s="7"/>
      <c r="D601" s="7">
        <v>120000</v>
      </c>
      <c r="E601" s="7">
        <v>120000</v>
      </c>
      <c r="F601" s="7">
        <v>-73770460.701400056</v>
      </c>
      <c r="G601" s="10"/>
      <c r="H601" s="10"/>
      <c r="I601" s="7" t="b">
        <f>IF(FINANCIACION[[#This Row],[$ CAPITAL]]&gt;0,FINANCIACION[[#This Row],[$ CAPITAL]])</f>
        <v>0</v>
      </c>
      <c r="J601" s="11">
        <f>IF(FINANCIACION[[#This Row],[$ CAPITAL]]&gt;=0,FINANCIACION[[#This Row],[$ CAPITAL]]+FINANCIACION[[#This Row],[$ INTERESES]],0)</f>
        <v>120000</v>
      </c>
    </row>
    <row r="602" spans="1:10" ht="24" hidden="1" customHeight="1" x14ac:dyDescent="0.3">
      <c r="A602" s="9">
        <v>44341</v>
      </c>
      <c r="B602" s="63" t="s">
        <v>1225</v>
      </c>
      <c r="C602" s="7"/>
      <c r="D602" s="7">
        <v>220000</v>
      </c>
      <c r="E602" s="7">
        <v>220000</v>
      </c>
      <c r="F602" s="7">
        <v>-73770460.701400056</v>
      </c>
      <c r="G602" s="10"/>
      <c r="H602" s="10"/>
      <c r="I602" s="7" t="b">
        <f>IF(FINANCIACION[[#This Row],[$ CAPITAL]]&gt;0,FINANCIACION[[#This Row],[$ CAPITAL]])</f>
        <v>0</v>
      </c>
      <c r="J602" s="11">
        <f>IF(FINANCIACION[[#This Row],[$ CAPITAL]]&gt;=0,FINANCIACION[[#This Row],[$ CAPITAL]]+FINANCIACION[[#This Row],[$ INTERESES]],0)</f>
        <v>220000</v>
      </c>
    </row>
    <row r="603" spans="1:10" ht="24" hidden="1" customHeight="1" x14ac:dyDescent="0.3">
      <c r="A603" s="9">
        <v>44341</v>
      </c>
      <c r="B603" s="63" t="s">
        <v>1225</v>
      </c>
      <c r="C603" s="7">
        <v>458214.73859999992</v>
      </c>
      <c r="D603" s="7">
        <v>741785.26140000008</v>
      </c>
      <c r="E603" s="7">
        <v>1200000</v>
      </c>
      <c r="F603" s="7">
        <v>-73770460.701400056</v>
      </c>
      <c r="G603" s="10"/>
      <c r="H603" s="10"/>
      <c r="I603" s="7">
        <f>IF(FINANCIACION[[#This Row],[$ CAPITAL]]&gt;0,FINANCIACION[[#This Row],[$ CAPITAL]])</f>
        <v>458214.73859999992</v>
      </c>
      <c r="J603" s="11">
        <f>IF(FINANCIACION[[#This Row],[$ CAPITAL]]&gt;=0,FINANCIACION[[#This Row],[$ CAPITAL]]+FINANCIACION[[#This Row],[$ INTERESES]],0)</f>
        <v>1200000</v>
      </c>
    </row>
    <row r="604" spans="1:10" ht="24" hidden="1" customHeight="1" x14ac:dyDescent="0.3">
      <c r="A604" s="9">
        <v>44343</v>
      </c>
      <c r="B604" s="63" t="s">
        <v>1225</v>
      </c>
      <c r="C604" s="7">
        <v>1000000</v>
      </c>
      <c r="D604" s="7"/>
      <c r="E604" s="7">
        <v>1000000</v>
      </c>
      <c r="F604" s="7">
        <v>-72770460.701400056</v>
      </c>
      <c r="G604" s="10"/>
      <c r="H604" s="10"/>
      <c r="I604" s="7">
        <f>IF(FINANCIACION[[#This Row],[$ CAPITAL]]&gt;0,FINANCIACION[[#This Row],[$ CAPITAL]])</f>
        <v>1000000</v>
      </c>
      <c r="J604" s="11">
        <f>IF(FINANCIACION[[#This Row],[$ CAPITAL]]&gt;=0,FINANCIACION[[#This Row],[$ CAPITAL]]+FINANCIACION[[#This Row],[$ INTERESES]],0)</f>
        <v>1000000</v>
      </c>
    </row>
    <row r="605" spans="1:10" ht="24" hidden="1" customHeight="1" x14ac:dyDescent="0.3">
      <c r="A605" s="9">
        <v>44344</v>
      </c>
      <c r="B605" s="63" t="s">
        <v>1226</v>
      </c>
      <c r="C605" s="7">
        <v>706192</v>
      </c>
      <c r="D605" s="7">
        <v>593808</v>
      </c>
      <c r="E605" s="7">
        <v>1300000</v>
      </c>
      <c r="F605" s="7">
        <v>-58674608</v>
      </c>
      <c r="G605" s="10"/>
      <c r="H605" s="10"/>
      <c r="I605" s="7">
        <f>IF(FINANCIACION[[#This Row],[$ CAPITAL]]&gt;0,FINANCIACION[[#This Row],[$ CAPITAL]])</f>
        <v>706192</v>
      </c>
      <c r="J605" s="11">
        <f>IF(FINANCIACION[[#This Row],[$ CAPITAL]]&gt;=0,FINANCIACION[[#This Row],[$ CAPITAL]]+FINANCIACION[[#This Row],[$ INTERESES]],0)</f>
        <v>1300000</v>
      </c>
    </row>
    <row r="606" spans="1:10" ht="24" hidden="1" customHeight="1" x14ac:dyDescent="0.3">
      <c r="A606" s="9">
        <v>44344</v>
      </c>
      <c r="B606" s="63" t="s">
        <v>1225</v>
      </c>
      <c r="C606" s="7">
        <v>1100000</v>
      </c>
      <c r="D606" s="7">
        <v>200000</v>
      </c>
      <c r="E606" s="7">
        <v>1300000</v>
      </c>
      <c r="F606" s="7">
        <v>-71670460.701400056</v>
      </c>
      <c r="G606" s="10"/>
      <c r="H606" s="66"/>
      <c r="I606" s="7">
        <f>IF(FINANCIACION[[#This Row],[$ CAPITAL]]&gt;0,FINANCIACION[[#This Row],[$ CAPITAL]])</f>
        <v>1100000</v>
      </c>
      <c r="J606" s="11">
        <f>IF(FINANCIACION[[#This Row],[$ CAPITAL]]&gt;=0,FINANCIACION[[#This Row],[$ CAPITAL]]+FINANCIACION[[#This Row],[$ INTERESES]],0)</f>
        <v>1300000</v>
      </c>
    </row>
    <row r="607" spans="1:10" ht="24" hidden="1" customHeight="1" x14ac:dyDescent="0.3">
      <c r="A607" s="9">
        <v>44346</v>
      </c>
      <c r="B607" s="63" t="s">
        <v>199</v>
      </c>
      <c r="C607" s="7">
        <v>6309583.1000000015</v>
      </c>
      <c r="D607" s="7"/>
      <c r="E607" s="7">
        <v>6309583.1000000015</v>
      </c>
      <c r="F607" s="7">
        <v>-54039126</v>
      </c>
      <c r="G607" s="10" t="s">
        <v>233</v>
      </c>
      <c r="H607" s="66"/>
      <c r="I607" s="7">
        <f>IF(FINANCIACION[[#This Row],[$ CAPITAL]]&gt;0,FINANCIACION[[#This Row],[$ CAPITAL]])</f>
        <v>6309583.1000000015</v>
      </c>
      <c r="J607" s="11">
        <f>IF(FINANCIACION[[#This Row],[$ CAPITAL]]&gt;=0,FINANCIACION[[#This Row],[$ CAPITAL]]+FINANCIACION[[#This Row],[$ INTERESES]],0)</f>
        <v>6309583.1000000015</v>
      </c>
    </row>
    <row r="608" spans="1:10" ht="24" hidden="1" customHeight="1" x14ac:dyDescent="0.3">
      <c r="A608" s="9">
        <v>44346</v>
      </c>
      <c r="B608" s="63" t="s">
        <v>1224</v>
      </c>
      <c r="C608" s="7">
        <v>-7131410</v>
      </c>
      <c r="D608" s="7"/>
      <c r="E608" s="7" t="s">
        <v>146</v>
      </c>
      <c r="F608" s="7">
        <v>-356058032</v>
      </c>
      <c r="G608" s="10" t="s">
        <v>233</v>
      </c>
      <c r="H608" s="66"/>
      <c r="I608" s="7" t="b">
        <f>IF(FINANCIACION[[#This Row],[$ CAPITAL]]&gt;0,FINANCIACION[[#This Row],[$ CAPITAL]])</f>
        <v>0</v>
      </c>
      <c r="J608" s="11">
        <f>IF(FINANCIACION[[#This Row],[$ CAPITAL]]&gt;=0,FINANCIACION[[#This Row],[$ CAPITAL]]+FINANCIACION[[#This Row],[$ INTERESES]],0)</f>
        <v>0</v>
      </c>
    </row>
    <row r="609" spans="1:10" ht="24" hidden="1" customHeight="1" x14ac:dyDescent="0.3">
      <c r="A609" s="9">
        <v>44346</v>
      </c>
      <c r="B609" s="63" t="s">
        <v>1225</v>
      </c>
      <c r="C609" s="7">
        <v>-2409465</v>
      </c>
      <c r="D609" s="7"/>
      <c r="E609" s="7" t="s">
        <v>146</v>
      </c>
      <c r="F609" s="7">
        <v>-51434041.962125674</v>
      </c>
      <c r="G609" s="10"/>
      <c r="H609" s="66"/>
      <c r="I609" s="7" t="b">
        <f>IF(FINANCIACION[[#This Row],[$ CAPITAL]]&gt;0,FINANCIACION[[#This Row],[$ CAPITAL]])</f>
        <v>0</v>
      </c>
      <c r="J609" s="11">
        <f>IF(FINANCIACION[[#This Row],[$ CAPITAL]]&gt;=0,FINANCIACION[[#This Row],[$ CAPITAL]]+FINANCIACION[[#This Row],[$ INTERESES]],0)</f>
        <v>0</v>
      </c>
    </row>
    <row r="610" spans="1:10" ht="24" hidden="1" customHeight="1" x14ac:dyDescent="0.3">
      <c r="A610" s="9">
        <v>44346</v>
      </c>
      <c r="B610" s="63" t="s">
        <v>1225</v>
      </c>
      <c r="C610" s="7">
        <v>-21292270</v>
      </c>
      <c r="D610" s="7"/>
      <c r="E610" s="7" t="s">
        <v>146</v>
      </c>
      <c r="F610" s="7">
        <v>-51434041.962125674</v>
      </c>
      <c r="G610" s="10"/>
      <c r="H610" s="66"/>
      <c r="I610" s="7" t="b">
        <f>IF(FINANCIACION[[#This Row],[$ CAPITAL]]&gt;0,FINANCIACION[[#This Row],[$ CAPITAL]])</f>
        <v>0</v>
      </c>
      <c r="J610" s="11">
        <f>IF(FINANCIACION[[#This Row],[$ CAPITAL]]&gt;=0,FINANCIACION[[#This Row],[$ CAPITAL]]+FINANCIACION[[#This Row],[$ INTERESES]],0)</f>
        <v>0</v>
      </c>
    </row>
    <row r="611" spans="1:10" ht="24" hidden="1" customHeight="1" x14ac:dyDescent="0.3">
      <c r="A611" s="9">
        <v>44346</v>
      </c>
      <c r="B611" s="63" t="s">
        <v>1225</v>
      </c>
      <c r="C611" s="7">
        <v>-5989831</v>
      </c>
      <c r="D611" s="7"/>
      <c r="E611" s="7" t="s">
        <v>146</v>
      </c>
      <c r="F611" s="7">
        <v>-51434041.962125674</v>
      </c>
      <c r="G611" s="10"/>
      <c r="H611" s="66"/>
      <c r="I611" s="7" t="b">
        <f>IF(FINANCIACION[[#This Row],[$ CAPITAL]]&gt;0,FINANCIACION[[#This Row],[$ CAPITAL]])</f>
        <v>0</v>
      </c>
      <c r="J611" s="11">
        <f>IF(FINANCIACION[[#This Row],[$ CAPITAL]]&gt;=0,FINANCIACION[[#This Row],[$ CAPITAL]]+FINANCIACION[[#This Row],[$ INTERESES]],0)</f>
        <v>0</v>
      </c>
    </row>
    <row r="612" spans="1:10" ht="24" hidden="1" customHeight="1" x14ac:dyDescent="0.3">
      <c r="A612" s="9">
        <v>44346</v>
      </c>
      <c r="B612" s="63" t="s">
        <v>1225</v>
      </c>
      <c r="C612" s="7">
        <v>1130115</v>
      </c>
      <c r="D612" s="7"/>
      <c r="E612" s="7">
        <v>1130115</v>
      </c>
      <c r="F612" s="7">
        <v>-51434041.962125674</v>
      </c>
      <c r="G612" s="10"/>
      <c r="H612" s="66"/>
      <c r="I612" s="7">
        <f>IF(FINANCIACION[[#This Row],[$ CAPITAL]]&gt;0,FINANCIACION[[#This Row],[$ CAPITAL]])</f>
        <v>1130115</v>
      </c>
      <c r="J612" s="11">
        <f>IF(FINANCIACION[[#This Row],[$ CAPITAL]]&gt;=0,FINANCIACION[[#This Row],[$ CAPITAL]]+FINANCIACION[[#This Row],[$ INTERESES]],0)</f>
        <v>1130115</v>
      </c>
    </row>
    <row r="613" spans="1:10" ht="24" hidden="1" customHeight="1" x14ac:dyDescent="0.3">
      <c r="A613" s="9">
        <v>44346</v>
      </c>
      <c r="B613" s="63" t="s">
        <v>1225</v>
      </c>
      <c r="C613" s="7">
        <v>2575168</v>
      </c>
      <c r="D613" s="7"/>
      <c r="E613" s="7">
        <v>2575168</v>
      </c>
      <c r="F613" s="7">
        <v>-51434041.962125674</v>
      </c>
      <c r="G613" s="10"/>
      <c r="H613" s="66"/>
      <c r="I613" s="7">
        <f>IF(FINANCIACION[[#This Row],[$ CAPITAL]]&gt;0,FINANCIACION[[#This Row],[$ CAPITAL]])</f>
        <v>2575168</v>
      </c>
      <c r="J613" s="11">
        <f>IF(FINANCIACION[[#This Row],[$ CAPITAL]]&gt;=0,FINANCIACION[[#This Row],[$ CAPITAL]]+FINANCIACION[[#This Row],[$ INTERESES]],0)</f>
        <v>2575168</v>
      </c>
    </row>
    <row r="614" spans="1:10" ht="24" hidden="1" customHeight="1" x14ac:dyDescent="0.3">
      <c r="A614" s="9">
        <v>44346</v>
      </c>
      <c r="B614" s="63" t="s">
        <v>1225</v>
      </c>
      <c r="C614" s="7">
        <v>1498393</v>
      </c>
      <c r="D614" s="7"/>
      <c r="E614" s="7">
        <v>1498393</v>
      </c>
      <c r="F614" s="7">
        <v>-51434041.962125674</v>
      </c>
      <c r="G614" s="10"/>
      <c r="H614" s="66"/>
      <c r="I614" s="7">
        <f>IF(FINANCIACION[[#This Row],[$ CAPITAL]]&gt;0,FINANCIACION[[#This Row],[$ CAPITAL]])</f>
        <v>1498393</v>
      </c>
      <c r="J614" s="11">
        <f>IF(FINANCIACION[[#This Row],[$ CAPITAL]]&gt;=0,FINANCIACION[[#This Row],[$ CAPITAL]]+FINANCIACION[[#This Row],[$ INTERESES]],0)</f>
        <v>1498393</v>
      </c>
    </row>
    <row r="615" spans="1:10" ht="24" hidden="1" customHeight="1" x14ac:dyDescent="0.3">
      <c r="A615" s="9">
        <v>44346</v>
      </c>
      <c r="B615" s="63" t="s">
        <v>1225</v>
      </c>
      <c r="C615" s="7">
        <v>44724308.739274383</v>
      </c>
      <c r="D615" s="7"/>
      <c r="E615" s="7">
        <v>44724308.739274383</v>
      </c>
      <c r="F615" s="7">
        <v>-51434041.962125674</v>
      </c>
      <c r="G615" s="10" t="s">
        <v>233</v>
      </c>
      <c r="H615" s="66"/>
      <c r="I615" s="7">
        <f>IF(FINANCIACION[[#This Row],[$ CAPITAL]]&gt;0,FINANCIACION[[#This Row],[$ CAPITAL]])</f>
        <v>44724308.739274383</v>
      </c>
      <c r="J615" s="11">
        <f>IF(FINANCIACION[[#This Row],[$ CAPITAL]]&gt;=0,FINANCIACION[[#This Row],[$ CAPITAL]]+FINANCIACION[[#This Row],[$ INTERESES]],0)</f>
        <v>44724308.739274383</v>
      </c>
    </row>
    <row r="616" spans="1:10" ht="24" hidden="1" customHeight="1" x14ac:dyDescent="0.3">
      <c r="A616" s="9">
        <v>44346</v>
      </c>
      <c r="B616" s="63" t="s">
        <v>1236</v>
      </c>
      <c r="C616" s="7">
        <v>-26031901.309999999</v>
      </c>
      <c r="D616" s="7"/>
      <c r="E616" s="7" t="s">
        <v>146</v>
      </c>
      <c r="F616" s="7">
        <v>-26031901.309999999</v>
      </c>
      <c r="G616" s="10" t="s">
        <v>233</v>
      </c>
      <c r="H616" s="66"/>
      <c r="I616" s="7" t="b">
        <f>IF(FINANCIACION[[#This Row],[$ CAPITAL]]&gt;0,FINANCIACION[[#This Row],[$ CAPITAL]])</f>
        <v>0</v>
      </c>
      <c r="J616" s="11">
        <f>IF(FINANCIACION[[#This Row],[$ CAPITAL]]&gt;=0,FINANCIACION[[#This Row],[$ CAPITAL]]+FINANCIACION[[#This Row],[$ INTERESES]],0)</f>
        <v>0</v>
      </c>
    </row>
    <row r="617" spans="1:10" ht="24" hidden="1" customHeight="1" x14ac:dyDescent="0.3">
      <c r="A617" s="9">
        <v>44346</v>
      </c>
      <c r="B617" s="63" t="s">
        <v>1228</v>
      </c>
      <c r="C617" s="7">
        <v>-675338.46000000834</v>
      </c>
      <c r="D617" s="7"/>
      <c r="E617" s="7" t="s">
        <v>146</v>
      </c>
      <c r="F617" s="7">
        <v>-54818487.120000005</v>
      </c>
      <c r="G617" s="10" t="s">
        <v>233</v>
      </c>
      <c r="H617" s="66"/>
      <c r="I617" s="7" t="b">
        <f>IF(FINANCIACION[[#This Row],[$ CAPITAL]]&gt;0,FINANCIACION[[#This Row],[$ CAPITAL]])</f>
        <v>0</v>
      </c>
      <c r="J617" s="11">
        <f>IF(FINANCIACION[[#This Row],[$ CAPITAL]]&gt;=0,FINANCIACION[[#This Row],[$ CAPITAL]]+FINANCIACION[[#This Row],[$ INTERESES]],0)</f>
        <v>0</v>
      </c>
    </row>
    <row r="618" spans="1:10" ht="24" hidden="1" customHeight="1" x14ac:dyDescent="0.3">
      <c r="A618" s="9">
        <v>44346</v>
      </c>
      <c r="B618" s="63" t="s">
        <v>1229</v>
      </c>
      <c r="C618" s="7">
        <v>-1092235.3799999803</v>
      </c>
      <c r="D618" s="7"/>
      <c r="E618" s="7" t="s">
        <v>146</v>
      </c>
      <c r="F618" s="7">
        <v>-79567204.679999992</v>
      </c>
      <c r="G618" s="10" t="s">
        <v>233</v>
      </c>
      <c r="H618" s="66"/>
      <c r="I618" s="7" t="b">
        <f>IF(FINANCIACION[[#This Row],[$ CAPITAL]]&gt;0,FINANCIACION[[#This Row],[$ CAPITAL]])</f>
        <v>0</v>
      </c>
      <c r="J618" s="11">
        <f>IF(FINANCIACION[[#This Row],[$ CAPITAL]]&gt;=0,FINANCIACION[[#This Row],[$ CAPITAL]]+FINANCIACION[[#This Row],[$ INTERESES]],0)</f>
        <v>0</v>
      </c>
    </row>
    <row r="619" spans="1:10" ht="24" hidden="1" customHeight="1" x14ac:dyDescent="0.3">
      <c r="A619" s="9">
        <v>44346</v>
      </c>
      <c r="B619" s="63" t="s">
        <v>1230</v>
      </c>
      <c r="C619" s="7">
        <v>-274364.74000000209</v>
      </c>
      <c r="D619" s="7"/>
      <c r="E619" s="7" t="s">
        <v>146</v>
      </c>
      <c r="F619" s="7">
        <v>-22282101.91</v>
      </c>
      <c r="G619" s="10" t="s">
        <v>233</v>
      </c>
      <c r="H619" s="66"/>
      <c r="I619" s="7" t="b">
        <f>IF(FINANCIACION[[#This Row],[$ CAPITAL]]&gt;0,FINANCIACION[[#This Row],[$ CAPITAL]])</f>
        <v>0</v>
      </c>
      <c r="J619" s="11">
        <f>IF(FINANCIACION[[#This Row],[$ CAPITAL]]&gt;=0,FINANCIACION[[#This Row],[$ CAPITAL]]+FINANCIACION[[#This Row],[$ INTERESES]],0)</f>
        <v>0</v>
      </c>
    </row>
    <row r="620" spans="1:10" ht="24" hidden="1" customHeight="1" x14ac:dyDescent="0.3">
      <c r="A620" s="9">
        <v>44346</v>
      </c>
      <c r="B620" s="63" t="s">
        <v>1232</v>
      </c>
      <c r="C620" s="7">
        <v>-137423.60000000149</v>
      </c>
      <c r="D620" s="7"/>
      <c r="E620" s="7" t="s">
        <v>146</v>
      </c>
      <c r="F620" s="7">
        <v>-24272072.600000001</v>
      </c>
      <c r="G620" s="10" t="s">
        <v>233</v>
      </c>
      <c r="H620" s="66"/>
      <c r="I620" s="7" t="b">
        <f>IF(FINANCIACION[[#This Row],[$ CAPITAL]]&gt;0,FINANCIACION[[#This Row],[$ CAPITAL]])</f>
        <v>0</v>
      </c>
      <c r="J620" s="11">
        <f>IF(FINANCIACION[[#This Row],[$ CAPITAL]]&gt;=0,FINANCIACION[[#This Row],[$ CAPITAL]]+FINANCIACION[[#This Row],[$ INTERESES]],0)</f>
        <v>0</v>
      </c>
    </row>
    <row r="621" spans="1:10" ht="24" hidden="1" customHeight="1" x14ac:dyDescent="0.3">
      <c r="A621" s="9">
        <v>44346</v>
      </c>
      <c r="B621" s="63" t="s">
        <v>204</v>
      </c>
      <c r="C621" s="7">
        <v>936000</v>
      </c>
      <c r="D621" s="7"/>
      <c r="E621" s="7">
        <v>936000</v>
      </c>
      <c r="F621" s="7">
        <v>-33366600</v>
      </c>
      <c r="G621" s="10"/>
      <c r="H621" s="66"/>
      <c r="I621" s="7">
        <f>IF(FINANCIACION[[#This Row],[$ CAPITAL]]&gt;0,FINANCIACION[[#This Row],[$ CAPITAL]])</f>
        <v>936000</v>
      </c>
      <c r="J621" s="11">
        <f>IF(FINANCIACION[[#This Row],[$ CAPITAL]]&gt;=0,FINANCIACION[[#This Row],[$ CAPITAL]]+FINANCIACION[[#This Row],[$ INTERESES]],0)</f>
        <v>936000</v>
      </c>
    </row>
    <row r="622" spans="1:10" ht="24" hidden="1" customHeight="1" x14ac:dyDescent="0.3">
      <c r="A622" s="9">
        <v>44347</v>
      </c>
      <c r="B622" s="63" t="s">
        <v>195</v>
      </c>
      <c r="C622" s="7">
        <v>1468400</v>
      </c>
      <c r="D622" s="7">
        <v>477575</v>
      </c>
      <c r="E622" s="7">
        <v>1945975</v>
      </c>
      <c r="F622" s="7">
        <v>-49925600</v>
      </c>
      <c r="G622" s="10"/>
      <c r="H622" s="66"/>
      <c r="I622" s="7">
        <f>IF(FINANCIACION[[#This Row],[$ CAPITAL]]&gt;0,FINANCIACION[[#This Row],[$ CAPITAL]])</f>
        <v>1468400</v>
      </c>
      <c r="J622" s="11">
        <f>IF(FINANCIACION[[#This Row],[$ CAPITAL]]&gt;=0,FINANCIACION[[#This Row],[$ CAPITAL]]+FINANCIACION[[#This Row],[$ INTERESES]],0)</f>
        <v>1945975</v>
      </c>
    </row>
    <row r="623" spans="1:10" ht="24" hidden="1" customHeight="1" x14ac:dyDescent="0.3">
      <c r="A623" s="9">
        <v>44347</v>
      </c>
      <c r="B623" s="63" t="s">
        <v>196</v>
      </c>
      <c r="C623" s="7">
        <v>76791</v>
      </c>
      <c r="D623" s="7"/>
      <c r="E623" s="7">
        <v>76791</v>
      </c>
      <c r="F623" s="7">
        <v>-2610894</v>
      </c>
      <c r="G623" s="10"/>
      <c r="H623" s="66"/>
      <c r="I623" s="7">
        <f>IF(FINANCIACION[[#This Row],[$ CAPITAL]]&gt;0,FINANCIACION[[#This Row],[$ CAPITAL]])</f>
        <v>76791</v>
      </c>
      <c r="J623" s="11">
        <f>IF(FINANCIACION[[#This Row],[$ CAPITAL]]&gt;=0,FINANCIACION[[#This Row],[$ CAPITAL]]+FINANCIACION[[#This Row],[$ INTERESES]],0)</f>
        <v>76791</v>
      </c>
    </row>
    <row r="624" spans="1:10" ht="24" hidden="1" customHeight="1" x14ac:dyDescent="0.3">
      <c r="A624" s="9">
        <v>44347</v>
      </c>
      <c r="B624" s="63" t="s">
        <v>1225</v>
      </c>
      <c r="C624" s="7">
        <v>1468400</v>
      </c>
      <c r="D624" s="7">
        <v>477575</v>
      </c>
      <c r="E624" s="7">
        <v>1945975</v>
      </c>
      <c r="F624" s="7">
        <v>-43888850.962125674</v>
      </c>
      <c r="G624" s="10"/>
      <c r="H624" s="66"/>
      <c r="I624" s="7">
        <f>IF(FINANCIACION[[#This Row],[$ CAPITAL]]&gt;0,FINANCIACION[[#This Row],[$ CAPITAL]])</f>
        <v>1468400</v>
      </c>
      <c r="J624" s="11">
        <f>IF(FINANCIACION[[#This Row],[$ CAPITAL]]&gt;=0,FINANCIACION[[#This Row],[$ CAPITAL]]+FINANCIACION[[#This Row],[$ INTERESES]],0)</f>
        <v>1945975</v>
      </c>
    </row>
    <row r="625" spans="1:10" ht="24" hidden="1" customHeight="1" x14ac:dyDescent="0.3">
      <c r="A625" s="9">
        <v>44347</v>
      </c>
      <c r="B625" s="63" t="s">
        <v>1225</v>
      </c>
      <c r="C625" s="7">
        <v>76791</v>
      </c>
      <c r="D625" s="7"/>
      <c r="E625" s="7">
        <v>76791</v>
      </c>
      <c r="F625" s="7">
        <v>-43888850.962125674</v>
      </c>
      <c r="G625" s="10"/>
      <c r="H625" s="66"/>
      <c r="I625" s="7">
        <f>IF(FINANCIACION[[#This Row],[$ CAPITAL]]&gt;0,FINANCIACION[[#This Row],[$ CAPITAL]])</f>
        <v>76791</v>
      </c>
      <c r="J625" s="11">
        <f>IF(FINANCIACION[[#This Row],[$ CAPITAL]]&gt;=0,FINANCIACION[[#This Row],[$ CAPITAL]]+FINANCIACION[[#This Row],[$ INTERESES]],0)</f>
        <v>76791</v>
      </c>
    </row>
    <row r="626" spans="1:10" ht="24" hidden="1" customHeight="1" x14ac:dyDescent="0.3">
      <c r="A626" s="9">
        <v>44347</v>
      </c>
      <c r="B626" s="63" t="s">
        <v>1225</v>
      </c>
      <c r="C626" s="7"/>
      <c r="D626" s="7">
        <v>919622</v>
      </c>
      <c r="E626" s="7">
        <v>919622</v>
      </c>
      <c r="F626" s="7">
        <v>-43888850.962125674</v>
      </c>
      <c r="G626" s="10"/>
      <c r="H626" s="66"/>
      <c r="I626" s="7" t="b">
        <f>IF(FINANCIACION[[#This Row],[$ CAPITAL]]&gt;0,FINANCIACION[[#This Row],[$ CAPITAL]])</f>
        <v>0</v>
      </c>
      <c r="J626" s="11">
        <f>IF(FINANCIACION[[#This Row],[$ CAPITAL]]&gt;=0,FINANCIACION[[#This Row],[$ CAPITAL]]+FINANCIACION[[#This Row],[$ INTERESES]],0)</f>
        <v>919622</v>
      </c>
    </row>
    <row r="627" spans="1:10" ht="24" hidden="1" customHeight="1" x14ac:dyDescent="0.3">
      <c r="A627" s="9">
        <v>44347</v>
      </c>
      <c r="B627" s="63" t="s">
        <v>1225</v>
      </c>
      <c r="C627" s="7">
        <v>6000000</v>
      </c>
      <c r="D627" s="7"/>
      <c r="E627" s="7">
        <v>6000000</v>
      </c>
      <c r="F627" s="7">
        <v>-43888850.962125674</v>
      </c>
      <c r="G627" s="10"/>
      <c r="H627" s="66"/>
      <c r="I627" s="7">
        <f>IF(FINANCIACION[[#This Row],[$ CAPITAL]]&gt;0,FINANCIACION[[#This Row],[$ CAPITAL]])</f>
        <v>6000000</v>
      </c>
      <c r="J627" s="11">
        <f>IF(FINANCIACION[[#This Row],[$ CAPITAL]]&gt;=0,FINANCIACION[[#This Row],[$ CAPITAL]]+FINANCIACION[[#This Row],[$ INTERESES]],0)</f>
        <v>6000000</v>
      </c>
    </row>
    <row r="628" spans="1:10" ht="24" hidden="1" customHeight="1" x14ac:dyDescent="0.3">
      <c r="A628" s="9">
        <v>44350</v>
      </c>
      <c r="B628" s="63" t="s">
        <v>1225</v>
      </c>
      <c r="C628" s="7">
        <v>1000000</v>
      </c>
      <c r="D628" s="7"/>
      <c r="E628" s="7">
        <v>1000000</v>
      </c>
      <c r="F628" s="7">
        <v>-39246560.962125674</v>
      </c>
      <c r="G628" s="10"/>
      <c r="H628" s="66"/>
      <c r="I628" s="7">
        <f>IF(FINANCIACION[[#This Row],[$ CAPITAL]]&gt;0,FINANCIACION[[#This Row],[$ CAPITAL]])</f>
        <v>1000000</v>
      </c>
      <c r="J628" s="11">
        <f>IF(FINANCIACION[[#This Row],[$ CAPITAL]]&gt;=0,FINANCIACION[[#This Row],[$ CAPITAL]]+FINANCIACION[[#This Row],[$ INTERESES]],0)</f>
        <v>1000000</v>
      </c>
    </row>
    <row r="629" spans="1:10" ht="24" hidden="1" customHeight="1" x14ac:dyDescent="0.3">
      <c r="A629" s="9">
        <v>44350</v>
      </c>
      <c r="B629" s="63" t="s">
        <v>1225</v>
      </c>
      <c r="C629" s="7">
        <v>3642290</v>
      </c>
      <c r="D629" s="7"/>
      <c r="E629" s="7">
        <v>3642290</v>
      </c>
      <c r="F629" s="7">
        <v>-39246560.962125674</v>
      </c>
      <c r="G629" s="10"/>
      <c r="H629" s="66"/>
      <c r="I629" s="7">
        <f>IF(FINANCIACION[[#This Row],[$ CAPITAL]]&gt;0,FINANCIACION[[#This Row],[$ CAPITAL]])</f>
        <v>3642290</v>
      </c>
      <c r="J629" s="11">
        <f>IF(FINANCIACION[[#This Row],[$ CAPITAL]]&gt;=0,FINANCIACION[[#This Row],[$ CAPITAL]]+FINANCIACION[[#This Row],[$ INTERESES]],0)</f>
        <v>3642290</v>
      </c>
    </row>
    <row r="630" spans="1:10" ht="24" hidden="1" customHeight="1" x14ac:dyDescent="0.3">
      <c r="A630" s="9">
        <v>44350</v>
      </c>
      <c r="B630" s="63" t="s">
        <v>204</v>
      </c>
      <c r="C630" s="7">
        <v>3642290</v>
      </c>
      <c r="D630" s="7"/>
      <c r="E630" s="7">
        <v>3642290</v>
      </c>
      <c r="F630" s="7">
        <v>-29724310</v>
      </c>
      <c r="G630" s="10"/>
      <c r="H630" s="66"/>
      <c r="I630" s="7">
        <f>IF(FINANCIACION[[#This Row],[$ CAPITAL]]&gt;0,FINANCIACION[[#This Row],[$ CAPITAL]])</f>
        <v>3642290</v>
      </c>
      <c r="J630" s="11">
        <f>IF(FINANCIACION[[#This Row],[$ CAPITAL]]&gt;=0,FINANCIACION[[#This Row],[$ CAPITAL]]+FINANCIACION[[#This Row],[$ INTERESES]],0)</f>
        <v>3642290</v>
      </c>
    </row>
    <row r="631" spans="1:10" ht="24" hidden="1" customHeight="1" x14ac:dyDescent="0.3">
      <c r="A631" s="9">
        <v>44356</v>
      </c>
      <c r="B631" s="63" t="s">
        <v>1225</v>
      </c>
      <c r="C631" s="7">
        <v>6326000</v>
      </c>
      <c r="D631" s="7">
        <v>408134.11000000034</v>
      </c>
      <c r="E631" s="7">
        <v>6734134.1100000003</v>
      </c>
      <c r="F631" s="7">
        <v>-32920560.962125674</v>
      </c>
      <c r="G631" s="10"/>
      <c r="H631" s="66"/>
      <c r="I631" s="7">
        <f>IF(FINANCIACION[[#This Row],[$ CAPITAL]]&gt;0,FINANCIACION[[#This Row],[$ CAPITAL]])</f>
        <v>6326000</v>
      </c>
      <c r="J631" s="11">
        <f>IF(FINANCIACION[[#This Row],[$ CAPITAL]]&gt;=0,FINANCIACION[[#This Row],[$ CAPITAL]]+FINANCIACION[[#This Row],[$ INTERESES]],0)</f>
        <v>6734134.1100000003</v>
      </c>
    </row>
    <row r="632" spans="1:10" ht="24" hidden="1" customHeight="1" x14ac:dyDescent="0.3">
      <c r="A632" s="9">
        <v>44357</v>
      </c>
      <c r="B632" s="63" t="s">
        <v>1222</v>
      </c>
      <c r="C632" s="7">
        <v>1851506.0161396766</v>
      </c>
      <c r="D632" s="7">
        <v>825893.98386032344</v>
      </c>
      <c r="E632" s="7">
        <v>2677400</v>
      </c>
      <c r="F632" s="7">
        <v>-80737892.369892672</v>
      </c>
      <c r="G632" s="10"/>
      <c r="H632" s="66"/>
      <c r="I632" s="7">
        <f>IF(FINANCIACION[[#This Row],[$ CAPITAL]]&gt;0,FINANCIACION[[#This Row],[$ CAPITAL]])</f>
        <v>1851506.0161396766</v>
      </c>
      <c r="J632" s="11">
        <f>IF(FINANCIACION[[#This Row],[$ CAPITAL]]&gt;=0,FINANCIACION[[#This Row],[$ CAPITAL]]+FINANCIACION[[#This Row],[$ INTERESES]],0)</f>
        <v>2677400</v>
      </c>
    </row>
    <row r="633" spans="1:10" ht="24" hidden="1" customHeight="1" x14ac:dyDescent="0.3">
      <c r="A633" s="9">
        <v>44358</v>
      </c>
      <c r="B633" s="63" t="s">
        <v>1226</v>
      </c>
      <c r="C633" s="7">
        <v>713253.92</v>
      </c>
      <c r="D633" s="7">
        <v>586746.07999999996</v>
      </c>
      <c r="E633" s="7">
        <v>1300000</v>
      </c>
      <c r="F633" s="7">
        <v>-57961354.079999998</v>
      </c>
      <c r="G633" s="10"/>
      <c r="H633" s="66"/>
      <c r="I633" s="7">
        <f>IF(FINANCIACION[[#This Row],[$ CAPITAL]]&gt;0,FINANCIACION[[#This Row],[$ CAPITAL]])</f>
        <v>713253.92</v>
      </c>
      <c r="J633" s="11">
        <f>IF(FINANCIACION[[#This Row],[$ CAPITAL]]&gt;=0,FINANCIACION[[#This Row],[$ CAPITAL]]+FINANCIACION[[#This Row],[$ INTERESES]],0)</f>
        <v>1300000</v>
      </c>
    </row>
    <row r="634" spans="1:10" ht="24" hidden="1" customHeight="1" x14ac:dyDescent="0.3">
      <c r="A634" s="9">
        <v>44358</v>
      </c>
      <c r="B634" s="63" t="s">
        <v>1223</v>
      </c>
      <c r="C634" s="7">
        <v>462796.88598599995</v>
      </c>
      <c r="D634" s="7">
        <v>737203.11401400005</v>
      </c>
      <c r="E634" s="7">
        <v>1200000</v>
      </c>
      <c r="F634" s="7">
        <v>-73257514.515414</v>
      </c>
      <c r="G634" s="10"/>
      <c r="H634" s="66"/>
      <c r="I634" s="7">
        <f>IF(FINANCIACION[[#This Row],[$ CAPITAL]]&gt;0,FINANCIACION[[#This Row],[$ CAPITAL]])</f>
        <v>462796.88598599995</v>
      </c>
      <c r="J634" s="11">
        <f>IF(FINANCIACION[[#This Row],[$ CAPITAL]]&gt;=0,FINANCIACION[[#This Row],[$ CAPITAL]]+FINANCIACION[[#This Row],[$ INTERESES]],0)</f>
        <v>1200000</v>
      </c>
    </row>
    <row r="635" spans="1:10" ht="24" hidden="1" customHeight="1" x14ac:dyDescent="0.3">
      <c r="A635" s="9">
        <v>44358</v>
      </c>
      <c r="B635" s="63" t="s">
        <v>1235</v>
      </c>
      <c r="C635" s="7"/>
      <c r="D635" s="7">
        <v>120000</v>
      </c>
      <c r="E635" s="7">
        <v>120000</v>
      </c>
      <c r="F635" s="7">
        <v>-12000000</v>
      </c>
      <c r="G635" s="10"/>
      <c r="H635" s="66"/>
      <c r="I635" s="7" t="b">
        <f>IF(FINANCIACION[[#This Row],[$ CAPITAL]]&gt;0,FINANCIACION[[#This Row],[$ CAPITAL]])</f>
        <v>0</v>
      </c>
      <c r="J635" s="11">
        <f>IF(FINANCIACION[[#This Row],[$ CAPITAL]]&gt;=0,FINANCIACION[[#This Row],[$ CAPITAL]]+FINANCIACION[[#This Row],[$ INTERESES]],0)</f>
        <v>120000</v>
      </c>
    </row>
    <row r="636" spans="1:10" ht="24" hidden="1" customHeight="1" x14ac:dyDescent="0.3">
      <c r="A636" s="9">
        <v>44358</v>
      </c>
      <c r="B636" s="63" t="s">
        <v>1225</v>
      </c>
      <c r="C636" s="7">
        <v>462796.88598599995</v>
      </c>
      <c r="D636" s="7">
        <v>737203.11401400005</v>
      </c>
      <c r="E636" s="7">
        <v>1200000</v>
      </c>
      <c r="F636" s="7">
        <v>-29893004.139999997</v>
      </c>
      <c r="G636" s="10"/>
      <c r="H636" s="66"/>
      <c r="I636" s="7">
        <f>IF(FINANCIACION[[#This Row],[$ CAPITAL]]&gt;0,FINANCIACION[[#This Row],[$ CAPITAL]])</f>
        <v>462796.88598599995</v>
      </c>
      <c r="J636" s="11">
        <f>IF(FINANCIACION[[#This Row],[$ CAPITAL]]&gt;=0,FINANCIACION[[#This Row],[$ CAPITAL]]+FINANCIACION[[#This Row],[$ INTERESES]],0)</f>
        <v>1200000</v>
      </c>
    </row>
    <row r="637" spans="1:10" ht="24" hidden="1" customHeight="1" x14ac:dyDescent="0.3">
      <c r="A637" s="9">
        <v>44358</v>
      </c>
      <c r="B637" s="63" t="s">
        <v>1225</v>
      </c>
      <c r="C637" s="7"/>
      <c r="D637" s="7">
        <v>120000</v>
      </c>
      <c r="E637" s="7">
        <v>120000</v>
      </c>
      <c r="F637" s="7">
        <v>-29893004.139999997</v>
      </c>
      <c r="G637" s="10"/>
      <c r="H637" s="66"/>
      <c r="I637" s="7" t="b">
        <f>IF(FINANCIACION[[#This Row],[$ CAPITAL]]&gt;0,FINANCIACION[[#This Row],[$ CAPITAL]])</f>
        <v>0</v>
      </c>
      <c r="J637" s="11">
        <f>IF(FINANCIACION[[#This Row],[$ CAPITAL]]&gt;=0,FINANCIACION[[#This Row],[$ CAPITAL]]+FINANCIACION[[#This Row],[$ INTERESES]],0)</f>
        <v>120000</v>
      </c>
    </row>
    <row r="638" spans="1:10" ht="24" hidden="1" customHeight="1" x14ac:dyDescent="0.3">
      <c r="A638" s="9">
        <v>44358</v>
      </c>
      <c r="B638" s="63" t="s">
        <v>1225</v>
      </c>
      <c r="C638" s="7"/>
      <c r="D638" s="7">
        <v>640000</v>
      </c>
      <c r="E638" s="7">
        <v>640000</v>
      </c>
      <c r="F638" s="7">
        <v>-29893004.139999997</v>
      </c>
      <c r="G638" s="10"/>
      <c r="H638" s="66"/>
      <c r="I638" s="7" t="b">
        <f>IF(FINANCIACION[[#This Row],[$ CAPITAL]]&gt;0,FINANCIACION[[#This Row],[$ CAPITAL]])</f>
        <v>0</v>
      </c>
      <c r="J638" s="11">
        <f>IF(FINANCIACION[[#This Row],[$ CAPITAL]]&gt;=0,FINANCIACION[[#This Row],[$ CAPITAL]]+FINANCIACION[[#This Row],[$ INTERESES]],0)</f>
        <v>640000</v>
      </c>
    </row>
    <row r="639" spans="1:10" ht="24" hidden="1" customHeight="1" x14ac:dyDescent="0.3">
      <c r="A639" s="9">
        <v>44358</v>
      </c>
      <c r="B639" s="63" t="s">
        <v>1225</v>
      </c>
      <c r="C639" s="7">
        <v>713253.92</v>
      </c>
      <c r="D639" s="7">
        <v>586746.07999999996</v>
      </c>
      <c r="E639" s="7">
        <v>1300000</v>
      </c>
      <c r="F639" s="7">
        <v>-29893004.139999997</v>
      </c>
      <c r="G639" s="10"/>
      <c r="H639" s="66"/>
      <c r="I639" s="7">
        <f>IF(FINANCIACION[[#This Row],[$ CAPITAL]]&gt;0,FINANCIACION[[#This Row],[$ CAPITAL]])</f>
        <v>713253.92</v>
      </c>
      <c r="J639" s="11">
        <f>IF(FINANCIACION[[#This Row],[$ CAPITAL]]&gt;=0,FINANCIACION[[#This Row],[$ CAPITAL]]+FINANCIACION[[#This Row],[$ INTERESES]],0)</f>
        <v>1300000</v>
      </c>
    </row>
    <row r="640" spans="1:10" ht="24" hidden="1" customHeight="1" x14ac:dyDescent="0.3">
      <c r="A640" s="9">
        <v>44358</v>
      </c>
      <c r="B640" s="63" t="s">
        <v>1225</v>
      </c>
      <c r="C640" s="7"/>
      <c r="D640" s="7">
        <v>220000</v>
      </c>
      <c r="E640" s="7">
        <v>220000</v>
      </c>
      <c r="F640" s="7">
        <v>-29893004.139999997</v>
      </c>
      <c r="G640" s="66"/>
      <c r="H640" s="10"/>
      <c r="I640" s="7" t="b">
        <f>IF(FINANCIACION[[#This Row],[$ CAPITAL]]&gt;0,FINANCIACION[[#This Row],[$ CAPITAL]])</f>
        <v>0</v>
      </c>
      <c r="J640" s="41">
        <f>IF(FINANCIACION[[#This Row],[$ CAPITAL]]&gt;=0,FINANCIACION[[#This Row],[$ CAPITAL]]+FINANCIACION[[#This Row],[$ INTERESES]],0)</f>
        <v>220000</v>
      </c>
    </row>
    <row r="641" spans="1:10" ht="24" hidden="1" customHeight="1" x14ac:dyDescent="0.3">
      <c r="A641" s="9">
        <v>44358</v>
      </c>
      <c r="B641" s="63" t="s">
        <v>1225</v>
      </c>
      <c r="C641" s="7">
        <v>1851506.0161396766</v>
      </c>
      <c r="D641" s="7">
        <v>825893.98386032344</v>
      </c>
      <c r="E641" s="7">
        <v>2677400</v>
      </c>
      <c r="F641" s="7">
        <v>-29893004.139999997</v>
      </c>
      <c r="G641" s="66"/>
      <c r="H641" s="10"/>
      <c r="I641" s="7">
        <f>IF(FINANCIACION[[#This Row],[$ CAPITAL]]&gt;0,FINANCIACION[[#This Row],[$ CAPITAL]])</f>
        <v>1851506.0161396766</v>
      </c>
      <c r="J641" s="41">
        <f>IF(FINANCIACION[[#This Row],[$ CAPITAL]]&gt;=0,FINANCIACION[[#This Row],[$ CAPITAL]]+FINANCIACION[[#This Row],[$ INTERESES]],0)</f>
        <v>2677400</v>
      </c>
    </row>
    <row r="642" spans="1:10" ht="24" hidden="1" customHeight="1" x14ac:dyDescent="0.3">
      <c r="A642" s="9">
        <v>44362</v>
      </c>
      <c r="B642" s="63" t="s">
        <v>1223</v>
      </c>
      <c r="C642" s="7">
        <v>-3000000</v>
      </c>
      <c r="D642" s="7"/>
      <c r="E642" s="7" t="s">
        <v>146</v>
      </c>
      <c r="F642" s="7">
        <v>-76257514.515414</v>
      </c>
      <c r="G642" s="66" t="s">
        <v>428</v>
      </c>
      <c r="H642" s="10"/>
      <c r="I642" s="7" t="b">
        <f>IF(FINANCIACION[[#This Row],[$ CAPITAL]]&gt;0,FINANCIACION[[#This Row],[$ CAPITAL]])</f>
        <v>0</v>
      </c>
      <c r="J642" s="41">
        <f>IF(FINANCIACION[[#This Row],[$ CAPITAL]]&gt;=0,FINANCIACION[[#This Row],[$ CAPITAL]]+FINANCIACION[[#This Row],[$ INTERESES]],0)</f>
        <v>0</v>
      </c>
    </row>
    <row r="643" spans="1:10" ht="24" hidden="1" customHeight="1" x14ac:dyDescent="0.3">
      <c r="A643" s="9">
        <v>44362</v>
      </c>
      <c r="B643" s="63" t="s">
        <v>202</v>
      </c>
      <c r="C643" s="7"/>
      <c r="D643" s="7">
        <v>227850</v>
      </c>
      <c r="E643" s="7">
        <v>227850</v>
      </c>
      <c r="F643" s="7">
        <v>-35000000</v>
      </c>
      <c r="G643" s="66"/>
      <c r="H643" s="10"/>
      <c r="I643" s="7" t="b">
        <f>IF(FINANCIACION[[#This Row],[$ CAPITAL]]&gt;0,FINANCIACION[[#This Row],[$ CAPITAL]])</f>
        <v>0</v>
      </c>
      <c r="J643" s="41">
        <f>IF(FINANCIACION[[#This Row],[$ CAPITAL]]&gt;=0,FINANCIACION[[#This Row],[$ CAPITAL]]+FINANCIACION[[#This Row],[$ INTERESES]],0)</f>
        <v>227850</v>
      </c>
    </row>
    <row r="644" spans="1:10" ht="24" hidden="1" customHeight="1" x14ac:dyDescent="0.3">
      <c r="A644" s="9">
        <v>44363</v>
      </c>
      <c r="B644" s="63" t="s">
        <v>1233</v>
      </c>
      <c r="C644" s="7"/>
      <c r="D644" s="7">
        <v>390000</v>
      </c>
      <c r="E644" s="7">
        <v>390000</v>
      </c>
      <c r="F644" s="7">
        <v>-13000000</v>
      </c>
      <c r="G644" s="66"/>
      <c r="H644" s="10"/>
      <c r="I644" s="7" t="b">
        <f>IF(FINANCIACION[[#This Row],[$ CAPITAL]]&gt;0,FINANCIACION[[#This Row],[$ CAPITAL]])</f>
        <v>0</v>
      </c>
      <c r="J644" s="41">
        <f>IF(FINANCIACION[[#This Row],[$ CAPITAL]]&gt;=0,FINANCIACION[[#This Row],[$ CAPITAL]]+FINANCIACION[[#This Row],[$ INTERESES]],0)</f>
        <v>390000</v>
      </c>
    </row>
    <row r="645" spans="1:10" ht="24" hidden="1" customHeight="1" x14ac:dyDescent="0.3">
      <c r="A645" s="9">
        <v>44363</v>
      </c>
      <c r="B645" s="63" t="s">
        <v>205</v>
      </c>
      <c r="C645" s="7">
        <v>2000000</v>
      </c>
      <c r="D645" s="7"/>
      <c r="E645" s="7">
        <v>2000000</v>
      </c>
      <c r="F645" s="7">
        <v>-3450061</v>
      </c>
      <c r="G645" s="66"/>
      <c r="H645" s="10"/>
      <c r="I645" s="7">
        <f>IF(FINANCIACION[[#This Row],[$ CAPITAL]]&gt;0,FINANCIACION[[#This Row],[$ CAPITAL]])</f>
        <v>2000000</v>
      </c>
      <c r="J645" s="41">
        <f>IF(FINANCIACION[[#This Row],[$ CAPITAL]]&gt;=0,FINANCIACION[[#This Row],[$ CAPITAL]]+FINANCIACION[[#This Row],[$ INTERESES]],0)</f>
        <v>2000000</v>
      </c>
    </row>
    <row r="646" spans="1:10" ht="24" hidden="1" customHeight="1" x14ac:dyDescent="0.3">
      <c r="A646" s="9">
        <v>44363</v>
      </c>
      <c r="B646" s="63" t="s">
        <v>205</v>
      </c>
      <c r="C646" s="7">
        <v>-5450061</v>
      </c>
      <c r="D646" s="7"/>
      <c r="E646" s="7" t="s">
        <v>146</v>
      </c>
      <c r="F646" s="7">
        <v>-3450061</v>
      </c>
      <c r="G646" s="66"/>
      <c r="H646" s="10"/>
      <c r="I646" s="7" t="b">
        <f>IF(FINANCIACION[[#This Row],[$ CAPITAL]]&gt;0,FINANCIACION[[#This Row],[$ CAPITAL]])</f>
        <v>0</v>
      </c>
      <c r="J646" s="41">
        <f>IF(FINANCIACION[[#This Row],[$ CAPITAL]]&gt;=0,FINANCIACION[[#This Row],[$ CAPITAL]]+FINANCIACION[[#This Row],[$ INTERESES]],0)</f>
        <v>0</v>
      </c>
    </row>
    <row r="647" spans="1:10" ht="24" hidden="1" customHeight="1" x14ac:dyDescent="0.3">
      <c r="A647" s="9">
        <v>44365</v>
      </c>
      <c r="B647" s="63" t="s">
        <v>204</v>
      </c>
      <c r="C647" s="7">
        <v>5968720</v>
      </c>
      <c r="D647" s="7"/>
      <c r="E647" s="7">
        <v>5968720</v>
      </c>
      <c r="F647" s="7">
        <v>-23755590</v>
      </c>
      <c r="G647" s="66"/>
      <c r="H647" s="10"/>
      <c r="I647" s="7">
        <f>IF(FINANCIACION[[#This Row],[$ CAPITAL]]&gt;0,FINANCIACION[[#This Row],[$ CAPITAL]])</f>
        <v>5968720</v>
      </c>
      <c r="J647" s="41">
        <f>IF(FINANCIACION[[#This Row],[$ CAPITAL]]&gt;=0,FINANCIACION[[#This Row],[$ CAPITAL]]+FINANCIACION[[#This Row],[$ INTERESES]],0)</f>
        <v>5968720</v>
      </c>
    </row>
    <row r="648" spans="1:10" ht="24" hidden="1" customHeight="1" x14ac:dyDescent="0.3">
      <c r="A648" s="9">
        <v>44369</v>
      </c>
      <c r="B648" s="63" t="s">
        <v>1225</v>
      </c>
      <c r="C648" s="7">
        <v>1496187.629999999</v>
      </c>
      <c r="D648" s="7">
        <v>12812.370000001043</v>
      </c>
      <c r="E648" s="7">
        <v>1509000</v>
      </c>
      <c r="F648" s="7">
        <v>-28396816.509999998</v>
      </c>
      <c r="G648" s="66"/>
      <c r="H648" s="10"/>
      <c r="I648" s="7">
        <f>IF(FINANCIACION[[#This Row],[$ CAPITAL]]&gt;0,FINANCIACION[[#This Row],[$ CAPITAL]])</f>
        <v>1496187.629999999</v>
      </c>
      <c r="J648" s="41">
        <f>IF(FINANCIACION[[#This Row],[$ CAPITAL]]&gt;=0,FINANCIACION[[#This Row],[$ CAPITAL]]+FINANCIACION[[#This Row],[$ INTERESES]],0)</f>
        <v>1509000</v>
      </c>
    </row>
    <row r="649" spans="1:10" ht="24" hidden="1" customHeight="1" x14ac:dyDescent="0.3">
      <c r="A649" s="9">
        <v>44370</v>
      </c>
      <c r="B649" s="63" t="s">
        <v>1236</v>
      </c>
      <c r="C649" s="7">
        <v>1241305.5700000003</v>
      </c>
      <c r="D649" s="7">
        <v>10694.429999999702</v>
      </c>
      <c r="E649" s="7">
        <v>1252000</v>
      </c>
      <c r="F649" s="7">
        <v>-24790595.739999998</v>
      </c>
      <c r="G649" s="66"/>
      <c r="H649" s="10"/>
      <c r="I649" s="7">
        <f>IF(FINANCIACION[[#This Row],[$ CAPITAL]]&gt;0,FINANCIACION[[#This Row],[$ CAPITAL]])</f>
        <v>1241305.5700000003</v>
      </c>
      <c r="J649" s="41">
        <f>IF(FINANCIACION[[#This Row],[$ CAPITAL]]&gt;=0,FINANCIACION[[#This Row],[$ CAPITAL]]+FINANCIACION[[#This Row],[$ INTERESES]],0)</f>
        <v>1252000</v>
      </c>
    </row>
    <row r="650" spans="1:10" ht="24" hidden="1" customHeight="1" x14ac:dyDescent="0.3">
      <c r="A650" s="9">
        <v>44371</v>
      </c>
      <c r="B650" s="63" t="s">
        <v>1228</v>
      </c>
      <c r="C650" s="7">
        <v>2519439.0600000024</v>
      </c>
      <c r="D650" s="7">
        <v>22560.939999997616</v>
      </c>
      <c r="E650" s="7">
        <v>2542000</v>
      </c>
      <c r="F650" s="7">
        <v>-52299048.060000002</v>
      </c>
      <c r="G650" s="66"/>
      <c r="H650" s="10"/>
      <c r="I650" s="7">
        <f>IF(FINANCIACION[[#This Row],[$ CAPITAL]]&gt;0,FINANCIACION[[#This Row],[$ CAPITAL]])</f>
        <v>2519439.0600000024</v>
      </c>
      <c r="J650" s="41">
        <f>IF(FINANCIACION[[#This Row],[$ CAPITAL]]&gt;=0,FINANCIACION[[#This Row],[$ CAPITAL]]+FINANCIACION[[#This Row],[$ INTERESES]],0)</f>
        <v>2542000</v>
      </c>
    </row>
    <row r="651" spans="1:10" ht="24" hidden="1" customHeight="1" x14ac:dyDescent="0.3">
      <c r="A651" s="9">
        <v>44372</v>
      </c>
      <c r="B651" s="63" t="s">
        <v>1229</v>
      </c>
      <c r="C651" s="7">
        <v>3713546.1699999869</v>
      </c>
      <c r="D651" s="7">
        <v>36453.830000013113</v>
      </c>
      <c r="E651" s="7">
        <v>3750000</v>
      </c>
      <c r="F651" s="7">
        <v>-75853658.510000005</v>
      </c>
      <c r="G651" s="66"/>
      <c r="H651" s="10"/>
      <c r="I651" s="7">
        <f>IF(FINANCIACION[[#This Row],[$ CAPITAL]]&gt;0,FINANCIACION[[#This Row],[$ CAPITAL]])</f>
        <v>3713546.1699999869</v>
      </c>
      <c r="J651" s="41">
        <f>IF(FINANCIACION[[#This Row],[$ CAPITAL]]&gt;=0,FINANCIACION[[#This Row],[$ CAPITAL]]+FINANCIACION[[#This Row],[$ INTERESES]],0)</f>
        <v>3750000</v>
      </c>
    </row>
    <row r="652" spans="1:10" ht="24" hidden="1" customHeight="1" x14ac:dyDescent="0.3">
      <c r="A652" s="9">
        <v>44373</v>
      </c>
      <c r="B652" s="63" t="s">
        <v>1230</v>
      </c>
      <c r="C652" s="7">
        <v>993488.5700000003</v>
      </c>
      <c r="D652" s="7">
        <v>9511.429999999702</v>
      </c>
      <c r="E652" s="7">
        <v>1003000</v>
      </c>
      <c r="F652" s="7">
        <v>-21288613.34</v>
      </c>
      <c r="G652" s="66"/>
      <c r="H652" s="10"/>
      <c r="I652" s="7">
        <f>IF(FINANCIACION[[#This Row],[$ CAPITAL]]&gt;0,FINANCIACION[[#This Row],[$ CAPITAL]])</f>
        <v>993488.5700000003</v>
      </c>
      <c r="J652" s="41">
        <f>IF(FINANCIACION[[#This Row],[$ CAPITAL]]&gt;=0,FINANCIACION[[#This Row],[$ CAPITAL]]+FINANCIACION[[#This Row],[$ INTERESES]],0)</f>
        <v>1003000</v>
      </c>
    </row>
    <row r="653" spans="1:10" ht="24" hidden="1" customHeight="1" x14ac:dyDescent="0.3">
      <c r="A653" s="9">
        <v>44374</v>
      </c>
      <c r="B653" s="63" t="s">
        <v>1232</v>
      </c>
      <c r="C653" s="7">
        <v>1046623.2200000025</v>
      </c>
      <c r="D653" s="7">
        <v>10376.779999997467</v>
      </c>
      <c r="E653" s="7">
        <v>1057000</v>
      </c>
      <c r="F653" s="7">
        <v>-23225449.379999999</v>
      </c>
      <c r="G653" s="66"/>
      <c r="H653" s="10"/>
      <c r="I653" s="7">
        <f>IF(FINANCIACION[[#This Row],[$ CAPITAL]]&gt;0,FINANCIACION[[#This Row],[$ CAPITAL]])</f>
        <v>1046623.2200000025</v>
      </c>
      <c r="J653" s="41">
        <f>IF(FINANCIACION[[#This Row],[$ CAPITAL]]&gt;=0,FINANCIACION[[#This Row],[$ CAPITAL]]+FINANCIACION[[#This Row],[$ INTERESES]],0)</f>
        <v>1057000</v>
      </c>
    </row>
    <row r="654" spans="1:10" ht="24" hidden="1" customHeight="1" x14ac:dyDescent="0.3">
      <c r="A654" s="9">
        <v>44375</v>
      </c>
      <c r="B654" s="63" t="s">
        <v>1224</v>
      </c>
      <c r="C654" s="7">
        <v>11613334</v>
      </c>
      <c r="D654" s="7">
        <v>235877</v>
      </c>
      <c r="E654" s="7">
        <v>11849211</v>
      </c>
      <c r="F654" s="7">
        <v>-344444698</v>
      </c>
      <c r="G654" s="66"/>
      <c r="H654" s="10"/>
      <c r="I654" s="7">
        <f>IF(FINANCIACION[[#This Row],[$ CAPITAL]]&gt;0,FINANCIACION[[#This Row],[$ CAPITAL]])</f>
        <v>11613334</v>
      </c>
      <c r="J654" s="41">
        <f>IF(FINANCIACION[[#This Row],[$ CAPITAL]]&gt;=0,FINANCIACION[[#This Row],[$ CAPITAL]]+FINANCIACION[[#This Row],[$ INTERESES]],0)</f>
        <v>11849211</v>
      </c>
    </row>
    <row r="655" spans="1:10" ht="24" hidden="1" customHeight="1" x14ac:dyDescent="0.3">
      <c r="A655" s="9">
        <v>44377</v>
      </c>
      <c r="B655" s="63" t="s">
        <v>195</v>
      </c>
      <c r="C655" s="7">
        <v>1468400</v>
      </c>
      <c r="D655" s="7">
        <v>453711</v>
      </c>
      <c r="E655" s="7">
        <v>1922111</v>
      </c>
      <c r="F655" s="7">
        <v>-48457200</v>
      </c>
      <c r="G655" s="66"/>
      <c r="H655" s="10"/>
      <c r="I655" s="7">
        <f>IF(FINANCIACION[[#This Row],[$ CAPITAL]]&gt;0,FINANCIACION[[#This Row],[$ CAPITAL]])</f>
        <v>1468400</v>
      </c>
      <c r="J655" s="41">
        <f>IF(FINANCIACION[[#This Row],[$ CAPITAL]]&gt;=0,FINANCIACION[[#This Row],[$ CAPITAL]]+FINANCIACION[[#This Row],[$ INTERESES]],0)</f>
        <v>1922111</v>
      </c>
    </row>
    <row r="656" spans="1:10" ht="24" hidden="1" customHeight="1" x14ac:dyDescent="0.3">
      <c r="A656" s="9">
        <v>44377</v>
      </c>
      <c r="B656" s="63" t="s">
        <v>196</v>
      </c>
      <c r="C656" s="7">
        <v>76791</v>
      </c>
      <c r="D656" s="7"/>
      <c r="E656" s="7">
        <v>76791</v>
      </c>
      <c r="F656" s="7">
        <v>-2534103</v>
      </c>
      <c r="G656" s="66"/>
      <c r="H656" s="10"/>
      <c r="I656" s="7">
        <f>IF(FINANCIACION[[#This Row],[$ CAPITAL]]&gt;0,FINANCIACION[[#This Row],[$ CAPITAL]])</f>
        <v>76791</v>
      </c>
      <c r="J656" s="41">
        <f>IF(FINANCIACION[[#This Row],[$ CAPITAL]]&gt;=0,FINANCIACION[[#This Row],[$ CAPITAL]]+FINANCIACION[[#This Row],[$ INTERESES]],0)</f>
        <v>76791</v>
      </c>
    </row>
    <row r="657" spans="1:10" ht="24" hidden="1" customHeight="1" x14ac:dyDescent="0.3">
      <c r="A657" s="9">
        <v>44377</v>
      </c>
      <c r="B657" s="63" t="s">
        <v>421</v>
      </c>
      <c r="C657" s="7">
        <v>-22522714</v>
      </c>
      <c r="D657" s="7"/>
      <c r="E657" s="7" t="s">
        <v>146</v>
      </c>
      <c r="F657" s="7">
        <v>-22522714</v>
      </c>
      <c r="G657" s="66" t="s">
        <v>422</v>
      </c>
      <c r="H657" s="10">
        <v>-5927.03</v>
      </c>
      <c r="I657" s="7" t="b">
        <f>IF(FINANCIACION[[#This Row],[$ CAPITAL]]&gt;0,FINANCIACION[[#This Row],[$ CAPITAL]])</f>
        <v>0</v>
      </c>
      <c r="J657" s="41">
        <f>IF(FINANCIACION[[#This Row],[$ CAPITAL]]&gt;=0,FINANCIACION[[#This Row],[$ CAPITAL]]+FINANCIACION[[#This Row],[$ INTERESES]],0)</f>
        <v>0</v>
      </c>
    </row>
    <row r="658" spans="1:10" ht="24" hidden="1" customHeight="1" x14ac:dyDescent="0.3">
      <c r="A658" s="9">
        <v>44377</v>
      </c>
      <c r="B658" s="63" t="s">
        <v>203</v>
      </c>
      <c r="C658" s="7">
        <v>-1409465</v>
      </c>
      <c r="D658" s="7"/>
      <c r="E658" s="7" t="s">
        <v>146</v>
      </c>
      <c r="F658" s="7">
        <v>-1409465</v>
      </c>
      <c r="G658" s="66" t="s">
        <v>233</v>
      </c>
      <c r="H658" s="10"/>
      <c r="I658" s="7" t="b">
        <f>IF(FINANCIACION[[#This Row],[$ CAPITAL]]&gt;0,FINANCIACION[[#This Row],[$ CAPITAL]])</f>
        <v>0</v>
      </c>
      <c r="J658" s="41">
        <f>IF(FINANCIACION[[#This Row],[$ CAPITAL]]&gt;=0,FINANCIACION[[#This Row],[$ CAPITAL]]+FINANCIACION[[#This Row],[$ INTERESES]],0)</f>
        <v>0</v>
      </c>
    </row>
    <row r="659" spans="1:10" ht="24" hidden="1" customHeight="1" x14ac:dyDescent="0.3">
      <c r="A659" s="9">
        <v>44377</v>
      </c>
      <c r="B659" s="63" t="s">
        <v>204</v>
      </c>
      <c r="C659" s="7">
        <v>1790</v>
      </c>
      <c r="D659" s="7"/>
      <c r="E659" s="7">
        <v>1790</v>
      </c>
      <c r="F659" s="7">
        <v>-23753800</v>
      </c>
      <c r="G659" s="66" t="s">
        <v>233</v>
      </c>
      <c r="H659" s="10"/>
      <c r="I659" s="7">
        <f>IF(FINANCIACION[[#This Row],[$ CAPITAL]]&gt;0,FINANCIACION[[#This Row],[$ CAPITAL]])</f>
        <v>1790</v>
      </c>
      <c r="J659" s="41">
        <f>IF(FINANCIACION[[#This Row],[$ CAPITAL]]&gt;=0,FINANCIACION[[#This Row],[$ CAPITAL]]+FINANCIACION[[#This Row],[$ INTERESES]],0)</f>
        <v>1790</v>
      </c>
    </row>
    <row r="660" spans="1:10" ht="24" hidden="1" customHeight="1" x14ac:dyDescent="0.3">
      <c r="A660" s="9">
        <v>44377</v>
      </c>
      <c r="B660" s="63" t="s">
        <v>205</v>
      </c>
      <c r="C660" s="7">
        <v>-2469502</v>
      </c>
      <c r="D660" s="7"/>
      <c r="E660" s="7" t="s">
        <v>146</v>
      </c>
      <c r="F660" s="7">
        <v>-5919563</v>
      </c>
      <c r="G660" s="66" t="s">
        <v>233</v>
      </c>
      <c r="H660" s="10"/>
      <c r="I660" s="7" t="b">
        <f>IF(FINANCIACION[[#This Row],[$ CAPITAL]]&gt;0,FINANCIACION[[#This Row],[$ CAPITAL]])</f>
        <v>0</v>
      </c>
      <c r="J660" s="41">
        <f>IF(FINANCIACION[[#This Row],[$ CAPITAL]]&gt;=0,FINANCIACION[[#This Row],[$ CAPITAL]]+FINANCIACION[[#This Row],[$ INTERESES]],0)</f>
        <v>0</v>
      </c>
    </row>
    <row r="661" spans="1:10" ht="24" hidden="1" customHeight="1" x14ac:dyDescent="0.3">
      <c r="A661" s="9">
        <v>44379</v>
      </c>
      <c r="B661" s="63" t="s">
        <v>199</v>
      </c>
      <c r="C661" s="7">
        <v>6326000</v>
      </c>
      <c r="D661" s="7">
        <v>365283.37</v>
      </c>
      <c r="E661" s="7">
        <v>6691283.3700000001</v>
      </c>
      <c r="F661" s="7">
        <v>-47713126</v>
      </c>
      <c r="G661" s="66"/>
      <c r="H661" s="10"/>
      <c r="I661" s="7">
        <f>IF(FINANCIACION[[#This Row],[$ CAPITAL]]&gt;0,FINANCIACION[[#This Row],[$ CAPITAL]])</f>
        <v>6326000</v>
      </c>
      <c r="J661" s="41">
        <f>IF(FINANCIACION[[#This Row],[$ CAPITAL]]&gt;=0,FINANCIACION[[#This Row],[$ CAPITAL]]+FINANCIACION[[#This Row],[$ INTERESES]],0)</f>
        <v>6691283.3700000001</v>
      </c>
    </row>
    <row r="662" spans="1:10" ht="24" hidden="1" customHeight="1" x14ac:dyDescent="0.3">
      <c r="A662" s="9">
        <v>44389</v>
      </c>
      <c r="B662" s="63" t="s">
        <v>1223</v>
      </c>
      <c r="C662" s="7">
        <v>3000000</v>
      </c>
      <c r="D662" s="7"/>
      <c r="E662" s="7">
        <v>3000000</v>
      </c>
      <c r="F662" s="7">
        <v>-73257514.515414</v>
      </c>
      <c r="G662" s="66"/>
      <c r="H662" s="10"/>
      <c r="I662" s="7">
        <f>IF(FINANCIACION[[#This Row],[$ CAPITAL]]&gt;0,FINANCIACION[[#This Row],[$ CAPITAL]])</f>
        <v>3000000</v>
      </c>
      <c r="J662" s="41">
        <f>IF(FINANCIACION[[#This Row],[$ CAPITAL]]&gt;=0,FINANCIACION[[#This Row],[$ CAPITAL]]+FINANCIACION[[#This Row],[$ INTERESES]],0)</f>
        <v>3000000</v>
      </c>
    </row>
    <row r="663" spans="1:10" ht="24" hidden="1" customHeight="1" x14ac:dyDescent="0.3">
      <c r="A663" s="9">
        <v>44389</v>
      </c>
      <c r="B663" s="63" t="s">
        <v>203</v>
      </c>
      <c r="C663" s="7">
        <v>1000000</v>
      </c>
      <c r="D663" s="7"/>
      <c r="E663" s="7">
        <v>1000000</v>
      </c>
      <c r="F663" s="7">
        <v>-409465</v>
      </c>
      <c r="G663" s="66"/>
      <c r="H663" s="10"/>
      <c r="I663" s="7">
        <f>IF(FINANCIACION[[#This Row],[$ CAPITAL]]&gt;0,FINANCIACION[[#This Row],[$ CAPITAL]])</f>
        <v>1000000</v>
      </c>
      <c r="J663" s="41">
        <f>IF(FINANCIACION[[#This Row],[$ CAPITAL]]&gt;=0,FINANCIACION[[#This Row],[$ CAPITAL]]+FINANCIACION[[#This Row],[$ INTERESES]],0)</f>
        <v>1000000</v>
      </c>
    </row>
    <row r="664" spans="1:10" ht="24" hidden="1" customHeight="1" x14ac:dyDescent="0.3">
      <c r="A664" s="9">
        <v>44389</v>
      </c>
      <c r="B664" s="63" t="s">
        <v>204</v>
      </c>
      <c r="C664" s="7">
        <v>3829460</v>
      </c>
      <c r="D664" s="7"/>
      <c r="E664" s="7">
        <v>3829460</v>
      </c>
      <c r="F664" s="7">
        <v>-19924340</v>
      </c>
      <c r="G664" s="66"/>
      <c r="H664" s="10"/>
      <c r="I664" s="7">
        <f>IF(FINANCIACION[[#This Row],[$ CAPITAL]]&gt;0,FINANCIACION[[#This Row],[$ CAPITAL]])</f>
        <v>3829460</v>
      </c>
      <c r="J664" s="41">
        <f>IF(FINANCIACION[[#This Row],[$ CAPITAL]]&gt;=0,FINANCIACION[[#This Row],[$ CAPITAL]]+FINANCIACION[[#This Row],[$ INTERESES]],0)</f>
        <v>3829460</v>
      </c>
    </row>
    <row r="665" spans="1:10" ht="24" hidden="1" customHeight="1" x14ac:dyDescent="0.3">
      <c r="A665" s="9">
        <v>44389</v>
      </c>
      <c r="B665" s="63" t="s">
        <v>205</v>
      </c>
      <c r="C665" s="7">
        <v>1000000</v>
      </c>
      <c r="D665" s="7"/>
      <c r="E665" s="7">
        <v>1000000</v>
      </c>
      <c r="F665" s="7">
        <v>-4919563</v>
      </c>
      <c r="G665" s="66"/>
      <c r="H665" s="10"/>
      <c r="I665" s="7">
        <f>IF(FINANCIACION[[#This Row],[$ CAPITAL]]&gt;0,FINANCIACION[[#This Row],[$ CAPITAL]])</f>
        <v>1000000</v>
      </c>
      <c r="J665" s="41">
        <f>IF(FINANCIACION[[#This Row],[$ CAPITAL]]&gt;=0,FINANCIACION[[#This Row],[$ CAPITAL]]+FINANCIACION[[#This Row],[$ INTERESES]],0)</f>
        <v>1000000</v>
      </c>
    </row>
    <row r="666" spans="1:10" ht="24" hidden="1" customHeight="1" x14ac:dyDescent="0.3">
      <c r="A666" s="9">
        <v>44390</v>
      </c>
      <c r="B666" s="63" t="s">
        <v>1233</v>
      </c>
      <c r="C666" s="7"/>
      <c r="D666" s="7">
        <v>130000</v>
      </c>
      <c r="E666" s="7">
        <v>130000</v>
      </c>
      <c r="F666" s="7">
        <v>-13000000</v>
      </c>
      <c r="G666" s="66"/>
      <c r="H666" s="10"/>
      <c r="I666" s="7" t="b">
        <f>IF(FINANCIACION[[#This Row],[$ CAPITAL]]&gt;0,FINANCIACION[[#This Row],[$ CAPITAL]])</f>
        <v>0</v>
      </c>
      <c r="J666" s="41">
        <f>IF(FINANCIACION[[#This Row],[$ CAPITAL]]&gt;=0,FINANCIACION[[#This Row],[$ CAPITAL]]+FINANCIACION[[#This Row],[$ INTERESES]],0)</f>
        <v>130000</v>
      </c>
    </row>
    <row r="667" spans="1:10" ht="24" hidden="1" customHeight="1" x14ac:dyDescent="0.3">
      <c r="A667" s="9">
        <v>44390</v>
      </c>
      <c r="B667" s="63" t="s">
        <v>1222</v>
      </c>
      <c r="C667" s="7">
        <v>1859999.0763010732</v>
      </c>
      <c r="D667" s="7">
        <v>807378.92369892669</v>
      </c>
      <c r="E667" s="7">
        <v>2667378</v>
      </c>
      <c r="F667" s="7">
        <v>-78877893.293591604</v>
      </c>
      <c r="G667" s="10"/>
      <c r="H667" s="10"/>
      <c r="I667" s="7">
        <f>IF(FINANCIACION[[#This Row],[$ CAPITAL]]&gt;0,FINANCIACION[[#This Row],[$ CAPITAL]])</f>
        <v>1859999.0763010732</v>
      </c>
      <c r="J667" s="41">
        <f>IF(FINANCIACION[[#This Row],[$ CAPITAL]]&gt;=0,FINANCIACION[[#This Row],[$ CAPITAL]]+FINANCIACION[[#This Row],[$ INTERESES]],0)</f>
        <v>2667378</v>
      </c>
    </row>
    <row r="668" spans="1:10" ht="24" hidden="1" customHeight="1" x14ac:dyDescent="0.3">
      <c r="A668" s="9">
        <v>44390</v>
      </c>
      <c r="B668" s="63" t="s">
        <v>1226</v>
      </c>
      <c r="C668" s="7">
        <v>720386.45920000004</v>
      </c>
      <c r="D668" s="7">
        <v>579613.54079999996</v>
      </c>
      <c r="E668" s="7">
        <v>1300000</v>
      </c>
      <c r="F668" s="7">
        <v>-57240967.620799996</v>
      </c>
      <c r="G668" s="66"/>
      <c r="H668" s="10"/>
      <c r="I668" s="7">
        <f>IF(FINANCIACION[[#This Row],[$ CAPITAL]]&gt;0,FINANCIACION[[#This Row],[$ CAPITAL]])</f>
        <v>720386.45920000004</v>
      </c>
      <c r="J668" s="41">
        <f>IF(FINANCIACION[[#This Row],[$ CAPITAL]]&gt;=0,FINANCIACION[[#This Row],[$ CAPITAL]]+FINANCIACION[[#This Row],[$ INTERESES]],0)</f>
        <v>1300000</v>
      </c>
    </row>
    <row r="669" spans="1:10" ht="24" hidden="1" customHeight="1" x14ac:dyDescent="0.3">
      <c r="A669" s="9">
        <v>44390</v>
      </c>
      <c r="B669" s="63" t="s">
        <v>1223</v>
      </c>
      <c r="C669" s="7">
        <v>467424.85484586004</v>
      </c>
      <c r="D669" s="7">
        <v>732575.14515413996</v>
      </c>
      <c r="E669" s="7">
        <v>1200000</v>
      </c>
      <c r="F669" s="7">
        <v>-72790089.660568133</v>
      </c>
      <c r="G669" s="66"/>
      <c r="H669" s="10"/>
      <c r="I669" s="7">
        <f>IF(FINANCIACION[[#This Row],[$ CAPITAL]]&gt;0,FINANCIACION[[#This Row],[$ CAPITAL]])</f>
        <v>467424.85484586004</v>
      </c>
      <c r="J669" s="41">
        <f>IF(FINANCIACION[[#This Row],[$ CAPITAL]]&gt;=0,FINANCIACION[[#This Row],[$ CAPITAL]]+FINANCIACION[[#This Row],[$ INTERESES]],0)</f>
        <v>1200000</v>
      </c>
    </row>
    <row r="670" spans="1:10" ht="24" hidden="1" customHeight="1" x14ac:dyDescent="0.3">
      <c r="A670" s="9">
        <v>44390</v>
      </c>
      <c r="B670" s="63" t="s">
        <v>1235</v>
      </c>
      <c r="C670" s="7"/>
      <c r="D670" s="7">
        <v>120000</v>
      </c>
      <c r="E670" s="7">
        <v>120000</v>
      </c>
      <c r="F670" s="7">
        <v>-12000000</v>
      </c>
      <c r="G670" s="66"/>
      <c r="H670" s="10"/>
      <c r="I670" s="7" t="b">
        <f>IF(FINANCIACION[[#This Row],[$ CAPITAL]]&gt;0,FINANCIACION[[#This Row],[$ CAPITAL]])</f>
        <v>0</v>
      </c>
      <c r="J670" s="41">
        <f>IF(FINANCIACION[[#This Row],[$ CAPITAL]]&gt;=0,FINANCIACION[[#This Row],[$ CAPITAL]]+FINANCIACION[[#This Row],[$ INTERESES]],0)</f>
        <v>120000</v>
      </c>
    </row>
    <row r="671" spans="1:10" ht="24" hidden="1" customHeight="1" x14ac:dyDescent="0.3">
      <c r="A671" s="9">
        <v>44391</v>
      </c>
      <c r="B671" s="63" t="s">
        <v>202</v>
      </c>
      <c r="C671" s="7"/>
      <c r="D671" s="7">
        <v>227850</v>
      </c>
      <c r="E671" s="7">
        <v>227850</v>
      </c>
      <c r="F671" s="7">
        <v>-35000000</v>
      </c>
      <c r="G671" s="66"/>
      <c r="H671" s="10"/>
      <c r="I671" s="7" t="b">
        <f>IF(FINANCIACION[[#This Row],[$ CAPITAL]]&gt;0,FINANCIACION[[#This Row],[$ CAPITAL]])</f>
        <v>0</v>
      </c>
      <c r="J671" s="41">
        <f>IF(FINANCIACION[[#This Row],[$ CAPITAL]]&gt;=0,FINANCIACION[[#This Row],[$ CAPITAL]]+FINANCIACION[[#This Row],[$ INTERESES]],0)</f>
        <v>227850</v>
      </c>
    </row>
    <row r="672" spans="1:10" ht="24" hidden="1" customHeight="1" x14ac:dyDescent="0.3">
      <c r="A672" s="9">
        <v>44396</v>
      </c>
      <c r="B672" s="63" t="s">
        <v>203</v>
      </c>
      <c r="C672" s="7">
        <v>484706</v>
      </c>
      <c r="D672" s="7"/>
      <c r="E672" s="7">
        <v>484706</v>
      </c>
      <c r="F672" s="7">
        <v>75241</v>
      </c>
      <c r="G672" s="66"/>
      <c r="H672" s="10"/>
      <c r="I672" s="7">
        <f>IF(FINANCIACION[[#This Row],[$ CAPITAL]]&gt;0,FINANCIACION[[#This Row],[$ CAPITAL]])</f>
        <v>484706</v>
      </c>
      <c r="J672" s="41">
        <f>IF(FINANCIACION[[#This Row],[$ CAPITAL]]&gt;=0,FINANCIACION[[#This Row],[$ CAPITAL]]+FINANCIACION[[#This Row],[$ INTERESES]],0)</f>
        <v>484706</v>
      </c>
    </row>
    <row r="673" spans="1:10" ht="24" hidden="1" customHeight="1" x14ac:dyDescent="0.3">
      <c r="A673" s="9">
        <v>44396</v>
      </c>
      <c r="B673" s="63" t="s">
        <v>204</v>
      </c>
      <c r="C673" s="7">
        <v>3808460</v>
      </c>
      <c r="D673" s="7"/>
      <c r="E673" s="7">
        <v>3808460</v>
      </c>
      <c r="F673" s="7">
        <v>-16115880</v>
      </c>
      <c r="G673" s="66"/>
      <c r="H673" s="10"/>
      <c r="I673" s="7">
        <f>IF(FINANCIACION[[#This Row],[$ CAPITAL]]&gt;0,FINANCIACION[[#This Row],[$ CAPITAL]])</f>
        <v>3808460</v>
      </c>
      <c r="J673" s="41">
        <f>IF(FINANCIACION[[#This Row],[$ CAPITAL]]&gt;=0,FINANCIACION[[#This Row],[$ CAPITAL]]+FINANCIACION[[#This Row],[$ INTERESES]],0)</f>
        <v>3808460</v>
      </c>
    </row>
    <row r="674" spans="1:10" ht="24" hidden="1" customHeight="1" x14ac:dyDescent="0.3">
      <c r="A674" s="9">
        <v>44396</v>
      </c>
      <c r="B674" s="63" t="s">
        <v>205</v>
      </c>
      <c r="C674" s="7">
        <v>1000000</v>
      </c>
      <c r="D674" s="7"/>
      <c r="E674" s="7">
        <v>1000000</v>
      </c>
      <c r="F674" s="7">
        <v>-3919563</v>
      </c>
      <c r="G674" s="66"/>
      <c r="H674" s="10"/>
      <c r="I674" s="7">
        <f>IF(FINANCIACION[[#This Row],[$ CAPITAL]]&gt;0,FINANCIACION[[#This Row],[$ CAPITAL]])</f>
        <v>1000000</v>
      </c>
      <c r="J674" s="41">
        <f>IF(FINANCIACION[[#This Row],[$ CAPITAL]]&gt;=0,FINANCIACION[[#This Row],[$ CAPITAL]]+FINANCIACION[[#This Row],[$ INTERESES]],0)</f>
        <v>1000000</v>
      </c>
    </row>
    <row r="675" spans="1:10" ht="24" hidden="1" customHeight="1" x14ac:dyDescent="0.3">
      <c r="A675" s="9">
        <v>44398</v>
      </c>
      <c r="B675" s="63" t="s">
        <v>1225</v>
      </c>
      <c r="C675" s="7">
        <v>1488144.4800000004</v>
      </c>
      <c r="D675" s="7">
        <v>11855.519999999553</v>
      </c>
      <c r="E675" s="7">
        <v>1500000</v>
      </c>
      <c r="F675" s="7">
        <v>-26908672.029999997</v>
      </c>
      <c r="G675" s="66"/>
      <c r="H675" s="10"/>
      <c r="I675" s="7">
        <f>IF(FINANCIACION[[#This Row],[$ CAPITAL]]&gt;0,FINANCIACION[[#This Row],[$ CAPITAL]])</f>
        <v>1488144.4800000004</v>
      </c>
      <c r="J675" s="41">
        <f>IF(FINANCIACION[[#This Row],[$ CAPITAL]]&gt;=0,FINANCIACION[[#This Row],[$ CAPITAL]]+FINANCIACION[[#This Row],[$ INTERESES]],0)</f>
        <v>1500000</v>
      </c>
    </row>
    <row r="676" spans="1:10" ht="24" hidden="1" customHeight="1" x14ac:dyDescent="0.3">
      <c r="A676" s="9">
        <v>44398</v>
      </c>
      <c r="B676" s="63" t="s">
        <v>1236</v>
      </c>
      <c r="C676" s="7">
        <v>1234372.6199999973</v>
      </c>
      <c r="D676" s="7">
        <v>10627.380000002682</v>
      </c>
      <c r="E676" s="7">
        <v>1245000</v>
      </c>
      <c r="F676" s="7">
        <v>-23556223.120000001</v>
      </c>
      <c r="G676" s="10"/>
      <c r="H676" s="10"/>
      <c r="I676" s="7">
        <f>IF(FINANCIACION[[#This Row],[$ CAPITAL]]&gt;0,FINANCIACION[[#This Row],[$ CAPITAL]])</f>
        <v>1234372.6199999973</v>
      </c>
      <c r="J676" s="41">
        <f>IF(FINANCIACION[[#This Row],[$ CAPITAL]]&gt;=0,FINANCIACION[[#This Row],[$ CAPITAL]]+FINANCIACION[[#This Row],[$ INTERESES]],0)</f>
        <v>1245000</v>
      </c>
    </row>
    <row r="677" spans="1:10" ht="24" hidden="1" customHeight="1" x14ac:dyDescent="0.3">
      <c r="A677" s="9">
        <v>44398</v>
      </c>
      <c r="B677" s="63" t="s">
        <v>1228</v>
      </c>
      <c r="C677" s="7">
        <v>2507536.7899999991</v>
      </c>
      <c r="D677" s="7">
        <v>22463.210000000894</v>
      </c>
      <c r="E677" s="7">
        <v>2530000</v>
      </c>
      <c r="F677" s="7">
        <v>-49791511.270000003</v>
      </c>
      <c r="G677" s="66"/>
      <c r="H677" s="10"/>
      <c r="I677" s="7">
        <f>IF(FINANCIACION[[#This Row],[$ CAPITAL]]&gt;0,FINANCIACION[[#This Row],[$ CAPITAL]])</f>
        <v>2507536.7899999991</v>
      </c>
      <c r="J677" s="41">
        <f>IF(FINANCIACION[[#This Row],[$ CAPITAL]]&gt;=0,FINANCIACION[[#This Row],[$ CAPITAL]]+FINANCIACION[[#This Row],[$ INTERESES]],0)</f>
        <v>2530000</v>
      </c>
    </row>
    <row r="678" spans="1:10" ht="24" hidden="1" customHeight="1" x14ac:dyDescent="0.3">
      <c r="A678" s="9">
        <v>44398</v>
      </c>
      <c r="B678" s="63" t="s">
        <v>1229</v>
      </c>
      <c r="C678" s="7">
        <v>3693729.5600000024</v>
      </c>
      <c r="D678" s="7">
        <v>36270.439999997616</v>
      </c>
      <c r="E678" s="7">
        <v>3730000</v>
      </c>
      <c r="F678" s="7">
        <v>-72159928.950000003</v>
      </c>
      <c r="G678" s="66"/>
      <c r="H678" s="10"/>
      <c r="I678" s="7">
        <f>IF(FINANCIACION[[#This Row],[$ CAPITAL]]&gt;0,FINANCIACION[[#This Row],[$ CAPITAL]])</f>
        <v>3693729.5600000024</v>
      </c>
      <c r="J678" s="41">
        <f>IF(FINANCIACION[[#This Row],[$ CAPITAL]]&gt;=0,FINANCIACION[[#This Row],[$ CAPITAL]]+FINANCIACION[[#This Row],[$ INTERESES]],0)</f>
        <v>3730000</v>
      </c>
    </row>
    <row r="679" spans="1:10" ht="24" hidden="1" customHeight="1" x14ac:dyDescent="0.3">
      <c r="A679" s="9">
        <v>44398</v>
      </c>
      <c r="B679" s="63" t="s">
        <v>1230</v>
      </c>
      <c r="C679" s="7">
        <v>988148.28999999911</v>
      </c>
      <c r="D679" s="7">
        <v>8851.7100000008941</v>
      </c>
      <c r="E679" s="7">
        <v>997000</v>
      </c>
      <c r="F679" s="7">
        <v>-20300465.050000001</v>
      </c>
      <c r="G679" s="66"/>
      <c r="H679" s="10"/>
      <c r="I679" s="7">
        <f>IF(FINANCIACION[[#This Row],[$ CAPITAL]]&gt;0,FINANCIACION[[#This Row],[$ CAPITAL]])</f>
        <v>988148.28999999911</v>
      </c>
      <c r="J679" s="41">
        <f>IF(FINANCIACION[[#This Row],[$ CAPITAL]]&gt;=0,FINANCIACION[[#This Row],[$ CAPITAL]]+FINANCIACION[[#This Row],[$ INTERESES]],0)</f>
        <v>997000</v>
      </c>
    </row>
    <row r="680" spans="1:10" ht="24" hidden="1" customHeight="1" x14ac:dyDescent="0.3">
      <c r="A680" s="9">
        <v>44398</v>
      </c>
      <c r="B680" s="63" t="s">
        <v>1232</v>
      </c>
      <c r="C680" s="7">
        <v>1041327.2299999967</v>
      </c>
      <c r="D680" s="7">
        <v>9672.7700000032783</v>
      </c>
      <c r="E680" s="7">
        <v>1051000</v>
      </c>
      <c r="F680" s="7">
        <v>-22184122.150000002</v>
      </c>
      <c r="G680" s="66"/>
      <c r="H680" s="10"/>
      <c r="I680" s="7">
        <f>IF(FINANCIACION[[#This Row],[$ CAPITAL]]&gt;0,FINANCIACION[[#This Row],[$ CAPITAL]])</f>
        <v>1041327.2299999967</v>
      </c>
      <c r="J680" s="41">
        <f>IF(FINANCIACION[[#This Row],[$ CAPITAL]]&gt;=0,FINANCIACION[[#This Row],[$ CAPITAL]]+FINANCIACION[[#This Row],[$ INTERESES]],0)</f>
        <v>1051000</v>
      </c>
    </row>
    <row r="681" spans="1:10" ht="24" hidden="1" customHeight="1" x14ac:dyDescent="0.3">
      <c r="A681" s="9">
        <v>44407</v>
      </c>
      <c r="B681" s="63" t="s">
        <v>205</v>
      </c>
      <c r="C681" s="7">
        <v>1000000</v>
      </c>
      <c r="D681" s="7"/>
      <c r="E681" s="7">
        <v>1000000</v>
      </c>
      <c r="F681" s="7">
        <v>-2919563</v>
      </c>
      <c r="G681" s="66"/>
      <c r="H681" s="10"/>
      <c r="I681" s="7">
        <f>IF(FINANCIACION[[#This Row],[$ CAPITAL]]&gt;0,FINANCIACION[[#This Row],[$ CAPITAL]])</f>
        <v>1000000</v>
      </c>
      <c r="J681" s="41">
        <f>IF(FINANCIACION[[#This Row],[$ CAPITAL]]&gt;=0,FINANCIACION[[#This Row],[$ CAPITAL]]+FINANCIACION[[#This Row],[$ INTERESES]],0)</f>
        <v>1000000</v>
      </c>
    </row>
    <row r="682" spans="1:10" ht="24" hidden="1" customHeight="1" x14ac:dyDescent="0.3">
      <c r="A682" s="9">
        <v>44408</v>
      </c>
      <c r="B682" s="63" t="s">
        <v>198</v>
      </c>
      <c r="C682" s="7">
        <v>-2575168</v>
      </c>
      <c r="D682" s="7"/>
      <c r="E682" s="7" t="s">
        <v>146</v>
      </c>
      <c r="F682" s="7">
        <v>-100431552</v>
      </c>
      <c r="G682" s="10" t="s">
        <v>233</v>
      </c>
      <c r="H682" s="10"/>
      <c r="I682" s="7" t="b">
        <f>IF(FINANCIACION[[#This Row],[$ CAPITAL]]&gt;0,FINANCIACION[[#This Row],[$ CAPITAL]])</f>
        <v>0</v>
      </c>
      <c r="J682" s="41">
        <f>IF(FINANCIACION[[#This Row],[$ CAPITAL]]&gt;=0,FINANCIACION[[#This Row],[$ CAPITAL]]+FINANCIACION[[#This Row],[$ INTERESES]],0)</f>
        <v>0</v>
      </c>
    </row>
    <row r="683" spans="1:10" ht="24" hidden="1" customHeight="1" x14ac:dyDescent="0.3">
      <c r="A683" s="9">
        <v>44408</v>
      </c>
      <c r="B683" s="63" t="s">
        <v>297</v>
      </c>
      <c r="C683" s="7">
        <v>-1498393</v>
      </c>
      <c r="D683" s="7"/>
      <c r="E683" s="7" t="s">
        <v>146</v>
      </c>
      <c r="F683" s="7">
        <v>-58437327</v>
      </c>
      <c r="G683" s="10" t="s">
        <v>233</v>
      </c>
      <c r="H683" s="10"/>
      <c r="I683" s="7" t="b">
        <f>IF(FINANCIACION[[#This Row],[$ CAPITAL]]&gt;0,FINANCIACION[[#This Row],[$ CAPITAL]])</f>
        <v>0</v>
      </c>
      <c r="J683" s="41">
        <f>IF(FINANCIACION[[#This Row],[$ CAPITAL]]&gt;=0,FINANCIACION[[#This Row],[$ CAPITAL]]+FINANCIACION[[#This Row],[$ INTERESES]],0)</f>
        <v>0</v>
      </c>
    </row>
    <row r="684" spans="1:10" ht="24" hidden="1" customHeight="1" x14ac:dyDescent="0.3">
      <c r="A684" s="9">
        <v>44408</v>
      </c>
      <c r="B684" s="63" t="s">
        <v>421</v>
      </c>
      <c r="C684" s="7">
        <v>-592703</v>
      </c>
      <c r="D684" s="7"/>
      <c r="E684" s="7" t="s">
        <v>146</v>
      </c>
      <c r="F684" s="7">
        <v>-23115417</v>
      </c>
      <c r="G684" s="10" t="s">
        <v>233</v>
      </c>
      <c r="H684" s="10"/>
      <c r="I684" s="7" t="b">
        <f>IF(FINANCIACION[[#This Row],[$ CAPITAL]]&gt;0,FINANCIACION[[#This Row],[$ CAPITAL]])</f>
        <v>0</v>
      </c>
      <c r="J684" s="41">
        <f>IF(FINANCIACION[[#This Row],[$ CAPITAL]]&gt;=0,FINANCIACION[[#This Row],[$ CAPITAL]]+FINANCIACION[[#This Row],[$ INTERESES]],0)</f>
        <v>0</v>
      </c>
    </row>
    <row r="685" spans="1:10" ht="24" hidden="1" customHeight="1" x14ac:dyDescent="0.3">
      <c r="A685" s="9">
        <v>44408</v>
      </c>
      <c r="B685" s="63" t="s">
        <v>1225</v>
      </c>
      <c r="C685" s="7">
        <v>-184703.77999999374</v>
      </c>
      <c r="D685" s="7"/>
      <c r="E685" s="7" t="s">
        <v>146</v>
      </c>
      <c r="F685" s="7">
        <v>-27093375.809999991</v>
      </c>
      <c r="G685" s="10" t="s">
        <v>233</v>
      </c>
      <c r="H685" s="10"/>
      <c r="I685" s="7" t="b">
        <f>IF(FINANCIACION[[#This Row],[$ CAPITAL]]&gt;0,FINANCIACION[[#This Row],[$ CAPITAL]])</f>
        <v>0</v>
      </c>
      <c r="J685" s="41">
        <f>IF(FINANCIACION[[#This Row],[$ CAPITAL]]&gt;=0,FINANCIACION[[#This Row],[$ CAPITAL]]+FINANCIACION[[#This Row],[$ INTERESES]],0)</f>
        <v>0</v>
      </c>
    </row>
    <row r="686" spans="1:10" ht="24" hidden="1" customHeight="1" x14ac:dyDescent="0.3">
      <c r="A686" s="9">
        <v>44408</v>
      </c>
      <c r="B686" s="63" t="s">
        <v>1236</v>
      </c>
      <c r="C686" s="7">
        <v>-163555.28999999911</v>
      </c>
      <c r="D686" s="7"/>
      <c r="E686" s="7" t="s">
        <v>146</v>
      </c>
      <c r="F686" s="7">
        <v>-23719778.41</v>
      </c>
      <c r="G686" s="10" t="s">
        <v>233</v>
      </c>
      <c r="H686" s="10"/>
      <c r="I686" s="7" t="b">
        <f>IF(FINANCIACION[[#This Row],[$ CAPITAL]]&gt;0,FINANCIACION[[#This Row],[$ CAPITAL]])</f>
        <v>0</v>
      </c>
      <c r="J686" s="41">
        <f>IF(FINANCIACION[[#This Row],[$ CAPITAL]]&gt;=0,FINANCIACION[[#This Row],[$ CAPITAL]]+FINANCIACION[[#This Row],[$ INTERESES]],0)</f>
        <v>0</v>
      </c>
    </row>
    <row r="687" spans="1:10" ht="24" hidden="1" customHeight="1" x14ac:dyDescent="0.3">
      <c r="A687" s="9">
        <v>44408</v>
      </c>
      <c r="B687" s="63" t="s">
        <v>1228</v>
      </c>
      <c r="C687" s="7">
        <v>-344502.33999999613</v>
      </c>
      <c r="D687" s="7"/>
      <c r="E687" s="7" t="s">
        <v>146</v>
      </c>
      <c r="F687" s="7">
        <v>-50136013.609999999</v>
      </c>
      <c r="G687" s="10" t="s">
        <v>233</v>
      </c>
      <c r="H687" s="10"/>
      <c r="I687" s="7" t="b">
        <f>IF(FINANCIACION[[#This Row],[$ CAPITAL]]&gt;0,FINANCIACION[[#This Row],[$ CAPITAL]])</f>
        <v>0</v>
      </c>
      <c r="J687" s="41">
        <f>IF(FINANCIACION[[#This Row],[$ CAPITAL]]&gt;=0,FINANCIACION[[#This Row],[$ CAPITAL]]+FINANCIACION[[#This Row],[$ INTERESES]],0)</f>
        <v>0</v>
      </c>
    </row>
    <row r="688" spans="1:10" ht="24" hidden="1" customHeight="1" x14ac:dyDescent="0.3">
      <c r="A688" s="9">
        <v>44408</v>
      </c>
      <c r="B688" s="63" t="s">
        <v>1229</v>
      </c>
      <c r="C688" s="7">
        <v>-556501.06000000238</v>
      </c>
      <c r="D688" s="7"/>
      <c r="E688" s="7" t="s">
        <v>146</v>
      </c>
      <c r="F688" s="7">
        <v>-72716430.010000005</v>
      </c>
      <c r="G688" s="10" t="s">
        <v>233</v>
      </c>
      <c r="H688" s="10"/>
      <c r="I688" s="7" t="b">
        <f>IF(FINANCIACION[[#This Row],[$ CAPITAL]]&gt;0,FINANCIACION[[#This Row],[$ CAPITAL]])</f>
        <v>0</v>
      </c>
      <c r="J688" s="41">
        <f>IF(FINANCIACION[[#This Row],[$ CAPITAL]]&gt;=0,FINANCIACION[[#This Row],[$ CAPITAL]]+FINANCIACION[[#This Row],[$ INTERESES]],0)</f>
        <v>0</v>
      </c>
    </row>
    <row r="689" spans="1:10" ht="24" hidden="1" customHeight="1" x14ac:dyDescent="0.3">
      <c r="A689" s="9">
        <v>44408</v>
      </c>
      <c r="B689" s="63" t="s">
        <v>1230</v>
      </c>
      <c r="C689" s="7">
        <v>-137370.62000000104</v>
      </c>
      <c r="D689" s="7"/>
      <c r="E689" s="7" t="s">
        <v>146</v>
      </c>
      <c r="F689" s="7">
        <v>-20437835.670000002</v>
      </c>
      <c r="G689" s="10" t="s">
        <v>233</v>
      </c>
      <c r="H689" s="10"/>
      <c r="I689" s="7" t="b">
        <f>IF(FINANCIACION[[#This Row],[$ CAPITAL]]&gt;0,FINANCIACION[[#This Row],[$ CAPITAL]])</f>
        <v>0</v>
      </c>
      <c r="J689" s="41">
        <f>IF(FINANCIACION[[#This Row],[$ CAPITAL]]&gt;=0,FINANCIACION[[#This Row],[$ CAPITAL]]+FINANCIACION[[#This Row],[$ INTERESES]],0)</f>
        <v>0</v>
      </c>
    </row>
    <row r="690" spans="1:10" ht="24" hidden="1" customHeight="1" x14ac:dyDescent="0.3">
      <c r="A690" s="9">
        <v>44408</v>
      </c>
      <c r="B690" s="63" t="s">
        <v>1232</v>
      </c>
      <c r="C690" s="7">
        <v>-144629.48999999836</v>
      </c>
      <c r="D690" s="7"/>
      <c r="E690" s="7" t="s">
        <v>146</v>
      </c>
      <c r="F690" s="7">
        <v>-22328751.640000001</v>
      </c>
      <c r="G690" s="10" t="s">
        <v>233</v>
      </c>
      <c r="H690" s="10"/>
      <c r="I690" s="7" t="b">
        <f>IF(FINANCIACION[[#This Row],[$ CAPITAL]]&gt;0,FINANCIACION[[#This Row],[$ CAPITAL]])</f>
        <v>0</v>
      </c>
      <c r="J690" s="41">
        <f>IF(FINANCIACION[[#This Row],[$ CAPITAL]]&gt;=0,FINANCIACION[[#This Row],[$ CAPITAL]]+FINANCIACION[[#This Row],[$ INTERESES]],0)</f>
        <v>0</v>
      </c>
    </row>
    <row r="691" spans="1:10" ht="24" hidden="1" customHeight="1" x14ac:dyDescent="0.3">
      <c r="A691" s="9">
        <v>44408</v>
      </c>
      <c r="B691" s="63" t="s">
        <v>203</v>
      </c>
      <c r="C691" s="7">
        <v>-1348569</v>
      </c>
      <c r="D691" s="7"/>
      <c r="E691" s="7" t="s">
        <v>146</v>
      </c>
      <c r="F691" s="7">
        <v>-1273328</v>
      </c>
      <c r="G691" s="10" t="s">
        <v>233</v>
      </c>
      <c r="H691" s="10"/>
      <c r="I691" s="7" t="b">
        <f>IF(FINANCIACION[[#This Row],[$ CAPITAL]]&gt;0,FINANCIACION[[#This Row],[$ CAPITAL]])</f>
        <v>0</v>
      </c>
      <c r="J691" s="11">
        <f>IF(FINANCIACION[[#This Row],[$ CAPITAL]]&gt;=0,FINANCIACION[[#This Row],[$ CAPITAL]]+FINANCIACION[[#This Row],[$ INTERESES]],0)</f>
        <v>0</v>
      </c>
    </row>
    <row r="692" spans="1:10" ht="24" hidden="1" customHeight="1" x14ac:dyDescent="0.3">
      <c r="A692" s="9">
        <v>44408</v>
      </c>
      <c r="B692" s="63" t="s">
        <v>204</v>
      </c>
      <c r="C692" s="7">
        <v>-11578020</v>
      </c>
      <c r="D692" s="7"/>
      <c r="E692" s="7" t="s">
        <v>146</v>
      </c>
      <c r="F692" s="7">
        <v>-27693900</v>
      </c>
      <c r="G692" s="10" t="s">
        <v>233</v>
      </c>
      <c r="H692" s="10"/>
      <c r="I692" s="7" t="b">
        <f>IF(FINANCIACION[[#This Row],[$ CAPITAL]]&gt;0,FINANCIACION[[#This Row],[$ CAPITAL]])</f>
        <v>0</v>
      </c>
      <c r="J692" s="11">
        <f>IF(FINANCIACION[[#This Row],[$ CAPITAL]]&gt;=0,FINANCIACION[[#This Row],[$ CAPITAL]]+FINANCIACION[[#This Row],[$ INTERESES]],0)</f>
        <v>0</v>
      </c>
    </row>
    <row r="693" spans="1:10" ht="24" hidden="1" customHeight="1" x14ac:dyDescent="0.3">
      <c r="A693" s="9">
        <v>44408</v>
      </c>
      <c r="B693" s="63" t="s">
        <v>205</v>
      </c>
      <c r="C693" s="7">
        <v>-992237</v>
      </c>
      <c r="D693" s="7"/>
      <c r="E693" s="7" t="s">
        <v>146</v>
      </c>
      <c r="F693" s="7">
        <v>-3911800</v>
      </c>
      <c r="G693" s="10" t="s">
        <v>233</v>
      </c>
      <c r="H693" s="66"/>
      <c r="I693" s="7" t="b">
        <f>IF(FINANCIACION[[#This Row],[$ CAPITAL]]&gt;0,FINANCIACION[[#This Row],[$ CAPITAL]])</f>
        <v>0</v>
      </c>
      <c r="J693" s="11">
        <f>IF(FINANCIACION[[#This Row],[$ CAPITAL]]&gt;=0,FINANCIACION[[#This Row],[$ CAPITAL]]+FINANCIACION[[#This Row],[$ INTERESES]],0)</f>
        <v>0</v>
      </c>
    </row>
    <row r="694" spans="1:10" ht="24" hidden="1" customHeight="1" x14ac:dyDescent="0.3">
      <c r="A694" s="9">
        <v>44410</v>
      </c>
      <c r="B694" s="63" t="s">
        <v>195</v>
      </c>
      <c r="C694" s="7">
        <v>1468400</v>
      </c>
      <c r="D694" s="7">
        <v>455909</v>
      </c>
      <c r="E694" s="7">
        <v>1924309</v>
      </c>
      <c r="F694" s="7">
        <v>-46988800</v>
      </c>
      <c r="G694" s="10"/>
      <c r="H694" s="66"/>
      <c r="I694" s="7">
        <f>IF(FINANCIACION[[#This Row],[$ CAPITAL]]&gt;0,FINANCIACION[[#This Row],[$ CAPITAL]])</f>
        <v>1468400</v>
      </c>
      <c r="J694" s="11">
        <f>IF(FINANCIACION[[#This Row],[$ CAPITAL]]&gt;=0,FINANCIACION[[#This Row],[$ CAPITAL]]+FINANCIACION[[#This Row],[$ INTERESES]],0)</f>
        <v>1924309</v>
      </c>
    </row>
    <row r="695" spans="1:10" ht="24" hidden="1" customHeight="1" x14ac:dyDescent="0.3">
      <c r="A695" s="9">
        <v>44410</v>
      </c>
      <c r="B695" s="63" t="s">
        <v>196</v>
      </c>
      <c r="C695" s="7">
        <v>76791</v>
      </c>
      <c r="D695" s="7"/>
      <c r="E695" s="7">
        <v>76791</v>
      </c>
      <c r="F695" s="7">
        <v>-2457312</v>
      </c>
      <c r="G695" s="10"/>
      <c r="H695" s="66"/>
      <c r="I695" s="7">
        <f>IF(FINANCIACION[[#This Row],[$ CAPITAL]]&gt;0,FINANCIACION[[#This Row],[$ CAPITAL]])</f>
        <v>76791</v>
      </c>
      <c r="J695" s="11">
        <f>IF(FINANCIACION[[#This Row],[$ CAPITAL]]&gt;=0,FINANCIACION[[#This Row],[$ CAPITAL]]+FINANCIACION[[#This Row],[$ INTERESES]],0)</f>
        <v>76791</v>
      </c>
    </row>
    <row r="696" spans="1:10" ht="24" hidden="1" customHeight="1" x14ac:dyDescent="0.3">
      <c r="A696" s="9">
        <v>44414</v>
      </c>
      <c r="B696" s="63" t="s">
        <v>199</v>
      </c>
      <c r="C696" s="7">
        <v>6326000</v>
      </c>
      <c r="D696" s="7">
        <v>316768.87</v>
      </c>
      <c r="E696" s="7">
        <v>6642768.8700000001</v>
      </c>
      <c r="F696" s="7">
        <v>-41387126</v>
      </c>
      <c r="G696" s="10"/>
      <c r="H696" s="66"/>
      <c r="I696" s="7">
        <f>IF(FINANCIACION[[#This Row],[$ CAPITAL]]&gt;0,FINANCIACION[[#This Row],[$ CAPITAL]])</f>
        <v>6326000</v>
      </c>
      <c r="J696" s="11">
        <f>IF(FINANCIACION[[#This Row],[$ CAPITAL]]&gt;=0,FINANCIACION[[#This Row],[$ CAPITAL]]+FINANCIACION[[#This Row],[$ INTERESES]],0)</f>
        <v>6642768.8700000001</v>
      </c>
    </row>
    <row r="697" spans="1:10" ht="24" hidden="1" customHeight="1" x14ac:dyDescent="0.3">
      <c r="A697" s="9">
        <v>44414</v>
      </c>
      <c r="B697" s="63" t="s">
        <v>203</v>
      </c>
      <c r="C697" s="7">
        <v>1200000</v>
      </c>
      <c r="D697" s="7"/>
      <c r="E697" s="7">
        <v>1200000</v>
      </c>
      <c r="F697" s="7">
        <v>-73328</v>
      </c>
      <c r="G697" s="66"/>
      <c r="H697" s="10"/>
      <c r="I697" s="7">
        <f>IF(FINANCIACION[[#This Row],[$ CAPITAL]]&gt;0,FINANCIACION[[#This Row],[$ CAPITAL]])</f>
        <v>1200000</v>
      </c>
      <c r="J697" s="41">
        <f>IF(FINANCIACION[[#This Row],[$ CAPITAL]]&gt;=0,FINANCIACION[[#This Row],[$ CAPITAL]]+FINANCIACION[[#This Row],[$ INTERESES]],0)</f>
        <v>1200000</v>
      </c>
    </row>
    <row r="698" spans="1:10" ht="24" hidden="1" customHeight="1" x14ac:dyDescent="0.3">
      <c r="A698" s="9">
        <v>44414</v>
      </c>
      <c r="B698" s="63" t="s">
        <v>204</v>
      </c>
      <c r="C698" s="7">
        <v>3910810</v>
      </c>
      <c r="D698" s="7"/>
      <c r="E698" s="7">
        <v>3910810</v>
      </c>
      <c r="F698" s="7">
        <v>-23783090</v>
      </c>
      <c r="G698" s="66"/>
      <c r="H698" s="10"/>
      <c r="I698" s="7">
        <f>IF(FINANCIACION[[#This Row],[$ CAPITAL]]&gt;0,FINANCIACION[[#This Row],[$ CAPITAL]])</f>
        <v>3910810</v>
      </c>
      <c r="J698" s="41">
        <f>IF(FINANCIACION[[#This Row],[$ CAPITAL]]&gt;=0,FINANCIACION[[#This Row],[$ CAPITAL]]+FINANCIACION[[#This Row],[$ INTERESES]],0)</f>
        <v>3910810</v>
      </c>
    </row>
    <row r="699" spans="1:10" ht="24" hidden="1" customHeight="1" x14ac:dyDescent="0.3">
      <c r="A699" s="9">
        <v>44414</v>
      </c>
      <c r="B699" s="63" t="s">
        <v>205</v>
      </c>
      <c r="C699" s="7">
        <v>2500000</v>
      </c>
      <c r="D699" s="7"/>
      <c r="E699" s="7">
        <v>2500000</v>
      </c>
      <c r="F699" s="7">
        <v>-1411800</v>
      </c>
      <c r="G699" s="66"/>
      <c r="H699" s="10"/>
      <c r="I699" s="7">
        <f>IF(FINANCIACION[[#This Row],[$ CAPITAL]]&gt;0,FINANCIACION[[#This Row],[$ CAPITAL]])</f>
        <v>2500000</v>
      </c>
      <c r="J699" s="41">
        <f>IF(FINANCIACION[[#This Row],[$ CAPITAL]]&gt;=0,FINANCIACION[[#This Row],[$ CAPITAL]]+FINANCIACION[[#This Row],[$ INTERESES]],0)</f>
        <v>2500000</v>
      </c>
    </row>
    <row r="700" spans="1:10" ht="24" hidden="1" customHeight="1" x14ac:dyDescent="0.3">
      <c r="A700" s="9">
        <v>44420</v>
      </c>
      <c r="B700" s="63" t="s">
        <v>1237</v>
      </c>
      <c r="C700" s="7">
        <v>-40000000</v>
      </c>
      <c r="D700" s="7"/>
      <c r="E700" s="7" t="s">
        <v>146</v>
      </c>
      <c r="F700" s="7">
        <v>-40000000</v>
      </c>
      <c r="G700" s="10" t="s">
        <v>469</v>
      </c>
      <c r="H700" s="10"/>
      <c r="I700" s="7" t="b">
        <f>IF(FINANCIACION[[#This Row],[$ CAPITAL]]&gt;0,FINANCIACION[[#This Row],[$ CAPITAL]])</f>
        <v>0</v>
      </c>
      <c r="J700" s="41">
        <f>IF(FINANCIACION[[#This Row],[$ CAPITAL]]&gt;=0,FINANCIACION[[#This Row],[$ CAPITAL]]+FINANCIACION[[#This Row],[$ INTERESES]],0)</f>
        <v>0</v>
      </c>
    </row>
    <row r="701" spans="1:10" ht="24" hidden="1" customHeight="1" x14ac:dyDescent="0.3">
      <c r="A701" s="9">
        <v>44421</v>
      </c>
      <c r="B701" s="63" t="s">
        <v>204</v>
      </c>
      <c r="C701" s="7">
        <v>3887070</v>
      </c>
      <c r="D701" s="7"/>
      <c r="E701" s="7">
        <v>3887070</v>
      </c>
      <c r="F701" s="7">
        <v>-19896020</v>
      </c>
      <c r="G701" s="66"/>
      <c r="H701" s="10"/>
      <c r="I701" s="7">
        <f>IF(FINANCIACION[[#This Row],[$ CAPITAL]]&gt;0,FINANCIACION[[#This Row],[$ CAPITAL]])</f>
        <v>3887070</v>
      </c>
      <c r="J701" s="41">
        <f>IF(FINANCIACION[[#This Row],[$ CAPITAL]]&gt;=0,FINANCIACION[[#This Row],[$ CAPITAL]]+FINANCIACION[[#This Row],[$ INTERESES]],0)</f>
        <v>3887070</v>
      </c>
    </row>
    <row r="702" spans="1:10" ht="24" hidden="1" customHeight="1" x14ac:dyDescent="0.3">
      <c r="A702" s="9">
        <v>44422</v>
      </c>
      <c r="B702" s="63" t="s">
        <v>1222</v>
      </c>
      <c r="C702" s="7">
        <v>1878599.0670640841</v>
      </c>
      <c r="D702" s="7">
        <v>788778.932935916</v>
      </c>
      <c r="E702" s="7">
        <v>2667378</v>
      </c>
      <c r="F702" s="7">
        <v>-76999294.226527512</v>
      </c>
      <c r="G702" s="66"/>
      <c r="H702" s="10"/>
      <c r="I702" s="7">
        <f>IF(FINANCIACION[[#This Row],[$ CAPITAL]]&gt;0,FINANCIACION[[#This Row],[$ CAPITAL]])</f>
        <v>1878599.0670640841</v>
      </c>
      <c r="J702" s="41">
        <f>IF(FINANCIACION[[#This Row],[$ CAPITAL]]&gt;=0,FINANCIACION[[#This Row],[$ CAPITAL]]+FINANCIACION[[#This Row],[$ INTERESES]],0)</f>
        <v>2667378</v>
      </c>
    </row>
    <row r="703" spans="1:10" ht="24" hidden="1" customHeight="1" x14ac:dyDescent="0.3">
      <c r="A703" s="9">
        <v>44425</v>
      </c>
      <c r="B703" s="63" t="s">
        <v>1233</v>
      </c>
      <c r="C703" s="7"/>
      <c r="D703" s="7">
        <v>130000</v>
      </c>
      <c r="E703" s="7">
        <v>130000</v>
      </c>
      <c r="F703" s="7">
        <v>-13000000</v>
      </c>
      <c r="G703" s="66"/>
      <c r="H703" s="10"/>
      <c r="I703" s="7" t="b">
        <f>IF(FINANCIACION[[#This Row],[$ CAPITAL]]&gt;0,FINANCIACION[[#This Row],[$ CAPITAL]])</f>
        <v>0</v>
      </c>
      <c r="J703" s="41">
        <f>IF(FINANCIACION[[#This Row],[$ CAPITAL]]&gt;=0,FINANCIACION[[#This Row],[$ CAPITAL]]+FINANCIACION[[#This Row],[$ INTERESES]],0)</f>
        <v>130000</v>
      </c>
    </row>
    <row r="704" spans="1:10" ht="24" hidden="1" customHeight="1" x14ac:dyDescent="0.3">
      <c r="A704" s="9">
        <v>44425</v>
      </c>
      <c r="B704" s="63" t="s">
        <v>1226</v>
      </c>
      <c r="C704" s="7">
        <v>727590.32379200007</v>
      </c>
      <c r="D704" s="7">
        <v>572409.67620799993</v>
      </c>
      <c r="E704" s="7">
        <v>1300000</v>
      </c>
      <c r="F704" s="7">
        <v>-56513377.297007993</v>
      </c>
      <c r="G704" s="66"/>
      <c r="H704" s="10"/>
      <c r="I704" s="7">
        <f>IF(FINANCIACION[[#This Row],[$ CAPITAL]]&gt;0,FINANCIACION[[#This Row],[$ CAPITAL]])</f>
        <v>727590.32379200007</v>
      </c>
      <c r="J704" s="41">
        <f>IF(FINANCIACION[[#This Row],[$ CAPITAL]]&gt;=0,FINANCIACION[[#This Row],[$ CAPITAL]]+FINANCIACION[[#This Row],[$ INTERESES]],0)</f>
        <v>1300000</v>
      </c>
    </row>
    <row r="705" spans="1:10" ht="24" hidden="1" customHeight="1" x14ac:dyDescent="0.3">
      <c r="A705" s="9">
        <v>44425</v>
      </c>
      <c r="B705" s="63" t="s">
        <v>1223</v>
      </c>
      <c r="C705" s="7">
        <v>472099.1033943186</v>
      </c>
      <c r="D705" s="7">
        <v>727900.8966056814</v>
      </c>
      <c r="E705" s="7">
        <v>1200000</v>
      </c>
      <c r="F705" s="7">
        <v>-72317990.557173818</v>
      </c>
      <c r="G705" s="66"/>
      <c r="H705" s="10"/>
      <c r="I705" s="7">
        <f>IF(FINANCIACION[[#This Row],[$ CAPITAL]]&gt;0,FINANCIACION[[#This Row],[$ CAPITAL]])</f>
        <v>472099.1033943186</v>
      </c>
      <c r="J705" s="41">
        <f>IF(FINANCIACION[[#This Row],[$ CAPITAL]]&gt;=0,FINANCIACION[[#This Row],[$ CAPITAL]]+FINANCIACION[[#This Row],[$ INTERESES]],0)</f>
        <v>1200000</v>
      </c>
    </row>
    <row r="706" spans="1:10" ht="24" hidden="1" customHeight="1" x14ac:dyDescent="0.3">
      <c r="A706" s="9">
        <v>44425</v>
      </c>
      <c r="B706" s="63" t="s">
        <v>1235</v>
      </c>
      <c r="C706" s="7"/>
      <c r="D706" s="7">
        <v>120000</v>
      </c>
      <c r="E706" s="7">
        <v>120000</v>
      </c>
      <c r="F706" s="7">
        <v>-12000000</v>
      </c>
      <c r="G706" s="10"/>
      <c r="H706" s="10"/>
      <c r="I706" s="7" t="b">
        <f>IF(FINANCIACION[[#This Row],[$ CAPITAL]]&gt;0,FINANCIACION[[#This Row],[$ CAPITAL]])</f>
        <v>0</v>
      </c>
      <c r="J706" s="41">
        <f>IF(FINANCIACION[[#This Row],[$ CAPITAL]]&gt;=0,FINANCIACION[[#This Row],[$ CAPITAL]]+FINANCIACION[[#This Row],[$ INTERESES]],0)</f>
        <v>120000</v>
      </c>
    </row>
    <row r="707" spans="1:10" ht="24" hidden="1" customHeight="1" x14ac:dyDescent="0.3">
      <c r="A707" s="9">
        <v>44425</v>
      </c>
      <c r="B707" s="63" t="s">
        <v>202</v>
      </c>
      <c r="C707" s="7"/>
      <c r="D707" s="7">
        <v>227850</v>
      </c>
      <c r="E707" s="7">
        <v>227850</v>
      </c>
      <c r="F707" s="7">
        <v>-35000000</v>
      </c>
      <c r="G707" s="10"/>
      <c r="H707" s="10"/>
      <c r="I707" s="7" t="b">
        <f>IF(FINANCIACION[[#This Row],[$ CAPITAL]]&gt;0,FINANCIACION[[#This Row],[$ CAPITAL]])</f>
        <v>0</v>
      </c>
      <c r="J707" s="41">
        <f>IF(FINANCIACION[[#This Row],[$ CAPITAL]]&gt;=0,FINANCIACION[[#This Row],[$ CAPITAL]]+FINANCIACION[[#This Row],[$ INTERESES]],0)</f>
        <v>227850</v>
      </c>
    </row>
    <row r="708" spans="1:10" ht="24" hidden="1" customHeight="1" x14ac:dyDescent="0.3">
      <c r="A708" s="9">
        <v>44426</v>
      </c>
      <c r="B708" s="63" t="s">
        <v>1224</v>
      </c>
      <c r="C708" s="7">
        <v>5709486</v>
      </c>
      <c r="D708" s="7">
        <v>242086</v>
      </c>
      <c r="E708" s="7">
        <v>5951572</v>
      </c>
      <c r="F708" s="7">
        <v>-338735212</v>
      </c>
      <c r="G708" s="10"/>
      <c r="H708" s="10"/>
      <c r="I708" s="7">
        <f>IF(FINANCIACION[[#This Row],[$ CAPITAL]]&gt;0,FINANCIACION[[#This Row],[$ CAPITAL]])</f>
        <v>5709486</v>
      </c>
      <c r="J708" s="41">
        <f>IF(FINANCIACION[[#This Row],[$ CAPITAL]]&gt;=0,FINANCIACION[[#This Row],[$ CAPITAL]]+FINANCIACION[[#This Row],[$ INTERESES]],0)</f>
        <v>5951572</v>
      </c>
    </row>
    <row r="709" spans="1:10" ht="24" hidden="1" customHeight="1" x14ac:dyDescent="0.3">
      <c r="A709" s="9">
        <v>44426</v>
      </c>
      <c r="B709" s="63" t="s">
        <v>1225</v>
      </c>
      <c r="C709" s="7">
        <v>1487315.6400000006</v>
      </c>
      <c r="D709" s="7">
        <v>5684.359999999404</v>
      </c>
      <c r="E709" s="7">
        <v>1493000</v>
      </c>
      <c r="F709" s="7">
        <v>-25606060.169999991</v>
      </c>
      <c r="G709" s="10"/>
      <c r="H709" s="10"/>
      <c r="I709" s="7">
        <f>IF(FINANCIACION[[#This Row],[$ CAPITAL]]&gt;0,FINANCIACION[[#This Row],[$ CAPITAL]])</f>
        <v>1487315.6400000006</v>
      </c>
      <c r="J709" s="41">
        <f>IF(FINANCIACION[[#This Row],[$ CAPITAL]]&gt;=0,FINANCIACION[[#This Row],[$ CAPITAL]]+FINANCIACION[[#This Row],[$ INTERESES]],0)</f>
        <v>1493000</v>
      </c>
    </row>
    <row r="710" spans="1:10" ht="24" hidden="1" customHeight="1" x14ac:dyDescent="0.3">
      <c r="A710" s="9">
        <v>44426</v>
      </c>
      <c r="B710" s="63" t="s">
        <v>1236</v>
      </c>
      <c r="C710" s="7">
        <v>1233101.4399999976</v>
      </c>
      <c r="D710" s="7">
        <v>4898.5600000023842</v>
      </c>
      <c r="E710" s="7">
        <v>1238000</v>
      </c>
      <c r="F710" s="7">
        <v>-22486676.970000003</v>
      </c>
      <c r="G710" s="10"/>
      <c r="H710" s="10"/>
      <c r="I710" s="7">
        <f>IF(FINANCIACION[[#This Row],[$ CAPITAL]]&gt;0,FINANCIACION[[#This Row],[$ CAPITAL]])</f>
        <v>1233101.4399999976</v>
      </c>
      <c r="J710" s="41">
        <f>IF(FINANCIACION[[#This Row],[$ CAPITAL]]&gt;=0,FINANCIACION[[#This Row],[$ CAPITAL]]+FINANCIACION[[#This Row],[$ INTERESES]],0)</f>
        <v>1238000</v>
      </c>
    </row>
    <row r="711" spans="1:10" ht="24" hidden="1" customHeight="1" x14ac:dyDescent="0.3">
      <c r="A711" s="9">
        <v>44426</v>
      </c>
      <c r="B711" s="63" t="s">
        <v>1228</v>
      </c>
      <c r="C711" s="7">
        <v>2504623.9299999997</v>
      </c>
      <c r="D711" s="7">
        <v>10376.070000000298</v>
      </c>
      <c r="E711" s="7">
        <v>2515000</v>
      </c>
      <c r="F711" s="7">
        <v>-47631389.68</v>
      </c>
      <c r="G711" s="10"/>
      <c r="H711" s="10"/>
      <c r="I711" s="7">
        <f>IF(FINANCIACION[[#This Row],[$ CAPITAL]]&gt;0,FINANCIACION[[#This Row],[$ CAPITAL]])</f>
        <v>2504623.9299999997</v>
      </c>
      <c r="J711" s="41">
        <f>IF(FINANCIACION[[#This Row],[$ CAPITAL]]&gt;=0,FINANCIACION[[#This Row],[$ CAPITAL]]+FINANCIACION[[#This Row],[$ INTERESES]],0)</f>
        <v>2515000</v>
      </c>
    </row>
    <row r="712" spans="1:10" ht="24" hidden="1" customHeight="1" x14ac:dyDescent="0.3">
      <c r="A712" s="9">
        <v>44426</v>
      </c>
      <c r="B712" s="63" t="s">
        <v>1229</v>
      </c>
      <c r="C712" s="7">
        <v>3688246.1700000018</v>
      </c>
      <c r="D712" s="7">
        <v>16753.829999998212</v>
      </c>
      <c r="E712" s="7">
        <v>3705000</v>
      </c>
      <c r="F712" s="7">
        <v>-69028183.840000004</v>
      </c>
      <c r="G712" s="10"/>
      <c r="H712" s="10"/>
      <c r="I712" s="7">
        <f>IF(FINANCIACION[[#This Row],[$ CAPITAL]]&gt;0,FINANCIACION[[#This Row],[$ CAPITAL]])</f>
        <v>3688246.1700000018</v>
      </c>
      <c r="J712" s="41">
        <f>IF(FINANCIACION[[#This Row],[$ CAPITAL]]&gt;=0,FINANCIACION[[#This Row],[$ CAPITAL]]+FINANCIACION[[#This Row],[$ INTERESES]],0)</f>
        <v>3705000</v>
      </c>
    </row>
    <row r="713" spans="1:10" ht="24" hidden="1" customHeight="1" x14ac:dyDescent="0.3">
      <c r="A713" s="9">
        <v>44426</v>
      </c>
      <c r="B713" s="63" t="s">
        <v>1230</v>
      </c>
      <c r="C713" s="7">
        <v>988729.23999999836</v>
      </c>
      <c r="D713" s="7">
        <v>4270.7600000016391</v>
      </c>
      <c r="E713" s="7">
        <v>993000</v>
      </c>
      <c r="F713" s="7">
        <v>-19449106.430000003</v>
      </c>
      <c r="G713" s="10"/>
      <c r="H713" s="10"/>
      <c r="I713" s="7">
        <f>IF(FINANCIACION[[#This Row],[$ CAPITAL]]&gt;0,FINANCIACION[[#This Row],[$ CAPITAL]])</f>
        <v>988729.23999999836</v>
      </c>
      <c r="J713" s="41">
        <f>IF(FINANCIACION[[#This Row],[$ CAPITAL]]&gt;=0,FINANCIACION[[#This Row],[$ CAPITAL]]+FINANCIACION[[#This Row],[$ INTERESES]],0)</f>
        <v>993000</v>
      </c>
    </row>
    <row r="714" spans="1:10" ht="24" hidden="1" customHeight="1" x14ac:dyDescent="0.3">
      <c r="A714" s="9">
        <v>44426</v>
      </c>
      <c r="B714" s="63" t="s">
        <v>1232</v>
      </c>
      <c r="C714" s="7">
        <v>1040361.5199999996</v>
      </c>
      <c r="D714" s="7">
        <v>4638.480000000447</v>
      </c>
      <c r="E714" s="7">
        <v>1045000</v>
      </c>
      <c r="F714" s="7">
        <v>-21288390.120000001</v>
      </c>
      <c r="G714" s="10"/>
      <c r="H714" s="10"/>
      <c r="I714" s="7">
        <f>IF(FINANCIACION[[#This Row],[$ CAPITAL]]&gt;0,FINANCIACION[[#This Row],[$ CAPITAL]])</f>
        <v>1040361.5199999996</v>
      </c>
      <c r="J714" s="41">
        <f>IF(FINANCIACION[[#This Row],[$ CAPITAL]]&gt;=0,FINANCIACION[[#This Row],[$ CAPITAL]]+FINANCIACION[[#This Row],[$ INTERESES]],0)</f>
        <v>1045000</v>
      </c>
    </row>
    <row r="715" spans="1:10" ht="24" hidden="1" customHeight="1" x14ac:dyDescent="0.3">
      <c r="A715" s="9">
        <v>44426</v>
      </c>
      <c r="B715" s="63" t="s">
        <v>203</v>
      </c>
      <c r="C715" s="7">
        <v>74118</v>
      </c>
      <c r="D715" s="7"/>
      <c r="E715" s="7">
        <v>74118</v>
      </c>
      <c r="F715" s="7">
        <v>790</v>
      </c>
      <c r="G715" s="10"/>
      <c r="H715" s="10"/>
      <c r="I715" s="7">
        <f>IF(FINANCIACION[[#This Row],[$ CAPITAL]]&gt;0,FINANCIACION[[#This Row],[$ CAPITAL]])</f>
        <v>74118</v>
      </c>
      <c r="J715" s="41">
        <f>IF(FINANCIACION[[#This Row],[$ CAPITAL]]&gt;=0,FINANCIACION[[#This Row],[$ CAPITAL]]+FINANCIACION[[#This Row],[$ INTERESES]],0)</f>
        <v>74118</v>
      </c>
    </row>
    <row r="716" spans="1:10" ht="24" hidden="1" customHeight="1" x14ac:dyDescent="0.3">
      <c r="A716" s="9">
        <v>44426</v>
      </c>
      <c r="B716" s="63" t="s">
        <v>204</v>
      </c>
      <c r="C716" s="7">
        <v>3868410</v>
      </c>
      <c r="D716" s="7"/>
      <c r="E716" s="7">
        <v>3868410</v>
      </c>
      <c r="F716" s="7">
        <v>-16027610</v>
      </c>
      <c r="G716" s="10"/>
      <c r="H716" s="10"/>
      <c r="I716" s="7">
        <f>IF(FINANCIACION[[#This Row],[$ CAPITAL]]&gt;0,FINANCIACION[[#This Row],[$ CAPITAL]])</f>
        <v>3868410</v>
      </c>
      <c r="J716" s="11">
        <f>IF(FINANCIACION[[#This Row],[$ CAPITAL]]&gt;=0,FINANCIACION[[#This Row],[$ CAPITAL]]+FINANCIACION[[#This Row],[$ INTERESES]],0)</f>
        <v>3868410</v>
      </c>
    </row>
    <row r="717" spans="1:10" ht="24" hidden="1" customHeight="1" x14ac:dyDescent="0.3">
      <c r="A717" s="9">
        <v>44426</v>
      </c>
      <c r="B717" s="63" t="s">
        <v>205</v>
      </c>
      <c r="C717" s="7">
        <v>1000000</v>
      </c>
      <c r="D717" s="7"/>
      <c r="E717" s="7">
        <v>1000000</v>
      </c>
      <c r="F717" s="7">
        <v>-411800</v>
      </c>
      <c r="G717" s="10"/>
      <c r="H717" s="10"/>
      <c r="I717" s="7">
        <f>IF(FINANCIACION[[#This Row],[$ CAPITAL]]&gt;0,FINANCIACION[[#This Row],[$ CAPITAL]])</f>
        <v>1000000</v>
      </c>
      <c r="J717" s="11">
        <f>IF(FINANCIACION[[#This Row],[$ CAPITAL]]&gt;=0,FINANCIACION[[#This Row],[$ CAPITAL]]+FINANCIACION[[#This Row],[$ INTERESES]],0)</f>
        <v>1000000</v>
      </c>
    </row>
    <row r="718" spans="1:10" ht="24" hidden="1" customHeight="1" x14ac:dyDescent="0.3">
      <c r="A718" s="9">
        <v>44439</v>
      </c>
      <c r="B718" s="63" t="s">
        <v>195</v>
      </c>
      <c r="C718" s="7">
        <v>1468400</v>
      </c>
      <c r="D718" s="7">
        <v>442095</v>
      </c>
      <c r="E718" s="7">
        <v>1910495</v>
      </c>
      <c r="F718" s="7">
        <v>-45520400</v>
      </c>
      <c r="G718" s="10"/>
      <c r="H718" s="66"/>
      <c r="I718" s="7">
        <f>IF(FINANCIACION[[#This Row],[$ CAPITAL]]&gt;0,FINANCIACION[[#This Row],[$ CAPITAL]])</f>
        <v>1468400</v>
      </c>
      <c r="J718" s="11">
        <f>IF(FINANCIACION[[#This Row],[$ CAPITAL]]&gt;=0,FINANCIACION[[#This Row],[$ CAPITAL]]+FINANCIACION[[#This Row],[$ INTERESES]],0)</f>
        <v>1910495</v>
      </c>
    </row>
    <row r="719" spans="1:10" ht="24" hidden="1" customHeight="1" x14ac:dyDescent="0.3">
      <c r="A719" s="9">
        <v>44439</v>
      </c>
      <c r="B719" s="63" t="s">
        <v>196</v>
      </c>
      <c r="C719" s="7">
        <v>76791</v>
      </c>
      <c r="D719" s="7"/>
      <c r="E719" s="7">
        <v>76791</v>
      </c>
      <c r="F719" s="7">
        <v>-2380521</v>
      </c>
      <c r="G719" s="10"/>
      <c r="H719" s="66"/>
      <c r="I719" s="7">
        <f>IF(FINANCIACION[[#This Row],[$ CAPITAL]]&gt;0,FINANCIACION[[#This Row],[$ CAPITAL]])</f>
        <v>76791</v>
      </c>
      <c r="J719" s="11">
        <f>IF(FINANCIACION[[#This Row],[$ CAPITAL]]&gt;=0,FINANCIACION[[#This Row],[$ CAPITAL]]+FINANCIACION[[#This Row],[$ INTERESES]],0)</f>
        <v>76791</v>
      </c>
    </row>
    <row r="720" spans="1:10" ht="24" hidden="1" customHeight="1" x14ac:dyDescent="0.3">
      <c r="A720" s="9">
        <v>44439</v>
      </c>
      <c r="B720" s="63" t="s">
        <v>203</v>
      </c>
      <c r="C720" s="7">
        <v>-790</v>
      </c>
      <c r="D720" s="7"/>
      <c r="E720" s="7" t="s">
        <v>146</v>
      </c>
      <c r="F720" s="7">
        <v>63580</v>
      </c>
      <c r="G720" s="10" t="s">
        <v>233</v>
      </c>
      <c r="H720" s="66"/>
      <c r="I720" s="7" t="b">
        <f>IF(FINANCIACION[[#This Row],[$ CAPITAL]]&gt;0,FINANCIACION[[#This Row],[$ CAPITAL]])</f>
        <v>0</v>
      </c>
      <c r="J720" s="11">
        <f>IF(FINANCIACION[[#This Row],[$ CAPITAL]]&gt;=0,FINANCIACION[[#This Row],[$ CAPITAL]]+FINANCIACION[[#This Row],[$ INTERESES]],0)</f>
        <v>0</v>
      </c>
    </row>
    <row r="721" spans="1:10" ht="24" hidden="1" customHeight="1" x14ac:dyDescent="0.3">
      <c r="A721" s="9">
        <v>44439</v>
      </c>
      <c r="B721" s="63" t="s">
        <v>203</v>
      </c>
      <c r="C721" s="7">
        <v>63580</v>
      </c>
      <c r="D721" s="7"/>
      <c r="E721" s="7">
        <v>63580</v>
      </c>
      <c r="F721" s="7">
        <v>63580</v>
      </c>
      <c r="G721" s="10"/>
      <c r="H721" s="66"/>
      <c r="I721" s="7">
        <f>IF(FINANCIACION[[#This Row],[$ CAPITAL]]&gt;0,FINANCIACION[[#This Row],[$ CAPITAL]])</f>
        <v>63580</v>
      </c>
      <c r="J721" s="11">
        <f>IF(FINANCIACION[[#This Row],[$ CAPITAL]]&gt;=0,FINANCIACION[[#This Row],[$ CAPITAL]]+FINANCIACION[[#This Row],[$ INTERESES]],0)</f>
        <v>63580</v>
      </c>
    </row>
    <row r="722" spans="1:10" ht="24" hidden="1" customHeight="1" x14ac:dyDescent="0.3">
      <c r="A722" s="9">
        <v>44439</v>
      </c>
      <c r="B722" s="63" t="s">
        <v>204</v>
      </c>
      <c r="C722" s="7">
        <v>38068.699999999997</v>
      </c>
      <c r="D722" s="7"/>
      <c r="E722" s="7">
        <v>38068.699999999997</v>
      </c>
      <c r="F722" s="7">
        <v>-31683600</v>
      </c>
      <c r="G722" s="66"/>
      <c r="H722" s="10"/>
      <c r="I722" s="7">
        <f>IF(FINANCIACION[[#This Row],[$ CAPITAL]]&gt;0,FINANCIACION[[#This Row],[$ CAPITAL]])</f>
        <v>38068.699999999997</v>
      </c>
      <c r="J722" s="41">
        <f>IF(FINANCIACION[[#This Row],[$ CAPITAL]]&gt;=0,FINANCIACION[[#This Row],[$ CAPITAL]]+FINANCIACION[[#This Row],[$ INTERESES]],0)</f>
        <v>38068.699999999997</v>
      </c>
    </row>
    <row r="723" spans="1:10" ht="24" hidden="1" customHeight="1" x14ac:dyDescent="0.3">
      <c r="A723" s="9">
        <v>44439</v>
      </c>
      <c r="B723" s="63" t="s">
        <v>204</v>
      </c>
      <c r="C723" s="7">
        <v>-15694058.699999999</v>
      </c>
      <c r="D723" s="7"/>
      <c r="E723" s="7" t="s">
        <v>146</v>
      </c>
      <c r="F723" s="7">
        <v>-31683600</v>
      </c>
      <c r="G723" s="66" t="s">
        <v>233</v>
      </c>
      <c r="H723" s="10"/>
      <c r="I723" s="7" t="b">
        <f>IF(FINANCIACION[[#This Row],[$ CAPITAL]]&gt;0,FINANCIACION[[#This Row],[$ CAPITAL]])</f>
        <v>0</v>
      </c>
      <c r="J723" s="41">
        <f>IF(FINANCIACION[[#This Row],[$ CAPITAL]]&gt;=0,FINANCIACION[[#This Row],[$ CAPITAL]]+FINANCIACION[[#This Row],[$ INTERESES]],0)</f>
        <v>0</v>
      </c>
    </row>
    <row r="724" spans="1:10" ht="24" hidden="1" customHeight="1" x14ac:dyDescent="0.3">
      <c r="A724" s="9">
        <v>44439</v>
      </c>
      <c r="B724" s="63" t="s">
        <v>205</v>
      </c>
      <c r="C724" s="7">
        <v>-5634</v>
      </c>
      <c r="D724" s="7"/>
      <c r="E724" s="7" t="s">
        <v>146</v>
      </c>
      <c r="F724" s="7">
        <v>-417434</v>
      </c>
      <c r="G724" s="66" t="s">
        <v>233</v>
      </c>
      <c r="H724" s="10"/>
      <c r="I724" s="7" t="b">
        <f>IF(FINANCIACION[[#This Row],[$ CAPITAL]]&gt;0,FINANCIACION[[#This Row],[$ CAPITAL]])</f>
        <v>0</v>
      </c>
      <c r="J724" s="41">
        <f>IF(FINANCIACION[[#This Row],[$ CAPITAL]]&gt;=0,FINANCIACION[[#This Row],[$ CAPITAL]]+FINANCIACION[[#This Row],[$ INTERESES]],0)</f>
        <v>0</v>
      </c>
    </row>
    <row r="725" spans="1:10" ht="24" hidden="1" customHeight="1" x14ac:dyDescent="0.3">
      <c r="A725" s="9">
        <v>44440</v>
      </c>
      <c r="B725" s="63" t="s">
        <v>204</v>
      </c>
      <c r="C725" s="7">
        <v>11300000</v>
      </c>
      <c r="D725" s="7"/>
      <c r="E725" s="7">
        <v>11300000</v>
      </c>
      <c r="F725" s="7">
        <v>-20383600</v>
      </c>
      <c r="G725" s="10"/>
      <c r="H725" s="10"/>
      <c r="I725" s="7">
        <f>IF(FINANCIACION[[#This Row],[$ CAPITAL]]&gt;0,FINANCIACION[[#This Row],[$ CAPITAL]])</f>
        <v>11300000</v>
      </c>
      <c r="J725" s="41">
        <f>IF(FINANCIACION[[#This Row],[$ CAPITAL]]&gt;=0,FINANCIACION[[#This Row],[$ CAPITAL]]+FINANCIACION[[#This Row],[$ INTERESES]],0)</f>
        <v>11300000</v>
      </c>
    </row>
    <row r="726" spans="1:10" ht="24" hidden="1" customHeight="1" x14ac:dyDescent="0.3">
      <c r="A726" s="9">
        <v>44440</v>
      </c>
      <c r="B726" s="63" t="s">
        <v>205</v>
      </c>
      <c r="C726" s="7">
        <v>417434</v>
      </c>
      <c r="D726" s="7"/>
      <c r="E726" s="7">
        <v>417434</v>
      </c>
      <c r="F726" s="7">
        <v>0</v>
      </c>
      <c r="G726" s="66"/>
      <c r="H726" s="10"/>
      <c r="I726" s="7">
        <f>IF(FINANCIACION[[#This Row],[$ CAPITAL]]&gt;0,FINANCIACION[[#This Row],[$ CAPITAL]])</f>
        <v>417434</v>
      </c>
      <c r="J726" s="41">
        <f>IF(FINANCIACION[[#This Row],[$ CAPITAL]]&gt;=0,FINANCIACION[[#This Row],[$ CAPITAL]]+FINANCIACION[[#This Row],[$ INTERESES]],0)</f>
        <v>417434</v>
      </c>
    </row>
    <row r="727" spans="1:10" ht="24" hidden="1" customHeight="1" x14ac:dyDescent="0.3">
      <c r="A727" s="9">
        <v>44445</v>
      </c>
      <c r="B727" s="63" t="s">
        <v>199</v>
      </c>
      <c r="C727" s="7">
        <v>6326000</v>
      </c>
      <c r="D727" s="7">
        <v>282642.03000000003</v>
      </c>
      <c r="E727" s="7">
        <v>6608642.0300000003</v>
      </c>
      <c r="F727" s="7">
        <v>-35061126</v>
      </c>
      <c r="G727" s="66"/>
      <c r="H727" s="10"/>
      <c r="I727" s="7">
        <f>IF(FINANCIACION[[#This Row],[$ CAPITAL]]&gt;0,FINANCIACION[[#This Row],[$ CAPITAL]])</f>
        <v>6326000</v>
      </c>
      <c r="J727" s="41">
        <f>IF(FINANCIACION[[#This Row],[$ CAPITAL]]&gt;=0,FINANCIACION[[#This Row],[$ CAPITAL]]+FINANCIACION[[#This Row],[$ INTERESES]],0)</f>
        <v>6608642.0300000003</v>
      </c>
    </row>
    <row r="728" spans="1:10" ht="24" hidden="1" customHeight="1" x14ac:dyDescent="0.3">
      <c r="A728" s="9">
        <v>44450</v>
      </c>
      <c r="B728" s="63" t="s">
        <v>1233</v>
      </c>
      <c r="C728" s="7"/>
      <c r="D728" s="7">
        <v>130000</v>
      </c>
      <c r="E728" s="7">
        <v>130000</v>
      </c>
      <c r="F728" s="7">
        <v>-13000000</v>
      </c>
      <c r="G728" s="66"/>
      <c r="H728" s="10"/>
      <c r="I728" s="7" t="b">
        <f>IF(FINANCIACION[[#This Row],[$ CAPITAL]]&gt;0,FINANCIACION[[#This Row],[$ CAPITAL]])</f>
        <v>0</v>
      </c>
      <c r="J728" s="41">
        <f>IF(FINANCIACION[[#This Row],[$ CAPITAL]]&gt;=0,FINANCIACION[[#This Row],[$ CAPITAL]]+FINANCIACION[[#This Row],[$ INTERESES]],0)</f>
        <v>130000</v>
      </c>
    </row>
    <row r="729" spans="1:10" ht="24" hidden="1" customHeight="1" x14ac:dyDescent="0.3">
      <c r="A729" s="9">
        <v>44450</v>
      </c>
      <c r="B729" s="63" t="s">
        <v>1237</v>
      </c>
      <c r="C729" s="7"/>
      <c r="D729" s="7">
        <v>400000</v>
      </c>
      <c r="E729" s="7">
        <v>400000</v>
      </c>
      <c r="F729" s="7">
        <v>-40000000</v>
      </c>
      <c r="G729" s="66" t="s">
        <v>526</v>
      </c>
      <c r="H729" s="10"/>
      <c r="I729" s="7" t="b">
        <f>IF(FINANCIACION[[#This Row],[$ CAPITAL]]&gt;0,FINANCIACION[[#This Row],[$ CAPITAL]])</f>
        <v>0</v>
      </c>
      <c r="J729" s="41">
        <f>IF(FINANCIACION[[#This Row],[$ CAPITAL]]&gt;=0,FINANCIACION[[#This Row],[$ CAPITAL]]+FINANCIACION[[#This Row],[$ INTERESES]],0)</f>
        <v>400000</v>
      </c>
    </row>
    <row r="730" spans="1:10" ht="24" hidden="1" customHeight="1" x14ac:dyDescent="0.3">
      <c r="A730" s="9">
        <v>44450</v>
      </c>
      <c r="B730" s="63" t="s">
        <v>1222</v>
      </c>
      <c r="C730" s="7">
        <v>1907385.0577347248</v>
      </c>
      <c r="D730" s="7">
        <v>769992.94226527517</v>
      </c>
      <c r="E730" s="7">
        <v>2677378</v>
      </c>
      <c r="F730" s="7">
        <v>-75091909.168792784</v>
      </c>
      <c r="G730" s="66"/>
      <c r="H730" s="10"/>
      <c r="I730" s="7">
        <f>IF(FINANCIACION[[#This Row],[$ CAPITAL]]&gt;0,FINANCIACION[[#This Row],[$ CAPITAL]])</f>
        <v>1907385.0577347248</v>
      </c>
      <c r="J730" s="41">
        <f>IF(FINANCIACION[[#This Row],[$ CAPITAL]]&gt;=0,FINANCIACION[[#This Row],[$ CAPITAL]]+FINANCIACION[[#This Row],[$ INTERESES]],0)</f>
        <v>2677378</v>
      </c>
    </row>
    <row r="731" spans="1:10" ht="24" hidden="1" customHeight="1" x14ac:dyDescent="0.3">
      <c r="A731" s="9">
        <v>44450</v>
      </c>
      <c r="B731" s="63" t="s">
        <v>1226</v>
      </c>
      <c r="C731" s="7">
        <v>734866.22702992009</v>
      </c>
      <c r="D731" s="7">
        <v>565133.77297007991</v>
      </c>
      <c r="E731" s="7">
        <v>1300000</v>
      </c>
      <c r="F731" s="7">
        <v>-55778511.069978073</v>
      </c>
      <c r="G731" s="10"/>
      <c r="H731" s="10"/>
      <c r="I731" s="7">
        <f>IF(FINANCIACION[[#This Row],[$ CAPITAL]]&gt;0,FINANCIACION[[#This Row],[$ CAPITAL]])</f>
        <v>734866.22702992009</v>
      </c>
      <c r="J731" s="41">
        <f>IF(FINANCIACION[[#This Row],[$ CAPITAL]]&gt;=0,FINANCIACION[[#This Row],[$ CAPITAL]]+FINANCIACION[[#This Row],[$ INTERESES]],0)</f>
        <v>1300000</v>
      </c>
    </row>
    <row r="732" spans="1:10" ht="24" hidden="1" customHeight="1" x14ac:dyDescent="0.3">
      <c r="A732" s="9">
        <v>44450</v>
      </c>
      <c r="B732" s="63" t="s">
        <v>1223</v>
      </c>
      <c r="C732" s="7">
        <v>476820.09442826186</v>
      </c>
      <c r="D732" s="7">
        <v>723179.90557173814</v>
      </c>
      <c r="E732" s="7">
        <v>1200000</v>
      </c>
      <c r="F732" s="7">
        <v>-71841170.462745562</v>
      </c>
      <c r="G732" s="10"/>
      <c r="H732" s="10"/>
      <c r="I732" s="7">
        <f>IF(FINANCIACION[[#This Row],[$ CAPITAL]]&gt;0,FINANCIACION[[#This Row],[$ CAPITAL]])</f>
        <v>476820.09442826186</v>
      </c>
      <c r="J732" s="41">
        <f>IF(FINANCIACION[[#This Row],[$ CAPITAL]]&gt;=0,FINANCIACION[[#This Row],[$ CAPITAL]]+FINANCIACION[[#This Row],[$ INTERESES]],0)</f>
        <v>1200000</v>
      </c>
    </row>
    <row r="733" spans="1:10" ht="24" hidden="1" customHeight="1" x14ac:dyDescent="0.3">
      <c r="A733" s="9">
        <v>44450</v>
      </c>
      <c r="B733" s="63" t="s">
        <v>1235</v>
      </c>
      <c r="C733" s="7"/>
      <c r="D733" s="7">
        <v>120000</v>
      </c>
      <c r="E733" s="7">
        <v>120000</v>
      </c>
      <c r="F733" s="7">
        <v>-12000000</v>
      </c>
      <c r="G733" s="10"/>
      <c r="H733" s="10"/>
      <c r="I733" s="7" t="b">
        <f>IF(FINANCIACION[[#This Row],[$ CAPITAL]]&gt;0,FINANCIACION[[#This Row],[$ CAPITAL]])</f>
        <v>0</v>
      </c>
      <c r="J733" s="41">
        <f>IF(FINANCIACION[[#This Row],[$ CAPITAL]]&gt;=0,FINANCIACION[[#This Row],[$ CAPITAL]]+FINANCIACION[[#This Row],[$ INTERESES]],0)</f>
        <v>120000</v>
      </c>
    </row>
    <row r="734" spans="1:10" ht="24" hidden="1" customHeight="1" x14ac:dyDescent="0.3">
      <c r="A734" s="9">
        <v>44453</v>
      </c>
      <c r="B734" s="63" t="s">
        <v>202</v>
      </c>
      <c r="C734" s="7"/>
      <c r="D734" s="7">
        <v>228229.16</v>
      </c>
      <c r="E734" s="7">
        <v>228229.16</v>
      </c>
      <c r="F734" s="7">
        <v>-35000000</v>
      </c>
      <c r="G734" s="10"/>
      <c r="H734" s="10"/>
      <c r="I734" s="7" t="b">
        <f>IF(FINANCIACION[[#This Row],[$ CAPITAL]]&gt;0,FINANCIACION[[#This Row],[$ CAPITAL]])</f>
        <v>0</v>
      </c>
      <c r="J734" s="41">
        <f>IF(FINANCIACION[[#This Row],[$ CAPITAL]]&gt;=0,FINANCIACION[[#This Row],[$ CAPITAL]]+FINANCIACION[[#This Row],[$ INTERESES]],0)</f>
        <v>228229.16</v>
      </c>
    </row>
    <row r="735" spans="1:10" ht="24" hidden="1" customHeight="1" x14ac:dyDescent="0.3">
      <c r="A735" s="9">
        <v>44459</v>
      </c>
      <c r="B735" s="63" t="s">
        <v>1224</v>
      </c>
      <c r="C735" s="7">
        <v>5238034</v>
      </c>
      <c r="D735" s="7">
        <v>713538</v>
      </c>
      <c r="E735" s="7">
        <v>5951572</v>
      </c>
      <c r="F735" s="7">
        <v>-333497178</v>
      </c>
      <c r="G735" s="10"/>
      <c r="H735" s="10"/>
      <c r="I735" s="7">
        <f>IF(FINANCIACION[[#This Row],[$ CAPITAL]]&gt;0,FINANCIACION[[#This Row],[$ CAPITAL]])</f>
        <v>5238034</v>
      </c>
      <c r="J735" s="41">
        <f>IF(FINANCIACION[[#This Row],[$ CAPITAL]]&gt;=0,FINANCIACION[[#This Row],[$ CAPITAL]]+FINANCIACION[[#This Row],[$ INTERESES]],0)</f>
        <v>5951572</v>
      </c>
    </row>
    <row r="736" spans="1:10" ht="24" hidden="1" customHeight="1" x14ac:dyDescent="0.3">
      <c r="A736" s="9">
        <v>44459</v>
      </c>
      <c r="B736" s="63" t="s">
        <v>1225</v>
      </c>
      <c r="C736" s="7">
        <v>1468176.0800000019</v>
      </c>
      <c r="D736" s="7">
        <v>16823.919999998063</v>
      </c>
      <c r="E736" s="7">
        <v>1485000</v>
      </c>
      <c r="F736" s="7">
        <v>-24137884.089999989</v>
      </c>
      <c r="G736" s="10"/>
      <c r="H736" s="10"/>
      <c r="I736" s="7">
        <f>IF(FINANCIACION[[#This Row],[$ CAPITAL]]&gt;0,FINANCIACION[[#This Row],[$ CAPITAL]])</f>
        <v>1468176.0800000019</v>
      </c>
      <c r="J736" s="41">
        <f>IF(FINANCIACION[[#This Row],[$ CAPITAL]]&gt;=0,FINANCIACION[[#This Row],[$ CAPITAL]]+FINANCIACION[[#This Row],[$ INTERESES]],0)</f>
        <v>1485000</v>
      </c>
    </row>
    <row r="737" spans="1:10" ht="24" hidden="1" customHeight="1" x14ac:dyDescent="0.3">
      <c r="A737" s="9">
        <v>44459</v>
      </c>
      <c r="B737" s="63" t="s">
        <v>1236</v>
      </c>
      <c r="C737" s="7">
        <v>1218805.6799999997</v>
      </c>
      <c r="D737" s="7">
        <v>14194.320000000298</v>
      </c>
      <c r="E737" s="7">
        <v>1233000</v>
      </c>
      <c r="F737" s="7">
        <v>-21267871.290000003</v>
      </c>
      <c r="G737" s="10"/>
      <c r="H737" s="10"/>
      <c r="I737" s="7">
        <f>IF(FINANCIACION[[#This Row],[$ CAPITAL]]&gt;0,FINANCIACION[[#This Row],[$ CAPITAL]])</f>
        <v>1218805.6799999997</v>
      </c>
      <c r="J737" s="41">
        <f>IF(FINANCIACION[[#This Row],[$ CAPITAL]]&gt;=0,FINANCIACION[[#This Row],[$ CAPITAL]]+FINANCIACION[[#This Row],[$ INTERESES]],0)</f>
        <v>1233000</v>
      </c>
    </row>
    <row r="738" spans="1:10" ht="24" hidden="1" customHeight="1" x14ac:dyDescent="0.3">
      <c r="A738" s="9">
        <v>44459</v>
      </c>
      <c r="B738" s="63" t="s">
        <v>1228</v>
      </c>
      <c r="C738" s="7">
        <v>2473862.3900000006</v>
      </c>
      <c r="D738" s="7">
        <v>30137.609999999404</v>
      </c>
      <c r="E738" s="7">
        <v>2504000</v>
      </c>
      <c r="F738" s="7">
        <v>-45157527.289999999</v>
      </c>
      <c r="G738" s="10"/>
      <c r="H738" s="10"/>
      <c r="I738" s="7">
        <f>IF(FINANCIACION[[#This Row],[$ CAPITAL]]&gt;0,FINANCIACION[[#This Row],[$ CAPITAL]])</f>
        <v>2473862.3900000006</v>
      </c>
      <c r="J738" s="41">
        <f>IF(FINANCIACION[[#This Row],[$ CAPITAL]]&gt;=0,FINANCIACION[[#This Row],[$ CAPITAL]]+FINANCIACION[[#This Row],[$ INTERESES]],0)</f>
        <v>2504000</v>
      </c>
    </row>
    <row r="739" spans="1:10" ht="24" hidden="1" customHeight="1" x14ac:dyDescent="0.3">
      <c r="A739" s="9">
        <v>44459</v>
      </c>
      <c r="B739" s="63" t="s">
        <v>1229</v>
      </c>
      <c r="C739" s="7">
        <v>3639410.0100000054</v>
      </c>
      <c r="D739" s="7">
        <v>48589.989999994636</v>
      </c>
      <c r="E739" s="7">
        <v>3688000</v>
      </c>
      <c r="F739" s="7">
        <v>-65388773.829999998</v>
      </c>
      <c r="G739" s="10"/>
      <c r="H739" s="10"/>
      <c r="I739" s="7">
        <f>IF(FINANCIACION[[#This Row],[$ CAPITAL]]&gt;0,FINANCIACION[[#This Row],[$ CAPITAL]])</f>
        <v>3639410.0100000054</v>
      </c>
      <c r="J739" s="41">
        <f>IF(FINANCIACION[[#This Row],[$ CAPITAL]]&gt;=0,FINANCIACION[[#This Row],[$ CAPITAL]]+FINANCIACION[[#This Row],[$ INTERESES]],0)</f>
        <v>3688000</v>
      </c>
    </row>
    <row r="740" spans="1:10" ht="24" hidden="1" customHeight="1" x14ac:dyDescent="0.3">
      <c r="A740" s="9">
        <v>44459</v>
      </c>
      <c r="B740" s="63" t="s">
        <v>1230</v>
      </c>
      <c r="C740" s="7">
        <v>974272.16999999806</v>
      </c>
      <c r="D740" s="7">
        <v>12727.830000001937</v>
      </c>
      <c r="E740" s="7">
        <v>987000</v>
      </c>
      <c r="F740" s="7">
        <v>-18474834.260000005</v>
      </c>
      <c r="G740" s="10"/>
      <c r="H740" s="10"/>
      <c r="I740" s="7">
        <f>IF(FINANCIACION[[#This Row],[$ CAPITAL]]&gt;0,FINANCIACION[[#This Row],[$ CAPITAL]])</f>
        <v>974272.16999999806</v>
      </c>
      <c r="J740" s="11">
        <f>IF(FINANCIACION[[#This Row],[$ CAPITAL]]&gt;=0,FINANCIACION[[#This Row],[$ CAPITAL]]+FINANCIACION[[#This Row],[$ INTERESES]],0)</f>
        <v>987000</v>
      </c>
    </row>
    <row r="741" spans="1:10" ht="24" hidden="1" customHeight="1" x14ac:dyDescent="0.3">
      <c r="A741" s="9">
        <v>44459</v>
      </c>
      <c r="B741" s="63" t="s">
        <v>1232</v>
      </c>
      <c r="C741" s="7">
        <v>1027038.799999997</v>
      </c>
      <c r="D741" s="7">
        <v>13961.20000000298</v>
      </c>
      <c r="E741" s="7">
        <v>1041000</v>
      </c>
      <c r="F741" s="7">
        <v>-20261351.320000004</v>
      </c>
      <c r="G741" s="10"/>
      <c r="H741" s="10"/>
      <c r="I741" s="7">
        <f>IF(FINANCIACION[[#This Row],[$ CAPITAL]]&gt;0,FINANCIACION[[#This Row],[$ CAPITAL]])</f>
        <v>1027038.799999997</v>
      </c>
      <c r="J741" s="11">
        <f>IF(FINANCIACION[[#This Row],[$ CAPITAL]]&gt;=0,FINANCIACION[[#This Row],[$ CAPITAL]]+FINANCIACION[[#This Row],[$ INTERESES]],0)</f>
        <v>1041000</v>
      </c>
    </row>
    <row r="742" spans="1:10" ht="24" hidden="1" customHeight="1" x14ac:dyDescent="0.3">
      <c r="A742" s="9">
        <v>44466</v>
      </c>
      <c r="B742" s="63" t="s">
        <v>198</v>
      </c>
      <c r="C742" s="7">
        <v>2673800</v>
      </c>
      <c r="D742" s="7"/>
      <c r="E742" s="7">
        <v>2673800</v>
      </c>
      <c r="F742" s="7">
        <v>-97757752</v>
      </c>
      <c r="G742" s="10" t="s">
        <v>534</v>
      </c>
      <c r="H742" s="66">
        <v>698.85</v>
      </c>
      <c r="I742" s="7">
        <f>IF(FINANCIACION[[#This Row],[$ CAPITAL]]&gt;0,FINANCIACION[[#This Row],[$ CAPITAL]])</f>
        <v>2673800</v>
      </c>
      <c r="J742" s="11">
        <f>IF(FINANCIACION[[#This Row],[$ CAPITAL]]&gt;=0,FINANCIACION[[#This Row],[$ CAPITAL]]+FINANCIACION[[#This Row],[$ INTERESES]],0)</f>
        <v>2673800</v>
      </c>
    </row>
    <row r="743" spans="1:10" ht="24" hidden="1" customHeight="1" x14ac:dyDescent="0.3">
      <c r="A743" s="9">
        <v>44469</v>
      </c>
      <c r="B743" s="63" t="s">
        <v>195</v>
      </c>
      <c r="C743" s="7">
        <v>1468400</v>
      </c>
      <c r="D743" s="7">
        <v>418397</v>
      </c>
      <c r="E743" s="7">
        <v>1886797</v>
      </c>
      <c r="F743" s="7">
        <v>-44052000</v>
      </c>
      <c r="G743" s="10"/>
      <c r="H743" s="66"/>
      <c r="I743" s="7">
        <f>IF(FINANCIACION[[#This Row],[$ CAPITAL]]&gt;0,FINANCIACION[[#This Row],[$ CAPITAL]])</f>
        <v>1468400</v>
      </c>
      <c r="J743" s="11">
        <f>IF(FINANCIACION[[#This Row],[$ CAPITAL]]&gt;=0,FINANCIACION[[#This Row],[$ CAPITAL]]+FINANCIACION[[#This Row],[$ INTERESES]],0)</f>
        <v>1886797</v>
      </c>
    </row>
    <row r="744" spans="1:10" ht="24" hidden="1" customHeight="1" x14ac:dyDescent="0.3">
      <c r="A744" s="9">
        <v>44469</v>
      </c>
      <c r="B744" s="63" t="s">
        <v>196</v>
      </c>
      <c r="C744" s="7">
        <v>76791</v>
      </c>
      <c r="D744" s="7"/>
      <c r="E744" s="7">
        <v>76791</v>
      </c>
      <c r="F744" s="7">
        <v>-2303730</v>
      </c>
      <c r="G744" s="10"/>
      <c r="H744" s="66"/>
      <c r="I744" s="7">
        <f>IF(FINANCIACION[[#This Row],[$ CAPITAL]]&gt;0,FINANCIACION[[#This Row],[$ CAPITAL]])</f>
        <v>76791</v>
      </c>
      <c r="J744" s="11">
        <f>IF(FINANCIACION[[#This Row],[$ CAPITAL]]&gt;=0,FINANCIACION[[#This Row],[$ CAPITAL]]+FINANCIACION[[#This Row],[$ INTERESES]],0)</f>
        <v>76791</v>
      </c>
    </row>
    <row r="745" spans="1:10" ht="24" hidden="1" customHeight="1" x14ac:dyDescent="0.3">
      <c r="A745" s="9">
        <v>44469</v>
      </c>
      <c r="B745" s="63" t="s">
        <v>198</v>
      </c>
      <c r="C745" s="7">
        <v>1304356.5</v>
      </c>
      <c r="D745" s="7"/>
      <c r="E745" s="7">
        <v>1304356.5</v>
      </c>
      <c r="F745" s="7">
        <v>-96453395.5</v>
      </c>
      <c r="G745" s="10" t="s">
        <v>233</v>
      </c>
      <c r="H745" s="66"/>
      <c r="I745" s="7">
        <f>IF(FINANCIACION[[#This Row],[$ CAPITAL]]&gt;0,FINANCIACION[[#This Row],[$ CAPITAL]])</f>
        <v>1304356.5</v>
      </c>
      <c r="J745" s="11">
        <f>IF(FINANCIACION[[#This Row],[$ CAPITAL]]&gt;=0,FINANCIACION[[#This Row],[$ CAPITAL]]+FINANCIACION[[#This Row],[$ INTERESES]],0)</f>
        <v>1304356.5</v>
      </c>
    </row>
    <row r="746" spans="1:10" ht="24" hidden="1" customHeight="1" x14ac:dyDescent="0.3">
      <c r="A746" s="9">
        <v>44469</v>
      </c>
      <c r="B746" s="63" t="s">
        <v>297</v>
      </c>
      <c r="C746" s="7">
        <v>749196.5</v>
      </c>
      <c r="D746" s="7"/>
      <c r="E746" s="7">
        <v>749196.5</v>
      </c>
      <c r="F746" s="7">
        <v>-57688130.5</v>
      </c>
      <c r="G746" s="10" t="s">
        <v>233</v>
      </c>
      <c r="H746" s="66"/>
      <c r="I746" s="7">
        <f>IF(FINANCIACION[[#This Row],[$ CAPITAL]]&gt;0,FINANCIACION[[#This Row],[$ CAPITAL]])</f>
        <v>749196.5</v>
      </c>
      <c r="J746" s="11">
        <f>IF(FINANCIACION[[#This Row],[$ CAPITAL]]&gt;=0,FINANCIACION[[#This Row],[$ CAPITAL]]+FINANCIACION[[#This Row],[$ INTERESES]],0)</f>
        <v>749196.5</v>
      </c>
    </row>
    <row r="747" spans="1:10" ht="24" hidden="1" customHeight="1" x14ac:dyDescent="0.3">
      <c r="A747" s="9">
        <v>44469</v>
      </c>
      <c r="B747" s="63" t="s">
        <v>421</v>
      </c>
      <c r="C747" s="7">
        <v>296351.5</v>
      </c>
      <c r="D747" s="7"/>
      <c r="E747" s="7">
        <v>296351.5</v>
      </c>
      <c r="F747" s="7">
        <v>-22819065.5</v>
      </c>
      <c r="G747" s="66" t="s">
        <v>233</v>
      </c>
      <c r="H747" s="10"/>
      <c r="I747" s="7">
        <f>IF(FINANCIACION[[#This Row],[$ CAPITAL]]&gt;0,FINANCIACION[[#This Row],[$ CAPITAL]])</f>
        <v>296351.5</v>
      </c>
      <c r="J747" s="41">
        <f>IF(FINANCIACION[[#This Row],[$ CAPITAL]]&gt;=0,FINANCIACION[[#This Row],[$ CAPITAL]]+FINANCIACION[[#This Row],[$ INTERESES]],0)</f>
        <v>296351.5</v>
      </c>
    </row>
    <row r="748" spans="1:10" ht="24" hidden="1" customHeight="1" x14ac:dyDescent="0.3">
      <c r="A748" s="9">
        <v>44469</v>
      </c>
      <c r="B748" s="63" t="s">
        <v>203</v>
      </c>
      <c r="C748" s="7">
        <v>-692683</v>
      </c>
      <c r="D748" s="7"/>
      <c r="E748" s="7" t="s">
        <v>146</v>
      </c>
      <c r="F748" s="7">
        <v>-629103</v>
      </c>
      <c r="G748" s="66" t="s">
        <v>233</v>
      </c>
      <c r="H748" s="10"/>
      <c r="I748" s="7" t="b">
        <f>IF(FINANCIACION[[#This Row],[$ CAPITAL]]&gt;0,FINANCIACION[[#This Row],[$ CAPITAL]])</f>
        <v>0</v>
      </c>
      <c r="J748" s="41">
        <f>IF(FINANCIACION[[#This Row],[$ CAPITAL]]&gt;=0,FINANCIACION[[#This Row],[$ CAPITAL]]+FINANCIACION[[#This Row],[$ INTERESES]],0)</f>
        <v>0</v>
      </c>
    </row>
    <row r="749" spans="1:10" ht="24" hidden="1" customHeight="1" x14ac:dyDescent="0.3">
      <c r="A749" s="9">
        <v>44469</v>
      </c>
      <c r="B749" s="63" t="s">
        <v>204</v>
      </c>
      <c r="C749" s="7">
        <v>-13423250</v>
      </c>
      <c r="D749" s="7"/>
      <c r="E749" s="7" t="s">
        <v>146</v>
      </c>
      <c r="F749" s="7">
        <v>-33806850</v>
      </c>
      <c r="G749" s="66" t="s">
        <v>233</v>
      </c>
      <c r="H749" s="10"/>
      <c r="I749" s="7" t="b">
        <f>IF(FINANCIACION[[#This Row],[$ CAPITAL]]&gt;0,FINANCIACION[[#This Row],[$ CAPITAL]])</f>
        <v>0</v>
      </c>
      <c r="J749" s="41">
        <f>IF(FINANCIACION[[#This Row],[$ CAPITAL]]&gt;=0,FINANCIACION[[#This Row],[$ CAPITAL]]+FINANCIACION[[#This Row],[$ INTERESES]],0)</f>
        <v>0</v>
      </c>
    </row>
    <row r="750" spans="1:10" ht="24" hidden="1" customHeight="1" x14ac:dyDescent="0.3">
      <c r="A750" s="9">
        <v>44469</v>
      </c>
      <c r="B750" s="63" t="s">
        <v>205</v>
      </c>
      <c r="C750" s="7">
        <v>-4108939</v>
      </c>
      <c r="D750" s="7"/>
      <c r="E750" s="7" t="s">
        <v>146</v>
      </c>
      <c r="F750" s="7">
        <v>-4108939</v>
      </c>
      <c r="G750" s="10" t="s">
        <v>233</v>
      </c>
      <c r="H750" s="10"/>
      <c r="I750" s="7" t="b">
        <f>IF(FINANCIACION[[#This Row],[$ CAPITAL]]&gt;0,FINANCIACION[[#This Row],[$ CAPITAL]])</f>
        <v>0</v>
      </c>
      <c r="J750" s="41">
        <f>IF(FINANCIACION[[#This Row],[$ CAPITAL]]&gt;=0,FINANCIACION[[#This Row],[$ CAPITAL]]+FINANCIACION[[#This Row],[$ INTERESES]],0)</f>
        <v>0</v>
      </c>
    </row>
    <row r="751" spans="1:10" ht="24" hidden="1" customHeight="1" x14ac:dyDescent="0.3">
      <c r="A751" s="9">
        <v>44474</v>
      </c>
      <c r="B751" s="63" t="s">
        <v>198</v>
      </c>
      <c r="C751" s="7">
        <v>30448000</v>
      </c>
      <c r="D751" s="7">
        <v>39337</v>
      </c>
      <c r="E751" s="7">
        <v>30487337</v>
      </c>
      <c r="F751" s="7">
        <v>-66005395.5</v>
      </c>
      <c r="G751" s="66"/>
      <c r="H751" s="10">
        <v>8000</v>
      </c>
      <c r="I751" s="7">
        <f>IF(FINANCIACION[[#This Row],[$ CAPITAL]]&gt;0,FINANCIACION[[#This Row],[$ CAPITAL]])</f>
        <v>30448000</v>
      </c>
      <c r="J751" s="41">
        <f>IF(FINANCIACION[[#This Row],[$ CAPITAL]]&gt;=0,FINANCIACION[[#This Row],[$ CAPITAL]]+FINANCIACION[[#This Row],[$ INTERESES]],0)</f>
        <v>30487337</v>
      </c>
    </row>
    <row r="752" spans="1:10" ht="24" hidden="1" customHeight="1" x14ac:dyDescent="0.3">
      <c r="A752" s="9">
        <v>44475</v>
      </c>
      <c r="B752" s="63" t="s">
        <v>543</v>
      </c>
      <c r="C752" s="7">
        <v>-52697606.5</v>
      </c>
      <c r="D752" s="7"/>
      <c r="E752" s="7" t="s">
        <v>146</v>
      </c>
      <c r="F752" s="7">
        <v>-52697606.5</v>
      </c>
      <c r="G752" s="66"/>
      <c r="H752" s="10">
        <v>-13687.69</v>
      </c>
      <c r="I752" s="7" t="b">
        <f>IF(FINANCIACION[[#This Row],[$ CAPITAL]]&gt;0,FINANCIACION[[#This Row],[$ CAPITAL]])</f>
        <v>0</v>
      </c>
      <c r="J752" s="41">
        <f>IF(FINANCIACION[[#This Row],[$ CAPITAL]]&gt;=0,FINANCIACION[[#This Row],[$ CAPITAL]]+FINANCIACION[[#This Row],[$ INTERESES]],0)</f>
        <v>0</v>
      </c>
    </row>
    <row r="753" spans="1:10" ht="24" hidden="1" customHeight="1" x14ac:dyDescent="0.3">
      <c r="A753" s="9">
        <v>44476</v>
      </c>
      <c r="B753" s="63" t="s">
        <v>203</v>
      </c>
      <c r="C753" s="7">
        <v>1000000</v>
      </c>
      <c r="D753" s="7"/>
      <c r="E753" s="7">
        <v>1000000</v>
      </c>
      <c r="F753" s="7">
        <v>370897</v>
      </c>
      <c r="G753" s="66"/>
      <c r="H753" s="10"/>
      <c r="I753" s="7">
        <f>IF(FINANCIACION[[#This Row],[$ CAPITAL]]&gt;0,FINANCIACION[[#This Row],[$ CAPITAL]])</f>
        <v>1000000</v>
      </c>
      <c r="J753" s="41">
        <f>IF(FINANCIACION[[#This Row],[$ CAPITAL]]&gt;=0,FINANCIACION[[#This Row],[$ CAPITAL]]+FINANCIACION[[#This Row],[$ INTERESES]],0)</f>
        <v>1000000</v>
      </c>
    </row>
    <row r="754" spans="1:10" ht="24" hidden="1" customHeight="1" x14ac:dyDescent="0.3">
      <c r="A754" s="9">
        <v>44476</v>
      </c>
      <c r="B754" s="63" t="s">
        <v>204</v>
      </c>
      <c r="C754" s="7">
        <v>3788030</v>
      </c>
      <c r="D754" s="7"/>
      <c r="E754" s="7">
        <v>3788030</v>
      </c>
      <c r="F754" s="7">
        <v>-30018820</v>
      </c>
      <c r="G754" s="66"/>
      <c r="H754" s="10"/>
      <c r="I754" s="7">
        <f>IF(FINANCIACION[[#This Row],[$ CAPITAL]]&gt;0,FINANCIACION[[#This Row],[$ CAPITAL]])</f>
        <v>3788030</v>
      </c>
      <c r="J754" s="41">
        <f>IF(FINANCIACION[[#This Row],[$ CAPITAL]]&gt;=0,FINANCIACION[[#This Row],[$ CAPITAL]]+FINANCIACION[[#This Row],[$ INTERESES]],0)</f>
        <v>3788030</v>
      </c>
    </row>
    <row r="755" spans="1:10" ht="24" hidden="1" customHeight="1" x14ac:dyDescent="0.3">
      <c r="A755" s="9">
        <v>44476</v>
      </c>
      <c r="B755" s="63" t="s">
        <v>205</v>
      </c>
      <c r="C755" s="7">
        <v>1000000</v>
      </c>
      <c r="D755" s="7"/>
      <c r="E755" s="7">
        <v>1000000</v>
      </c>
      <c r="F755" s="7">
        <v>-3108939</v>
      </c>
      <c r="G755" s="66"/>
      <c r="H755" s="10"/>
      <c r="I755" s="7">
        <f>IF(FINANCIACION[[#This Row],[$ CAPITAL]]&gt;0,FINANCIACION[[#This Row],[$ CAPITAL]])</f>
        <v>1000000</v>
      </c>
      <c r="J755" s="41">
        <f>IF(FINANCIACION[[#This Row],[$ CAPITAL]]&gt;=0,FINANCIACION[[#This Row],[$ CAPITAL]]+FINANCIACION[[#This Row],[$ INTERESES]],0)</f>
        <v>1000000</v>
      </c>
    </row>
    <row r="756" spans="1:10" ht="24" hidden="1" customHeight="1" x14ac:dyDescent="0.3">
      <c r="A756" s="9">
        <v>44477</v>
      </c>
      <c r="B756" s="63" t="s">
        <v>1222</v>
      </c>
      <c r="C756" s="7">
        <v>1926458.90831207</v>
      </c>
      <c r="D756" s="7">
        <v>750919.09168792795</v>
      </c>
      <c r="E756" s="7">
        <v>2677377.9999999981</v>
      </c>
      <c r="F756" s="7">
        <v>-73165450.260480717</v>
      </c>
      <c r="G756" s="10"/>
      <c r="H756" s="10"/>
      <c r="I756" s="7">
        <f>IF(FINANCIACION[[#This Row],[$ CAPITAL]]&gt;0,FINANCIACION[[#This Row],[$ CAPITAL]])</f>
        <v>1926458.90831207</v>
      </c>
      <c r="J756" s="41">
        <f>IF(FINANCIACION[[#This Row],[$ CAPITAL]]&gt;=0,FINANCIACION[[#This Row],[$ CAPITAL]]+FINANCIACION[[#This Row],[$ INTERESES]],0)</f>
        <v>2677377.9999999981</v>
      </c>
    </row>
    <row r="757" spans="1:10" ht="24" hidden="1" customHeight="1" x14ac:dyDescent="0.3">
      <c r="A757" s="9">
        <v>44480</v>
      </c>
      <c r="B757" s="63" t="s">
        <v>1237</v>
      </c>
      <c r="C757" s="7"/>
      <c r="D757" s="7">
        <v>400000</v>
      </c>
      <c r="E757" s="7">
        <v>400000</v>
      </c>
      <c r="F757" s="7">
        <v>-40000000</v>
      </c>
      <c r="G757" s="10" t="s">
        <v>526</v>
      </c>
      <c r="H757" s="10"/>
      <c r="I757" s="7" t="b">
        <f>IF(FINANCIACION[[#This Row],[$ CAPITAL]]&gt;0,FINANCIACION[[#This Row],[$ CAPITAL]])</f>
        <v>0</v>
      </c>
      <c r="J757" s="41">
        <f>IF(FINANCIACION[[#This Row],[$ CAPITAL]]&gt;=0,FINANCIACION[[#This Row],[$ CAPITAL]]+FINANCIACION[[#This Row],[$ INTERESES]],0)</f>
        <v>400000</v>
      </c>
    </row>
    <row r="758" spans="1:10" ht="24" hidden="1" customHeight="1" x14ac:dyDescent="0.3">
      <c r="A758" s="9">
        <v>44480</v>
      </c>
      <c r="B758" s="63" t="s">
        <v>1226</v>
      </c>
      <c r="C758" s="7">
        <v>742214.88930021925</v>
      </c>
      <c r="D758" s="7">
        <v>557785.11069978075</v>
      </c>
      <c r="E758" s="7">
        <v>1300000</v>
      </c>
      <c r="F758" s="7">
        <v>-55036296.180677854</v>
      </c>
      <c r="G758" s="10"/>
      <c r="H758" s="10"/>
      <c r="I758" s="7">
        <f>IF(FINANCIACION[[#This Row],[$ CAPITAL]]&gt;0,FINANCIACION[[#This Row],[$ CAPITAL]])</f>
        <v>742214.88930021925</v>
      </c>
      <c r="J758" s="41">
        <f>IF(FINANCIACION[[#This Row],[$ CAPITAL]]&gt;=0,FINANCIACION[[#This Row],[$ CAPITAL]]+FINANCIACION[[#This Row],[$ INTERESES]],0)</f>
        <v>1300000</v>
      </c>
    </row>
    <row r="759" spans="1:10" ht="24" hidden="1" customHeight="1" x14ac:dyDescent="0.3">
      <c r="A759" s="9">
        <v>44480</v>
      </c>
      <c r="B759" s="63" t="s">
        <v>1223</v>
      </c>
      <c r="C759" s="7">
        <v>481588.29537254432</v>
      </c>
      <c r="D759" s="7">
        <v>718411.70462745568</v>
      </c>
      <c r="E759" s="7">
        <v>1200000</v>
      </c>
      <c r="F759" s="7">
        <v>-71359582.167373016</v>
      </c>
      <c r="G759" s="10"/>
      <c r="H759" s="10"/>
      <c r="I759" s="7">
        <f>IF(FINANCIACION[[#This Row],[$ CAPITAL]]&gt;0,FINANCIACION[[#This Row],[$ CAPITAL]])</f>
        <v>481588.29537254432</v>
      </c>
      <c r="J759" s="41">
        <f>IF(FINANCIACION[[#This Row],[$ CAPITAL]]&gt;=0,FINANCIACION[[#This Row],[$ CAPITAL]]+FINANCIACION[[#This Row],[$ INTERESES]],0)</f>
        <v>1200000</v>
      </c>
    </row>
    <row r="760" spans="1:10" ht="24" hidden="1" customHeight="1" x14ac:dyDescent="0.3">
      <c r="A760" s="9">
        <v>44480</v>
      </c>
      <c r="B760" s="63" t="s">
        <v>1235</v>
      </c>
      <c r="C760" s="7"/>
      <c r="D760" s="7">
        <v>120000</v>
      </c>
      <c r="E760" s="7">
        <v>120000</v>
      </c>
      <c r="F760" s="7">
        <v>-12000000</v>
      </c>
      <c r="G760" s="10"/>
      <c r="H760" s="10"/>
      <c r="I760" s="7" t="b">
        <f>IF(FINANCIACION[[#This Row],[$ CAPITAL]]&gt;0,FINANCIACION[[#This Row],[$ CAPITAL]])</f>
        <v>0</v>
      </c>
      <c r="J760" s="41">
        <f>IF(FINANCIACION[[#This Row],[$ CAPITAL]]&gt;=0,FINANCIACION[[#This Row],[$ CAPITAL]]+FINANCIACION[[#This Row],[$ INTERESES]],0)</f>
        <v>120000</v>
      </c>
    </row>
    <row r="761" spans="1:10" ht="24" hidden="1" customHeight="1" x14ac:dyDescent="0.3">
      <c r="A761" s="9">
        <v>44480</v>
      </c>
      <c r="B761" s="63" t="s">
        <v>199</v>
      </c>
      <c r="C761" s="7">
        <v>6367304.5499999998</v>
      </c>
      <c r="D761" s="7">
        <v>241337.49</v>
      </c>
      <c r="E761" s="7">
        <v>6608642.04</v>
      </c>
      <c r="F761" s="7">
        <v>-28693821.449999999</v>
      </c>
      <c r="G761" s="10"/>
      <c r="H761" s="10"/>
      <c r="I761" s="7">
        <f>IF(FINANCIACION[[#This Row],[$ CAPITAL]]&gt;0,FINANCIACION[[#This Row],[$ CAPITAL]])</f>
        <v>6367304.5499999998</v>
      </c>
      <c r="J761" s="41">
        <f>IF(FINANCIACION[[#This Row],[$ CAPITAL]]&gt;=0,FINANCIACION[[#This Row],[$ CAPITAL]]+FINANCIACION[[#This Row],[$ INTERESES]],0)</f>
        <v>6608642.04</v>
      </c>
    </row>
    <row r="762" spans="1:10" ht="24" hidden="1" customHeight="1" x14ac:dyDescent="0.3">
      <c r="A762" s="9">
        <v>44480</v>
      </c>
      <c r="B762" s="63" t="s">
        <v>204</v>
      </c>
      <c r="C762" s="7">
        <v>3765800</v>
      </c>
      <c r="D762" s="7"/>
      <c r="E762" s="7">
        <v>3765800</v>
      </c>
      <c r="F762" s="7">
        <v>-26253020</v>
      </c>
      <c r="G762" s="10"/>
      <c r="H762" s="10"/>
      <c r="I762" s="7">
        <f>IF(FINANCIACION[[#This Row],[$ CAPITAL]]&gt;0,FINANCIACION[[#This Row],[$ CAPITAL]])</f>
        <v>3765800</v>
      </c>
      <c r="J762" s="41">
        <f>IF(FINANCIACION[[#This Row],[$ CAPITAL]]&gt;=0,FINANCIACION[[#This Row],[$ CAPITAL]]+FINANCIACION[[#This Row],[$ INTERESES]],0)</f>
        <v>3765800</v>
      </c>
    </row>
    <row r="763" spans="1:10" ht="24" hidden="1" customHeight="1" x14ac:dyDescent="0.3">
      <c r="A763" s="9">
        <v>44483</v>
      </c>
      <c r="B763" s="63" t="s">
        <v>202</v>
      </c>
      <c r="C763" s="7"/>
      <c r="D763" s="7">
        <v>231875</v>
      </c>
      <c r="E763" s="7">
        <v>231875</v>
      </c>
      <c r="F763" s="7">
        <v>-35000000</v>
      </c>
      <c r="G763" s="10"/>
      <c r="H763" s="10"/>
      <c r="I763" s="7" t="b">
        <f>IF(FINANCIACION[[#This Row],[$ CAPITAL]]&gt;0,FINANCIACION[[#This Row],[$ CAPITAL]])</f>
        <v>0</v>
      </c>
      <c r="J763" s="11">
        <f>IF(FINANCIACION[[#This Row],[$ CAPITAL]]&gt;=0,FINANCIACION[[#This Row],[$ CAPITAL]]+FINANCIACION[[#This Row],[$ INTERESES]],0)</f>
        <v>231875</v>
      </c>
    </row>
    <row r="764" spans="1:10" ht="24" hidden="1" customHeight="1" x14ac:dyDescent="0.3">
      <c r="A764" s="9">
        <v>44483</v>
      </c>
      <c r="B764" s="63" t="s">
        <v>203</v>
      </c>
      <c r="C764" s="7">
        <v>945175</v>
      </c>
      <c r="D764" s="7"/>
      <c r="E764" s="7">
        <v>945175</v>
      </c>
      <c r="F764" s="7">
        <v>1316072</v>
      </c>
      <c r="G764" s="10"/>
      <c r="H764" s="10"/>
      <c r="I764" s="7">
        <f>IF(FINANCIACION[[#This Row],[$ CAPITAL]]&gt;0,FINANCIACION[[#This Row],[$ CAPITAL]])</f>
        <v>945175</v>
      </c>
      <c r="J764" s="11">
        <f>IF(FINANCIACION[[#This Row],[$ CAPITAL]]&gt;=0,FINANCIACION[[#This Row],[$ CAPITAL]]+FINANCIACION[[#This Row],[$ INTERESES]],0)</f>
        <v>945175</v>
      </c>
    </row>
    <row r="765" spans="1:10" ht="24" hidden="1" customHeight="1" x14ac:dyDescent="0.3">
      <c r="A765" s="9">
        <v>44483</v>
      </c>
      <c r="B765" s="63" t="s">
        <v>204</v>
      </c>
      <c r="C765" s="7">
        <v>5607720</v>
      </c>
      <c r="D765" s="7"/>
      <c r="E765" s="7">
        <v>5607720</v>
      </c>
      <c r="F765" s="7">
        <v>-5691380</v>
      </c>
      <c r="G765" s="10"/>
      <c r="H765" s="66"/>
      <c r="I765" s="7">
        <f>IF(FINANCIACION[[#This Row],[$ CAPITAL]]&gt;0,FINANCIACION[[#This Row],[$ CAPITAL]])</f>
        <v>5607720</v>
      </c>
      <c r="J765" s="11">
        <f>IF(FINANCIACION[[#This Row],[$ CAPITAL]]&gt;=0,FINANCIACION[[#This Row],[$ CAPITAL]]+FINANCIACION[[#This Row],[$ INTERESES]],0)</f>
        <v>5607720</v>
      </c>
    </row>
    <row r="766" spans="1:10" ht="24" hidden="1" customHeight="1" x14ac:dyDescent="0.3">
      <c r="A766" s="9">
        <v>44483</v>
      </c>
      <c r="B766" s="63" t="s">
        <v>204</v>
      </c>
      <c r="C766" s="7">
        <v>14953920</v>
      </c>
      <c r="D766" s="7"/>
      <c r="E766" s="7">
        <v>14953920</v>
      </c>
      <c r="F766" s="7">
        <v>-5691380</v>
      </c>
      <c r="G766" s="10"/>
      <c r="H766" s="66"/>
      <c r="I766" s="7">
        <f>IF(FINANCIACION[[#This Row],[$ CAPITAL]]&gt;0,FINANCIACION[[#This Row],[$ CAPITAL]])</f>
        <v>14953920</v>
      </c>
      <c r="J766" s="11">
        <f>IF(FINANCIACION[[#This Row],[$ CAPITAL]]&gt;=0,FINANCIACION[[#This Row],[$ CAPITAL]]+FINANCIACION[[#This Row],[$ INTERESES]],0)</f>
        <v>14953920</v>
      </c>
    </row>
    <row r="767" spans="1:10" ht="24" hidden="1" customHeight="1" x14ac:dyDescent="0.3">
      <c r="A767" s="9">
        <v>44483</v>
      </c>
      <c r="B767" s="63" t="s">
        <v>205</v>
      </c>
      <c r="C767" s="7">
        <v>1000000</v>
      </c>
      <c r="D767" s="7"/>
      <c r="E767" s="7">
        <v>1000000</v>
      </c>
      <c r="F767" s="7">
        <v>-2108939</v>
      </c>
      <c r="G767" s="10"/>
      <c r="H767" s="66"/>
      <c r="I767" s="7">
        <f>IF(FINANCIACION[[#This Row],[$ CAPITAL]]&gt;0,FINANCIACION[[#This Row],[$ CAPITAL]])</f>
        <v>1000000</v>
      </c>
      <c r="J767" s="11">
        <f>IF(FINANCIACION[[#This Row],[$ CAPITAL]]&gt;=0,FINANCIACION[[#This Row],[$ CAPITAL]]+FINANCIACION[[#This Row],[$ INTERESES]],0)</f>
        <v>1000000</v>
      </c>
    </row>
    <row r="768" spans="1:10" ht="24" hidden="1" customHeight="1" x14ac:dyDescent="0.3">
      <c r="A768" s="9">
        <v>44488</v>
      </c>
      <c r="B768" s="63" t="s">
        <v>1224</v>
      </c>
      <c r="C768" s="7">
        <v>5238034</v>
      </c>
      <c r="D768" s="7">
        <v>683538</v>
      </c>
      <c r="E768" s="7">
        <v>5921572</v>
      </c>
      <c r="F768" s="7">
        <v>-328259144</v>
      </c>
      <c r="G768" s="66"/>
      <c r="H768" s="10"/>
      <c r="I768" s="7">
        <f>IF(FINANCIACION[[#This Row],[$ CAPITAL]]&gt;0,FINANCIACION[[#This Row],[$ CAPITAL]])</f>
        <v>5238034</v>
      </c>
      <c r="J768" s="41">
        <f>IF(FINANCIACION[[#This Row],[$ CAPITAL]]&gt;=0,FINANCIACION[[#This Row],[$ CAPITAL]]+FINANCIACION[[#This Row],[$ INTERESES]],0)</f>
        <v>5921572</v>
      </c>
    </row>
    <row r="769" spans="1:10" ht="24" hidden="1" customHeight="1" x14ac:dyDescent="0.3">
      <c r="A769" s="9">
        <v>44488</v>
      </c>
      <c r="B769" s="63" t="s">
        <v>203</v>
      </c>
      <c r="C769" s="7">
        <v>1570289</v>
      </c>
      <c r="D769" s="7"/>
      <c r="E769" s="7">
        <v>1570289</v>
      </c>
      <c r="F769" s="7">
        <v>2886361</v>
      </c>
      <c r="G769" s="10"/>
      <c r="H769" s="66"/>
      <c r="I769" s="7">
        <f>IF(FINANCIACION[[#This Row],[$ CAPITAL]]&gt;0,FINANCIACION[[#This Row],[$ CAPITAL]])</f>
        <v>1570289</v>
      </c>
      <c r="J769" s="11">
        <f>IF(FINANCIACION[[#This Row],[$ CAPITAL]]&gt;=0,FINANCIACION[[#This Row],[$ CAPITAL]]+FINANCIACION[[#This Row],[$ INTERESES]],0)</f>
        <v>1570289</v>
      </c>
    </row>
    <row r="770" spans="1:10" ht="24" hidden="1" customHeight="1" x14ac:dyDescent="0.3">
      <c r="A770" s="9">
        <v>44490</v>
      </c>
      <c r="B770" s="63" t="s">
        <v>1225</v>
      </c>
      <c r="C770" s="7">
        <v>1455390.5800000019</v>
      </c>
      <c r="D770" s="7">
        <v>20609.419999998063</v>
      </c>
      <c r="E770" s="7">
        <v>1476000</v>
      </c>
      <c r="F770" s="7">
        <v>-22682493.509999987</v>
      </c>
      <c r="G770" s="66"/>
      <c r="H770" s="10"/>
      <c r="I770" s="7">
        <f>IF(FINANCIACION[[#This Row],[$ CAPITAL]]&gt;0,FINANCIACION[[#This Row],[$ CAPITAL]])</f>
        <v>1455390.5800000019</v>
      </c>
      <c r="J770" s="41">
        <f>IF(FINANCIACION[[#This Row],[$ CAPITAL]]&gt;=0,FINANCIACION[[#This Row],[$ CAPITAL]]+FINANCIACION[[#This Row],[$ INTERESES]],0)</f>
        <v>1476000</v>
      </c>
    </row>
    <row r="771" spans="1:10" ht="24" hidden="1" customHeight="1" x14ac:dyDescent="0.3">
      <c r="A771" s="9">
        <v>44490</v>
      </c>
      <c r="B771" s="63" t="s">
        <v>1236</v>
      </c>
      <c r="C771" s="7">
        <v>1207376.9100000001</v>
      </c>
      <c r="D771" s="7">
        <v>18623.089999999851</v>
      </c>
      <c r="E771" s="7">
        <v>1226000</v>
      </c>
      <c r="F771" s="7">
        <v>-20060494.380000003</v>
      </c>
      <c r="G771" s="66"/>
      <c r="H771" s="10"/>
      <c r="I771" s="7">
        <f>IF(FINANCIACION[[#This Row],[$ CAPITAL]]&gt;0,FINANCIACION[[#This Row],[$ CAPITAL]])</f>
        <v>1207376.9100000001</v>
      </c>
      <c r="J771" s="41">
        <f>IF(FINANCIACION[[#This Row],[$ CAPITAL]]&gt;=0,FINANCIACION[[#This Row],[$ CAPITAL]]+FINANCIACION[[#This Row],[$ INTERESES]],0)</f>
        <v>1226000</v>
      </c>
    </row>
    <row r="772" spans="1:10" ht="24" hidden="1" customHeight="1" x14ac:dyDescent="0.3">
      <c r="A772" s="9">
        <v>44490</v>
      </c>
      <c r="B772" s="63" t="s">
        <v>1228</v>
      </c>
      <c r="C772" s="7">
        <v>2460269.9600000009</v>
      </c>
      <c r="D772" s="7">
        <v>29730.039999999106</v>
      </c>
      <c r="E772" s="7">
        <v>2490000</v>
      </c>
      <c r="F772" s="7">
        <v>-42697257.329999998</v>
      </c>
      <c r="G772" s="66"/>
      <c r="H772" s="10"/>
      <c r="I772" s="7">
        <f>IF(FINANCIACION[[#This Row],[$ CAPITAL]]&gt;0,FINANCIACION[[#This Row],[$ CAPITAL]])</f>
        <v>2460269.9600000009</v>
      </c>
      <c r="J772" s="41">
        <f>IF(FINANCIACION[[#This Row],[$ CAPITAL]]&gt;=0,FINANCIACION[[#This Row],[$ CAPITAL]]+FINANCIACION[[#This Row],[$ INTERESES]],0)</f>
        <v>2490000</v>
      </c>
    </row>
    <row r="773" spans="1:10" ht="24" hidden="1" customHeight="1" x14ac:dyDescent="0.3">
      <c r="A773" s="9">
        <v>44490</v>
      </c>
      <c r="B773" s="63" t="s">
        <v>1229</v>
      </c>
      <c r="C773" s="7">
        <v>3617080.799999997</v>
      </c>
      <c r="D773" s="7">
        <v>47919.20000000298</v>
      </c>
      <c r="E773" s="7">
        <v>3665000</v>
      </c>
      <c r="F773" s="7">
        <v>-61771693.030000001</v>
      </c>
      <c r="G773" s="10"/>
      <c r="H773" s="10"/>
      <c r="I773" s="7">
        <f>IF(FINANCIACION[[#This Row],[$ CAPITAL]]&gt;0,FINANCIACION[[#This Row],[$ CAPITAL]])</f>
        <v>3617080.799999997</v>
      </c>
      <c r="J773" s="41">
        <f>IF(FINANCIACION[[#This Row],[$ CAPITAL]]&gt;=0,FINANCIACION[[#This Row],[$ CAPITAL]]+FINANCIACION[[#This Row],[$ INTERESES]],0)</f>
        <v>3665000</v>
      </c>
    </row>
    <row r="774" spans="1:10" ht="24" hidden="1" customHeight="1" x14ac:dyDescent="0.3">
      <c r="A774" s="9">
        <v>44490</v>
      </c>
      <c r="B774" s="63" t="s">
        <v>1230</v>
      </c>
      <c r="C774" s="7">
        <v>966289.62999999896</v>
      </c>
      <c r="D774" s="7">
        <v>15710.370000001043</v>
      </c>
      <c r="E774" s="7">
        <v>982000</v>
      </c>
      <c r="F774" s="7">
        <v>-17508544.630000006</v>
      </c>
      <c r="G774" s="66"/>
      <c r="H774" s="10"/>
      <c r="I774" s="7">
        <f>IF(FINANCIACION[[#This Row],[$ CAPITAL]]&gt;0,FINANCIACION[[#This Row],[$ CAPITAL]])</f>
        <v>966289.62999999896</v>
      </c>
      <c r="J774" s="41">
        <f>IF(FINANCIACION[[#This Row],[$ CAPITAL]]&gt;=0,FINANCIACION[[#This Row],[$ CAPITAL]]+FINANCIACION[[#This Row],[$ INTERESES]],0)</f>
        <v>982000</v>
      </c>
    </row>
    <row r="775" spans="1:10" ht="24" hidden="1" customHeight="1" x14ac:dyDescent="0.3">
      <c r="A775" s="9">
        <v>44490</v>
      </c>
      <c r="B775" s="63" t="s">
        <v>1232</v>
      </c>
      <c r="C775" s="7">
        <v>1018692.3000000007</v>
      </c>
      <c r="D775" s="7">
        <v>17307.699999999255</v>
      </c>
      <c r="E775" s="7">
        <v>1036000</v>
      </c>
      <c r="F775" s="7">
        <v>-19242659.020000003</v>
      </c>
      <c r="G775" s="66"/>
      <c r="H775" s="10"/>
      <c r="I775" s="7">
        <f>IF(FINANCIACION[[#This Row],[$ CAPITAL]]&gt;0,FINANCIACION[[#This Row],[$ CAPITAL]])</f>
        <v>1018692.3000000007</v>
      </c>
      <c r="J775" s="41">
        <f>IF(FINANCIACION[[#This Row],[$ CAPITAL]]&gt;=0,FINANCIACION[[#This Row],[$ CAPITAL]]+FINANCIACION[[#This Row],[$ INTERESES]],0)</f>
        <v>1036000</v>
      </c>
    </row>
    <row r="776" spans="1:10" ht="24" hidden="1" customHeight="1" x14ac:dyDescent="0.3">
      <c r="A776" s="9">
        <v>44491</v>
      </c>
      <c r="B776" s="63" t="s">
        <v>204</v>
      </c>
      <c r="C776" s="7">
        <v>3783300</v>
      </c>
      <c r="D776" s="7"/>
      <c r="E776" s="7">
        <v>3783300</v>
      </c>
      <c r="F776" s="7">
        <v>1875220</v>
      </c>
      <c r="G776" s="66"/>
      <c r="H776" s="10"/>
      <c r="I776" s="7">
        <f>IF(FINANCIACION[[#This Row],[$ CAPITAL]]&gt;0,FINANCIACION[[#This Row],[$ CAPITAL]])</f>
        <v>3783300</v>
      </c>
      <c r="J776" s="41">
        <f>IF(FINANCIACION[[#This Row],[$ CAPITAL]]&gt;=0,FINANCIACION[[#This Row],[$ CAPITAL]]+FINANCIACION[[#This Row],[$ INTERESES]],0)</f>
        <v>3783300</v>
      </c>
    </row>
    <row r="777" spans="1:10" ht="24" hidden="1" customHeight="1" x14ac:dyDescent="0.3">
      <c r="A777" s="9">
        <v>44491</v>
      </c>
      <c r="B777" s="63" t="s">
        <v>204</v>
      </c>
      <c r="C777" s="7">
        <v>3783300</v>
      </c>
      <c r="D777" s="7"/>
      <c r="E777" s="7">
        <v>3783300</v>
      </c>
      <c r="F777" s="7">
        <v>1875220</v>
      </c>
      <c r="G777" s="66"/>
      <c r="H777" s="10"/>
      <c r="I777" s="7">
        <f>IF(FINANCIACION[[#This Row],[$ CAPITAL]]&gt;0,FINANCIACION[[#This Row],[$ CAPITAL]])</f>
        <v>3783300</v>
      </c>
      <c r="J777" s="41">
        <f>IF(FINANCIACION[[#This Row],[$ CAPITAL]]&gt;=0,FINANCIACION[[#This Row],[$ CAPITAL]]+FINANCIACION[[#This Row],[$ INTERESES]],0)</f>
        <v>3783300</v>
      </c>
    </row>
    <row r="778" spans="1:10" ht="24" hidden="1" customHeight="1" x14ac:dyDescent="0.3">
      <c r="A778" s="9">
        <v>44491</v>
      </c>
      <c r="B778" s="63" t="s">
        <v>205</v>
      </c>
      <c r="C778" s="7">
        <v>1000000</v>
      </c>
      <c r="D778" s="7"/>
      <c r="E778" s="7">
        <v>1000000</v>
      </c>
      <c r="F778" s="7">
        <v>-1108939</v>
      </c>
      <c r="G778" s="66"/>
      <c r="H778" s="10"/>
      <c r="I778" s="7">
        <f>IF(FINANCIACION[[#This Row],[$ CAPITAL]]&gt;0,FINANCIACION[[#This Row],[$ CAPITAL]])</f>
        <v>1000000</v>
      </c>
      <c r="J778" s="41">
        <f>IF(FINANCIACION[[#This Row],[$ CAPITAL]]&gt;=0,FINANCIACION[[#This Row],[$ CAPITAL]]+FINANCIACION[[#This Row],[$ INTERESES]],0)</f>
        <v>1000000</v>
      </c>
    </row>
    <row r="779" spans="1:10" ht="24" hidden="1" customHeight="1" x14ac:dyDescent="0.3">
      <c r="A779" s="9">
        <v>44500</v>
      </c>
      <c r="B779" s="63" t="s">
        <v>198</v>
      </c>
      <c r="C779" s="7">
        <v>369052.82999999076</v>
      </c>
      <c r="D779" s="7"/>
      <c r="E779" s="7">
        <v>369052.82999999076</v>
      </c>
      <c r="F779" s="7">
        <v>-65636342.670000009</v>
      </c>
      <c r="G779" s="66" t="s">
        <v>233</v>
      </c>
      <c r="H779" s="10"/>
      <c r="I779" s="7">
        <f>IF(FINANCIACION[[#This Row],[$ CAPITAL]]&gt;0,FINANCIACION[[#This Row],[$ CAPITAL]])</f>
        <v>369052.82999999076</v>
      </c>
      <c r="J779" s="41">
        <f>IF(FINANCIACION[[#This Row],[$ CAPITAL]]&gt;=0,FINANCIACION[[#This Row],[$ CAPITAL]]+FINANCIACION[[#This Row],[$ INTERESES]],0)</f>
        <v>369052.82999999076</v>
      </c>
    </row>
    <row r="780" spans="1:10" ht="24" hidden="1" customHeight="1" x14ac:dyDescent="0.3">
      <c r="A780" s="9">
        <v>44500</v>
      </c>
      <c r="B780" s="63" t="s">
        <v>297</v>
      </c>
      <c r="C780" s="7">
        <v>14983.929999999702</v>
      </c>
      <c r="D780" s="7"/>
      <c r="E780" s="7">
        <v>14983.929999999702</v>
      </c>
      <c r="F780" s="7">
        <v>-57673146.57</v>
      </c>
      <c r="G780" s="66" t="s">
        <v>233</v>
      </c>
      <c r="H780" s="10"/>
      <c r="I780" s="7">
        <f>IF(FINANCIACION[[#This Row],[$ CAPITAL]]&gt;0,FINANCIACION[[#This Row],[$ CAPITAL]])</f>
        <v>14983.929999999702</v>
      </c>
      <c r="J780" s="41">
        <f>IF(FINANCIACION[[#This Row],[$ CAPITAL]]&gt;=0,FINANCIACION[[#This Row],[$ CAPITAL]]+FINANCIACION[[#This Row],[$ INTERESES]],0)</f>
        <v>14983.929999999702</v>
      </c>
    </row>
    <row r="781" spans="1:10" ht="24" hidden="1" customHeight="1" x14ac:dyDescent="0.3">
      <c r="A781" s="9">
        <v>44500</v>
      </c>
      <c r="B781" s="63" t="s">
        <v>421</v>
      </c>
      <c r="C781" s="7">
        <v>5927.0300000011921</v>
      </c>
      <c r="D781" s="7"/>
      <c r="E781" s="7">
        <v>5927.0300000011921</v>
      </c>
      <c r="F781" s="7">
        <v>-22813138.469999999</v>
      </c>
      <c r="G781" s="66" t="s">
        <v>233</v>
      </c>
      <c r="H781" s="10"/>
      <c r="I781" s="7">
        <f>IF(FINANCIACION[[#This Row],[$ CAPITAL]]&gt;0,FINANCIACION[[#This Row],[$ CAPITAL]])</f>
        <v>5927.0300000011921</v>
      </c>
      <c r="J781" s="41">
        <f>IF(FINANCIACION[[#This Row],[$ CAPITAL]]&gt;=0,FINANCIACION[[#This Row],[$ CAPITAL]]+FINANCIACION[[#This Row],[$ INTERESES]],0)</f>
        <v>5927.0300000011921</v>
      </c>
    </row>
    <row r="782" spans="1:10" ht="24" hidden="1" customHeight="1" x14ac:dyDescent="0.3">
      <c r="A782" s="9">
        <v>44500</v>
      </c>
      <c r="B782" s="63" t="s">
        <v>543</v>
      </c>
      <c r="C782" s="7">
        <v>13687.689999997616</v>
      </c>
      <c r="D782" s="7"/>
      <c r="E782" s="7">
        <v>13687.689999997616</v>
      </c>
      <c r="F782" s="7">
        <v>-52683918.810000002</v>
      </c>
      <c r="G782" s="66" t="s">
        <v>233</v>
      </c>
      <c r="H782" s="10"/>
      <c r="I782" s="7">
        <f>IF(FINANCIACION[[#This Row],[$ CAPITAL]]&gt;0,FINANCIACION[[#This Row],[$ CAPITAL]])</f>
        <v>13687.689999997616</v>
      </c>
      <c r="J782" s="41">
        <f>IF(FINANCIACION[[#This Row],[$ CAPITAL]]&gt;=0,FINANCIACION[[#This Row],[$ CAPITAL]]+FINANCIACION[[#This Row],[$ INTERESES]],0)</f>
        <v>13687.689999997616</v>
      </c>
    </row>
    <row r="783" spans="1:10" ht="24" hidden="1" customHeight="1" x14ac:dyDescent="0.3">
      <c r="A783" s="9">
        <v>44500</v>
      </c>
      <c r="B783" s="63" t="s">
        <v>203</v>
      </c>
      <c r="C783" s="7">
        <v>-2886361</v>
      </c>
      <c r="D783" s="7"/>
      <c r="E783" s="7" t="s">
        <v>146</v>
      </c>
      <c r="F783" s="7">
        <v>0</v>
      </c>
      <c r="G783" s="66" t="s">
        <v>233</v>
      </c>
      <c r="H783" s="10"/>
      <c r="I783" s="7" t="b">
        <f>IF(FINANCIACION[[#This Row],[$ CAPITAL]]&gt;0,FINANCIACION[[#This Row],[$ CAPITAL]])</f>
        <v>0</v>
      </c>
      <c r="J783" s="41">
        <f>IF(FINANCIACION[[#This Row],[$ CAPITAL]]&gt;=0,FINANCIACION[[#This Row],[$ CAPITAL]]+FINANCIACION[[#This Row],[$ INTERESES]],0)</f>
        <v>0</v>
      </c>
    </row>
    <row r="784" spans="1:10" ht="24" hidden="1" customHeight="1" x14ac:dyDescent="0.3">
      <c r="A784" s="9">
        <v>44500</v>
      </c>
      <c r="B784" s="63" t="s">
        <v>204</v>
      </c>
      <c r="C784" s="7">
        <v>-1876641</v>
      </c>
      <c r="D784" s="7"/>
      <c r="E784" s="7" t="s">
        <v>146</v>
      </c>
      <c r="F784" s="7">
        <v>-1421</v>
      </c>
      <c r="G784" s="66" t="s">
        <v>233</v>
      </c>
      <c r="H784" s="10"/>
      <c r="I784" s="7" t="b">
        <f>IF(FINANCIACION[[#This Row],[$ CAPITAL]]&gt;0,FINANCIACION[[#This Row],[$ CAPITAL]])</f>
        <v>0</v>
      </c>
      <c r="J784" s="41">
        <f>IF(FINANCIACION[[#This Row],[$ CAPITAL]]&gt;=0,FINANCIACION[[#This Row],[$ CAPITAL]]+FINANCIACION[[#This Row],[$ INTERESES]],0)</f>
        <v>0</v>
      </c>
    </row>
    <row r="785" spans="1:10" ht="24" hidden="1" customHeight="1" x14ac:dyDescent="0.3">
      <c r="A785" s="9">
        <v>44500</v>
      </c>
      <c r="B785" s="63" t="s">
        <v>205</v>
      </c>
      <c r="C785" s="7">
        <v>141799</v>
      </c>
      <c r="D785" s="7"/>
      <c r="E785" s="7">
        <v>141799</v>
      </c>
      <c r="F785" s="7">
        <v>-967140</v>
      </c>
      <c r="G785" s="66" t="s">
        <v>233</v>
      </c>
      <c r="H785" s="10"/>
      <c r="I785" s="7">
        <f>IF(FINANCIACION[[#This Row],[$ CAPITAL]]&gt;0,FINANCIACION[[#This Row],[$ CAPITAL]])</f>
        <v>141799</v>
      </c>
      <c r="J785" s="41">
        <f>IF(FINANCIACION[[#This Row],[$ CAPITAL]]&gt;=0,FINANCIACION[[#This Row],[$ CAPITAL]]+FINANCIACION[[#This Row],[$ INTERESES]],0)</f>
        <v>141799</v>
      </c>
    </row>
    <row r="786" spans="1:10" ht="24" hidden="1" customHeight="1" x14ac:dyDescent="0.3">
      <c r="A786" s="9">
        <v>44502</v>
      </c>
      <c r="B786" s="63" t="s">
        <v>195</v>
      </c>
      <c r="C786" s="7">
        <v>1468400</v>
      </c>
      <c r="D786" s="7">
        <v>418397</v>
      </c>
      <c r="E786" s="7">
        <v>1886797</v>
      </c>
      <c r="F786" s="7">
        <v>-42583600</v>
      </c>
      <c r="G786" s="66"/>
      <c r="H786" s="10"/>
      <c r="I786" s="7">
        <f>IF(FINANCIACION[[#This Row],[$ CAPITAL]]&gt;0,FINANCIACION[[#This Row],[$ CAPITAL]])</f>
        <v>1468400</v>
      </c>
      <c r="J786" s="41">
        <f>IF(FINANCIACION[[#This Row],[$ CAPITAL]]&gt;=0,FINANCIACION[[#This Row],[$ CAPITAL]]+FINANCIACION[[#This Row],[$ INTERESES]],0)</f>
        <v>1886797</v>
      </c>
    </row>
    <row r="787" spans="1:10" ht="24" hidden="1" customHeight="1" x14ac:dyDescent="0.3">
      <c r="A787" s="9">
        <v>44502</v>
      </c>
      <c r="B787" s="63" t="s">
        <v>196</v>
      </c>
      <c r="C787" s="7">
        <v>76791</v>
      </c>
      <c r="D787" s="7"/>
      <c r="E787" s="7">
        <v>76791</v>
      </c>
      <c r="F787" s="7">
        <v>-2226939</v>
      </c>
      <c r="G787" s="66"/>
      <c r="H787" s="10"/>
      <c r="I787" s="7">
        <f>IF(FINANCIACION[[#This Row],[$ CAPITAL]]&gt;0,FINANCIACION[[#This Row],[$ CAPITAL]])</f>
        <v>76791</v>
      </c>
      <c r="J787" s="41">
        <f>IF(FINANCIACION[[#This Row],[$ CAPITAL]]&gt;=0,FINANCIACION[[#This Row],[$ CAPITAL]]+FINANCIACION[[#This Row],[$ INTERESES]],0)</f>
        <v>76791</v>
      </c>
    </row>
    <row r="788" spans="1:10" ht="24" hidden="1" customHeight="1" x14ac:dyDescent="0.3">
      <c r="A788" s="9">
        <v>44502</v>
      </c>
      <c r="B788" s="63" t="s">
        <v>204</v>
      </c>
      <c r="C788" s="7">
        <v>1892220</v>
      </c>
      <c r="D788" s="7"/>
      <c r="E788" s="7">
        <v>1892220</v>
      </c>
      <c r="F788" s="7">
        <v>1890799</v>
      </c>
      <c r="G788" s="66"/>
      <c r="H788" s="10"/>
      <c r="I788" s="7">
        <f>IF(FINANCIACION[[#This Row],[$ CAPITAL]]&gt;0,FINANCIACION[[#This Row],[$ CAPITAL]])</f>
        <v>1892220</v>
      </c>
      <c r="J788" s="41">
        <f>IF(FINANCIACION[[#This Row],[$ CAPITAL]]&gt;=0,FINANCIACION[[#This Row],[$ CAPITAL]]+FINANCIACION[[#This Row],[$ INTERESES]],0)</f>
        <v>1892220</v>
      </c>
    </row>
    <row r="789" spans="1:10" ht="24" hidden="1" customHeight="1" x14ac:dyDescent="0.3">
      <c r="A789" s="9">
        <v>44502</v>
      </c>
      <c r="B789" s="63" t="s">
        <v>205</v>
      </c>
      <c r="C789" s="7">
        <v>967140</v>
      </c>
      <c r="D789" s="7"/>
      <c r="E789" s="7">
        <v>967140</v>
      </c>
      <c r="F789" s="7">
        <v>0</v>
      </c>
      <c r="G789" s="66"/>
      <c r="H789" s="10"/>
      <c r="I789" s="7">
        <f>IF(FINANCIACION[[#This Row],[$ CAPITAL]]&gt;0,FINANCIACION[[#This Row],[$ CAPITAL]])</f>
        <v>967140</v>
      </c>
      <c r="J789" s="41">
        <f>IF(FINANCIACION[[#This Row],[$ CAPITAL]]&gt;=0,FINANCIACION[[#This Row],[$ CAPITAL]]+FINANCIACION[[#This Row],[$ INTERESES]],0)</f>
        <v>967140</v>
      </c>
    </row>
    <row r="790" spans="1:10" ht="24" hidden="1" customHeight="1" x14ac:dyDescent="0.3">
      <c r="A790" s="9">
        <v>44508</v>
      </c>
      <c r="B790" s="63" t="s">
        <v>199</v>
      </c>
      <c r="C790" s="7">
        <v>6326000</v>
      </c>
      <c r="D790" s="7">
        <v>197571.44</v>
      </c>
      <c r="E790" s="7">
        <v>6523571.4400000004</v>
      </c>
      <c r="F790" s="7">
        <v>-22367821.449999999</v>
      </c>
      <c r="G790" s="66"/>
      <c r="H790" s="10"/>
      <c r="I790" s="7">
        <f>IF(FINANCIACION[[#This Row],[$ CAPITAL]]&gt;0,FINANCIACION[[#This Row],[$ CAPITAL]])</f>
        <v>6326000</v>
      </c>
      <c r="J790" s="41">
        <f>IF(FINANCIACION[[#This Row],[$ CAPITAL]]&gt;=0,FINANCIACION[[#This Row],[$ CAPITAL]]+FINANCIACION[[#This Row],[$ INTERESES]],0)</f>
        <v>6523571.4400000004</v>
      </c>
    </row>
    <row r="791" spans="1:10" ht="24" hidden="1" customHeight="1" x14ac:dyDescent="0.3">
      <c r="A791" s="9">
        <v>44510</v>
      </c>
      <c r="B791" s="63" t="s">
        <v>1233</v>
      </c>
      <c r="C791" s="7"/>
      <c r="D791" s="7">
        <v>130000</v>
      </c>
      <c r="E791" s="7">
        <v>130000</v>
      </c>
      <c r="F791" s="7">
        <v>-13000000</v>
      </c>
      <c r="G791" s="66"/>
      <c r="H791" s="10"/>
      <c r="I791" s="7" t="b">
        <f>IF(FINANCIACION[[#This Row],[$ CAPITAL]]&gt;0,FINANCIACION[[#This Row],[$ CAPITAL]])</f>
        <v>0</v>
      </c>
      <c r="J791" s="41">
        <f>IF(FINANCIACION[[#This Row],[$ CAPITAL]]&gt;=0,FINANCIACION[[#This Row],[$ CAPITAL]]+FINANCIACION[[#This Row],[$ INTERESES]],0)</f>
        <v>130000</v>
      </c>
    </row>
    <row r="792" spans="1:10" ht="24" hidden="1" customHeight="1" x14ac:dyDescent="0.3">
      <c r="A792" s="9">
        <v>44510</v>
      </c>
      <c r="B792" s="63" t="s">
        <v>1237</v>
      </c>
      <c r="C792" s="7"/>
      <c r="D792" s="7">
        <v>400000</v>
      </c>
      <c r="E792" s="7">
        <v>400000</v>
      </c>
      <c r="F792" s="7">
        <v>-40000000</v>
      </c>
      <c r="G792" s="10"/>
      <c r="H792" s="10"/>
      <c r="I792" s="7" t="b">
        <f>IF(FINANCIACION[[#This Row],[$ CAPITAL]]&gt;0,FINANCIACION[[#This Row],[$ CAPITAL]])</f>
        <v>0</v>
      </c>
      <c r="J792" s="41">
        <f>IF(FINANCIACION[[#This Row],[$ CAPITAL]]&gt;=0,FINANCIACION[[#This Row],[$ CAPITAL]]+FINANCIACION[[#This Row],[$ INTERESES]],0)</f>
        <v>400000</v>
      </c>
    </row>
    <row r="793" spans="1:10" ht="24" hidden="1" customHeight="1" x14ac:dyDescent="0.3">
      <c r="A793" s="9">
        <v>44510</v>
      </c>
      <c r="B793" s="63" t="s">
        <v>1222</v>
      </c>
      <c r="C793" s="7">
        <v>1945723.4973951909</v>
      </c>
      <c r="D793" s="7">
        <v>731654.50260480714</v>
      </c>
      <c r="E793" s="7">
        <v>2677377.9999999981</v>
      </c>
      <c r="F793" s="7">
        <v>-71219726.763085529</v>
      </c>
      <c r="G793" s="66"/>
      <c r="H793" s="10"/>
      <c r="I793" s="7">
        <f>IF(FINANCIACION[[#This Row],[$ CAPITAL]]&gt;0,FINANCIACION[[#This Row],[$ CAPITAL]])</f>
        <v>1945723.4973951909</v>
      </c>
      <c r="J793" s="41">
        <f>IF(FINANCIACION[[#This Row],[$ CAPITAL]]&gt;=0,FINANCIACION[[#This Row],[$ CAPITAL]]+FINANCIACION[[#This Row],[$ INTERESES]],0)</f>
        <v>2677377.9999999981</v>
      </c>
    </row>
    <row r="794" spans="1:10" ht="24" hidden="1" customHeight="1" x14ac:dyDescent="0.3">
      <c r="A794" s="9">
        <v>44510</v>
      </c>
      <c r="B794" s="63" t="s">
        <v>1226</v>
      </c>
      <c r="C794" s="7">
        <v>749637</v>
      </c>
      <c r="D794" s="7">
        <v>550363</v>
      </c>
      <c r="E794" s="7">
        <v>1300000</v>
      </c>
      <c r="F794" s="7">
        <v>-54286659.180677854</v>
      </c>
      <c r="G794" s="66"/>
      <c r="H794" s="10"/>
      <c r="I794" s="7">
        <f>IF(FINANCIACION[[#This Row],[$ CAPITAL]]&gt;0,FINANCIACION[[#This Row],[$ CAPITAL]])</f>
        <v>749637</v>
      </c>
      <c r="J794" s="41">
        <f>IF(FINANCIACION[[#This Row],[$ CAPITAL]]&gt;=0,FINANCIACION[[#This Row],[$ CAPITAL]]+FINANCIACION[[#This Row],[$ INTERESES]],0)</f>
        <v>1300000</v>
      </c>
    </row>
    <row r="795" spans="1:10" ht="24" hidden="1" customHeight="1" x14ac:dyDescent="0.3">
      <c r="A795" s="9">
        <v>44510</v>
      </c>
      <c r="B795" s="63" t="s">
        <v>1223</v>
      </c>
      <c r="C795" s="7">
        <v>391508.45999999996</v>
      </c>
      <c r="D795" s="7">
        <v>608491.54</v>
      </c>
      <c r="E795" s="7">
        <v>1000000</v>
      </c>
      <c r="F795" s="7">
        <v>-70968073.707373023</v>
      </c>
      <c r="G795" s="66"/>
      <c r="H795" s="10"/>
      <c r="I795" s="7">
        <f>IF(FINANCIACION[[#This Row],[$ CAPITAL]]&gt;0,FINANCIACION[[#This Row],[$ CAPITAL]])</f>
        <v>391508.45999999996</v>
      </c>
      <c r="J795" s="41">
        <f>IF(FINANCIACION[[#This Row],[$ CAPITAL]]&gt;=0,FINANCIACION[[#This Row],[$ CAPITAL]]+FINANCIACION[[#This Row],[$ INTERESES]],0)</f>
        <v>1000000</v>
      </c>
    </row>
    <row r="796" spans="1:10" ht="24" hidden="1" customHeight="1" x14ac:dyDescent="0.3">
      <c r="A796" s="9">
        <v>44510</v>
      </c>
      <c r="B796" s="63" t="s">
        <v>1235</v>
      </c>
      <c r="C796" s="7"/>
      <c r="D796" s="7">
        <v>120000</v>
      </c>
      <c r="E796" s="7">
        <v>120000</v>
      </c>
      <c r="F796" s="7">
        <v>-12000000</v>
      </c>
      <c r="G796" s="66"/>
      <c r="H796" s="10"/>
      <c r="I796" s="7" t="b">
        <f>IF(FINANCIACION[[#This Row],[$ CAPITAL]]&gt;0,FINANCIACION[[#This Row],[$ CAPITAL]])</f>
        <v>0</v>
      </c>
      <c r="J796" s="41">
        <f>IF(FINANCIACION[[#This Row],[$ CAPITAL]]&gt;=0,FINANCIACION[[#This Row],[$ CAPITAL]]+FINANCIACION[[#This Row],[$ INTERESES]],0)</f>
        <v>120000</v>
      </c>
    </row>
    <row r="797" spans="1:10" ht="24" hidden="1" customHeight="1" x14ac:dyDescent="0.3">
      <c r="A797" s="9">
        <v>44510</v>
      </c>
      <c r="B797" s="63" t="s">
        <v>204</v>
      </c>
      <c r="C797" s="65">
        <v>2713802</v>
      </c>
      <c r="D797" s="7"/>
      <c r="E797" s="7">
        <v>2713802</v>
      </c>
      <c r="F797" s="7">
        <v>4604601</v>
      </c>
      <c r="G797" s="66"/>
      <c r="H797" s="10"/>
      <c r="I797" s="7">
        <f>IF(FINANCIACION[[#This Row],[$ CAPITAL]]&gt;0,FINANCIACION[[#This Row],[$ CAPITAL]])</f>
        <v>2713802</v>
      </c>
      <c r="J797" s="41">
        <f>IF(FINANCIACION[[#This Row],[$ CAPITAL]]&gt;=0,FINANCIACION[[#This Row],[$ CAPITAL]]+FINANCIACION[[#This Row],[$ INTERESES]],0)</f>
        <v>2713802</v>
      </c>
    </row>
    <row r="798" spans="1:10" ht="24" hidden="1" customHeight="1" x14ac:dyDescent="0.3">
      <c r="A798" s="9">
        <v>44516</v>
      </c>
      <c r="B798" s="63" t="s">
        <v>202</v>
      </c>
      <c r="C798" s="7"/>
      <c r="D798" s="7">
        <v>241004.17</v>
      </c>
      <c r="E798" s="7">
        <v>241004.17</v>
      </c>
      <c r="F798" s="7">
        <v>-35000000</v>
      </c>
      <c r="G798" s="66"/>
      <c r="H798" s="10"/>
      <c r="I798" s="7" t="b">
        <f>IF(FINANCIACION[[#This Row],[$ CAPITAL]]&gt;0,FINANCIACION[[#This Row],[$ CAPITAL]])</f>
        <v>0</v>
      </c>
      <c r="J798" s="41">
        <f>IF(FINANCIACION[[#This Row],[$ CAPITAL]]&gt;=0,FINANCIACION[[#This Row],[$ CAPITAL]]+FINANCIACION[[#This Row],[$ INTERESES]],0)</f>
        <v>241004.17</v>
      </c>
    </row>
    <row r="799" spans="1:10" ht="24" hidden="1" customHeight="1" x14ac:dyDescent="0.3">
      <c r="A799" s="9">
        <v>44518</v>
      </c>
      <c r="B799" s="63" t="s">
        <v>1224</v>
      </c>
      <c r="C799" s="7">
        <v>5143385</v>
      </c>
      <c r="D799" s="7">
        <v>835554</v>
      </c>
      <c r="E799" s="7">
        <v>5978939</v>
      </c>
      <c r="F799" s="7">
        <v>-323115759</v>
      </c>
      <c r="G799" s="66"/>
      <c r="H799" s="10"/>
      <c r="I799" s="7">
        <f>IF(FINANCIACION[[#This Row],[$ CAPITAL]]&gt;0,FINANCIACION[[#This Row],[$ CAPITAL]])</f>
        <v>5143385</v>
      </c>
      <c r="J799" s="41">
        <f>IF(FINANCIACION[[#This Row],[$ CAPITAL]]&gt;=0,FINANCIACION[[#This Row],[$ CAPITAL]]+FINANCIACION[[#This Row],[$ INTERESES]],0)</f>
        <v>5978939</v>
      </c>
    </row>
    <row r="800" spans="1:10" ht="24" hidden="1" customHeight="1" x14ac:dyDescent="0.3">
      <c r="A800" s="9">
        <v>44522</v>
      </c>
      <c r="B800" s="63" t="s">
        <v>1190</v>
      </c>
      <c r="C800" s="7">
        <v>-4500000</v>
      </c>
      <c r="D800" s="7"/>
      <c r="E800" s="7" t="s">
        <v>146</v>
      </c>
      <c r="F800" s="7">
        <v>-4500000</v>
      </c>
      <c r="G800" s="66" t="s">
        <v>628</v>
      </c>
      <c r="H800" s="10"/>
      <c r="I800" s="7" t="b">
        <f>IF(FINANCIACION[[#This Row],[$ CAPITAL]]&gt;0,FINANCIACION[[#This Row],[$ CAPITAL]])</f>
        <v>0</v>
      </c>
      <c r="J800" s="41">
        <f>IF(FINANCIACION[[#This Row],[$ CAPITAL]]&gt;=0,FINANCIACION[[#This Row],[$ CAPITAL]]+FINANCIACION[[#This Row],[$ INTERESES]],0)</f>
        <v>0</v>
      </c>
    </row>
    <row r="801" spans="1:10" ht="24" hidden="1" customHeight="1" x14ac:dyDescent="0.3">
      <c r="A801" s="9">
        <v>44523</v>
      </c>
      <c r="B801" s="63" t="s">
        <v>1225</v>
      </c>
      <c r="C801" s="7">
        <v>1423624.1700000018</v>
      </c>
      <c r="D801" s="7">
        <v>49375.829999998212</v>
      </c>
      <c r="E801" s="7">
        <v>1473000</v>
      </c>
      <c r="F801" s="7">
        <v>-21258869.339999985</v>
      </c>
      <c r="G801" s="66"/>
      <c r="H801" s="10"/>
      <c r="I801" s="7">
        <f>IF(FINANCIACION[[#This Row],[$ CAPITAL]]&gt;0,FINANCIACION[[#This Row],[$ CAPITAL]])</f>
        <v>1423624.1700000018</v>
      </c>
      <c r="J801" s="41">
        <f>IF(FINANCIACION[[#This Row],[$ CAPITAL]]&gt;=0,FINANCIACION[[#This Row],[$ CAPITAL]]+FINANCIACION[[#This Row],[$ INTERESES]],0)</f>
        <v>1473000</v>
      </c>
    </row>
    <row r="802" spans="1:10" ht="24" hidden="1" customHeight="1" x14ac:dyDescent="0.3">
      <c r="A802" s="9">
        <v>44523</v>
      </c>
      <c r="B802" s="63" t="s">
        <v>1236</v>
      </c>
      <c r="C802" s="7">
        <v>1179959.2800000012</v>
      </c>
      <c r="D802" s="7">
        <v>41040.719999998808</v>
      </c>
      <c r="E802" s="7">
        <v>1221000</v>
      </c>
      <c r="F802" s="7">
        <v>-18880535.100000001</v>
      </c>
      <c r="G802" s="66"/>
      <c r="H802" s="10"/>
      <c r="I802" s="7">
        <f>IF(FINANCIACION[[#This Row],[$ CAPITAL]]&gt;0,FINANCIACION[[#This Row],[$ CAPITAL]])</f>
        <v>1179959.2800000012</v>
      </c>
      <c r="J802" s="41">
        <f>IF(FINANCIACION[[#This Row],[$ CAPITAL]]&gt;=0,FINANCIACION[[#This Row],[$ CAPITAL]]+FINANCIACION[[#This Row],[$ INTERESES]],0)</f>
        <v>1221000</v>
      </c>
    </row>
    <row r="803" spans="1:10" ht="24" hidden="1" customHeight="1" x14ac:dyDescent="0.3">
      <c r="A803" s="9">
        <v>44523</v>
      </c>
      <c r="B803" s="63" t="s">
        <v>1228</v>
      </c>
      <c r="C803" s="7">
        <v>2390422.3299999982</v>
      </c>
      <c r="D803" s="7">
        <v>87577.670000001788</v>
      </c>
      <c r="E803" s="7">
        <v>2478000</v>
      </c>
      <c r="F803" s="7">
        <v>-40306835</v>
      </c>
      <c r="G803" s="66"/>
      <c r="H803" s="10"/>
      <c r="I803" s="7">
        <f>IF(FINANCIACION[[#This Row],[$ CAPITAL]]&gt;0,FINANCIACION[[#This Row],[$ CAPITAL]])</f>
        <v>2390422.3299999982</v>
      </c>
      <c r="J803" s="41">
        <f>IF(FINANCIACION[[#This Row],[$ CAPITAL]]&gt;=0,FINANCIACION[[#This Row],[$ CAPITAL]]+FINANCIACION[[#This Row],[$ INTERESES]],0)</f>
        <v>2478000</v>
      </c>
    </row>
    <row r="804" spans="1:10" ht="24" hidden="1" customHeight="1" x14ac:dyDescent="0.3">
      <c r="A804" s="9">
        <v>44523</v>
      </c>
      <c r="B804" s="63" t="s">
        <v>1229</v>
      </c>
      <c r="C804" s="7">
        <v>3505028.4600000009</v>
      </c>
      <c r="D804" s="7">
        <v>140971.53999999911</v>
      </c>
      <c r="E804" s="7">
        <v>3646000</v>
      </c>
      <c r="F804" s="7">
        <v>-58266664.57</v>
      </c>
      <c r="G804" s="66"/>
      <c r="H804" s="10"/>
      <c r="I804" s="7">
        <f>IF(FINANCIACION[[#This Row],[$ CAPITAL]]&gt;0,FINANCIACION[[#This Row],[$ CAPITAL]])</f>
        <v>3505028.4600000009</v>
      </c>
      <c r="J804" s="41">
        <f>IF(FINANCIACION[[#This Row],[$ CAPITAL]]&gt;=0,FINANCIACION[[#This Row],[$ CAPITAL]]+FINANCIACION[[#This Row],[$ INTERESES]],0)</f>
        <v>3646000</v>
      </c>
    </row>
    <row r="805" spans="1:10" ht="24" hidden="1" customHeight="1" x14ac:dyDescent="0.3">
      <c r="A805" s="9">
        <v>44523</v>
      </c>
      <c r="B805" s="63" t="s">
        <v>1230</v>
      </c>
      <c r="C805" s="7">
        <v>943294.1799999997</v>
      </c>
      <c r="D805" s="7">
        <v>37705.820000000298</v>
      </c>
      <c r="E805" s="7">
        <v>981000</v>
      </c>
      <c r="F805" s="7">
        <v>-16565250.450000007</v>
      </c>
      <c r="G805" s="66"/>
      <c r="H805" s="10"/>
      <c r="I805" s="7">
        <f>IF(FINANCIACION[[#This Row],[$ CAPITAL]]&gt;0,FINANCIACION[[#This Row],[$ CAPITAL]])</f>
        <v>943294.1799999997</v>
      </c>
      <c r="J805" s="41">
        <f>IF(FINANCIACION[[#This Row],[$ CAPITAL]]&gt;=0,FINANCIACION[[#This Row],[$ CAPITAL]]+FINANCIACION[[#This Row],[$ INTERESES]],0)</f>
        <v>981000</v>
      </c>
    </row>
    <row r="806" spans="1:10" ht="24" hidden="1" customHeight="1" x14ac:dyDescent="0.3">
      <c r="A806" s="9">
        <v>44523</v>
      </c>
      <c r="B806" s="63" t="s">
        <v>1232</v>
      </c>
      <c r="C806" s="7">
        <v>992530.51999999955</v>
      </c>
      <c r="D806" s="7">
        <v>41469.480000000447</v>
      </c>
      <c r="E806" s="7">
        <v>1034000</v>
      </c>
      <c r="F806" s="7">
        <v>-18250128.500000004</v>
      </c>
      <c r="G806" s="66"/>
      <c r="H806" s="10"/>
      <c r="I806" s="7">
        <f>IF(FINANCIACION[[#This Row],[$ CAPITAL]]&gt;0,FINANCIACION[[#This Row],[$ CAPITAL]])</f>
        <v>992530.51999999955</v>
      </c>
      <c r="J806" s="41">
        <f>IF(FINANCIACION[[#This Row],[$ CAPITAL]]&gt;=0,FINANCIACION[[#This Row],[$ CAPITAL]]+FINANCIACION[[#This Row],[$ INTERESES]],0)</f>
        <v>1034000</v>
      </c>
    </row>
    <row r="807" spans="1:10" ht="24" hidden="1" customHeight="1" x14ac:dyDescent="0.3">
      <c r="A807" s="9">
        <v>44525</v>
      </c>
      <c r="B807" s="63" t="s">
        <v>1238</v>
      </c>
      <c r="C807" s="7">
        <v>-80206729.879999995</v>
      </c>
      <c r="D807" s="7">
        <v>6148159.1900000004</v>
      </c>
      <c r="E807" s="7" t="s">
        <v>146</v>
      </c>
      <c r="F807" s="7">
        <v>-80206729.879999995</v>
      </c>
      <c r="G807" s="66" t="s">
        <v>632</v>
      </c>
      <c r="H807" s="10"/>
      <c r="I807" s="7" t="b">
        <f>IF(FINANCIACION[[#This Row],[$ CAPITAL]]&gt;0,FINANCIACION[[#This Row],[$ CAPITAL]])</f>
        <v>0</v>
      </c>
      <c r="J807" s="41">
        <f>IF(FINANCIACION[[#This Row],[$ CAPITAL]]&gt;=0,FINANCIACION[[#This Row],[$ CAPITAL]]+FINANCIACION[[#This Row],[$ INTERESES]],0)</f>
        <v>0</v>
      </c>
    </row>
    <row r="808" spans="1:10" ht="24" hidden="1" customHeight="1" x14ac:dyDescent="0.3">
      <c r="A808" s="9">
        <v>44525</v>
      </c>
      <c r="B808" s="63" t="s">
        <v>204</v>
      </c>
      <c r="C808" s="7">
        <v>9244400</v>
      </c>
      <c r="D808" s="7"/>
      <c r="E808" s="7">
        <v>9244400</v>
      </c>
      <c r="F808" s="7">
        <v>13849001</v>
      </c>
      <c r="G808" s="66"/>
      <c r="H808" s="10"/>
      <c r="I808" s="7">
        <f>IF(FINANCIACION[[#This Row],[$ CAPITAL]]&gt;0,FINANCIACION[[#This Row],[$ CAPITAL]])</f>
        <v>9244400</v>
      </c>
      <c r="J808" s="41">
        <f>IF(FINANCIACION[[#This Row],[$ CAPITAL]]&gt;=0,FINANCIACION[[#This Row],[$ CAPITAL]]+FINANCIACION[[#This Row],[$ INTERESES]],0)</f>
        <v>9244400</v>
      </c>
    </row>
    <row r="809" spans="1:10" ht="24" hidden="1" customHeight="1" x14ac:dyDescent="0.3">
      <c r="A809" s="9">
        <v>44530</v>
      </c>
      <c r="B809" s="63" t="s">
        <v>195</v>
      </c>
      <c r="C809" s="7">
        <v>1468400</v>
      </c>
      <c r="D809" s="7">
        <v>419971</v>
      </c>
      <c r="E809" s="7">
        <v>1888371</v>
      </c>
      <c r="F809" s="7">
        <v>-41115200</v>
      </c>
      <c r="G809" s="66"/>
      <c r="H809" s="10"/>
      <c r="I809" s="7">
        <f>IF(FINANCIACION[[#This Row],[$ CAPITAL]]&gt;0,FINANCIACION[[#This Row],[$ CAPITAL]])</f>
        <v>1468400</v>
      </c>
      <c r="J809" s="41">
        <f>IF(FINANCIACION[[#This Row],[$ CAPITAL]]&gt;=0,FINANCIACION[[#This Row],[$ CAPITAL]]+FINANCIACION[[#This Row],[$ INTERESES]],0)</f>
        <v>1888371</v>
      </c>
    </row>
    <row r="810" spans="1:10" ht="24" hidden="1" customHeight="1" x14ac:dyDescent="0.3">
      <c r="A810" s="9">
        <v>44530</v>
      </c>
      <c r="B810" s="63" t="s">
        <v>196</v>
      </c>
      <c r="C810" s="7">
        <v>76791</v>
      </c>
      <c r="D810" s="7"/>
      <c r="E810" s="7">
        <v>76791</v>
      </c>
      <c r="F810" s="7">
        <v>-2150148</v>
      </c>
      <c r="G810" s="66"/>
      <c r="H810" s="10"/>
      <c r="I810" s="7">
        <f>IF(FINANCIACION[[#This Row],[$ CAPITAL]]&gt;0,FINANCIACION[[#This Row],[$ CAPITAL]])</f>
        <v>76791</v>
      </c>
      <c r="J810" s="41">
        <f>IF(FINANCIACION[[#This Row],[$ CAPITAL]]&gt;=0,FINANCIACION[[#This Row],[$ CAPITAL]]+FINANCIACION[[#This Row],[$ INTERESES]],0)</f>
        <v>76791</v>
      </c>
    </row>
    <row r="811" spans="1:10" ht="24" hidden="1" customHeight="1" x14ac:dyDescent="0.3">
      <c r="A811" s="9">
        <v>44530</v>
      </c>
      <c r="B811" s="63" t="s">
        <v>198</v>
      </c>
      <c r="C811" s="7">
        <v>-1637071.6799999997</v>
      </c>
      <c r="D811" s="7"/>
      <c r="E811" s="7" t="s">
        <v>146</v>
      </c>
      <c r="F811" s="7">
        <v>-67273414.350000009</v>
      </c>
      <c r="G811" s="66"/>
      <c r="H811" s="10"/>
      <c r="I811" s="7" t="b">
        <f>IF(FINANCIACION[[#This Row],[$ CAPITAL]]&gt;0,FINANCIACION[[#This Row],[$ CAPITAL]])</f>
        <v>0</v>
      </c>
      <c r="J811" s="41">
        <f>IF(FINANCIACION[[#This Row],[$ CAPITAL]]&gt;=0,FINANCIACION[[#This Row],[$ CAPITAL]]+FINANCIACION[[#This Row],[$ INTERESES]],0)</f>
        <v>0</v>
      </c>
    </row>
    <row r="812" spans="1:10" ht="24" hidden="1" customHeight="1" x14ac:dyDescent="0.3">
      <c r="A812" s="9">
        <v>44530</v>
      </c>
      <c r="B812" s="63" t="s">
        <v>297</v>
      </c>
      <c r="C812" s="7">
        <v>-1438457.2800000012</v>
      </c>
      <c r="D812" s="7"/>
      <c r="E812" s="7" t="s">
        <v>146</v>
      </c>
      <c r="F812" s="7">
        <v>-59111603.850000001</v>
      </c>
      <c r="G812" s="66"/>
      <c r="H812" s="10"/>
      <c r="I812" s="7" t="b">
        <f>IF(FINANCIACION[[#This Row],[$ CAPITAL]]&gt;0,FINANCIACION[[#This Row],[$ CAPITAL]])</f>
        <v>0</v>
      </c>
      <c r="J812" s="41">
        <f>IF(FINANCIACION[[#This Row],[$ CAPITAL]]&gt;=0,FINANCIACION[[#This Row],[$ CAPITAL]]+FINANCIACION[[#This Row],[$ INTERESES]],0)</f>
        <v>0</v>
      </c>
    </row>
    <row r="813" spans="1:10" ht="24" hidden="1" customHeight="1" x14ac:dyDescent="0.3">
      <c r="A813" s="9">
        <v>44530</v>
      </c>
      <c r="B813" s="63" t="s">
        <v>421</v>
      </c>
      <c r="C813" s="7">
        <v>-568994.87999999896</v>
      </c>
      <c r="D813" s="7"/>
      <c r="E813" s="7" t="s">
        <v>146</v>
      </c>
      <c r="F813" s="7">
        <v>-23382133.349999998</v>
      </c>
      <c r="G813" s="66"/>
      <c r="H813" s="10"/>
      <c r="I813" s="7" t="b">
        <f>IF(FINANCIACION[[#This Row],[$ CAPITAL]]&gt;0,FINANCIACION[[#This Row],[$ CAPITAL]])</f>
        <v>0</v>
      </c>
      <c r="J813" s="41">
        <f>IF(FINANCIACION[[#This Row],[$ CAPITAL]]&gt;=0,FINANCIACION[[#This Row],[$ CAPITAL]]+FINANCIACION[[#This Row],[$ INTERESES]],0)</f>
        <v>0</v>
      </c>
    </row>
    <row r="814" spans="1:10" ht="24" hidden="1" customHeight="1" x14ac:dyDescent="0.3">
      <c r="A814" s="9">
        <v>44530</v>
      </c>
      <c r="B814" s="63" t="s">
        <v>543</v>
      </c>
      <c r="C814" s="7">
        <v>-1314018.2400000021</v>
      </c>
      <c r="D814" s="7"/>
      <c r="E814" s="7" t="s">
        <v>146</v>
      </c>
      <c r="F814" s="7">
        <v>-53997937.050000004</v>
      </c>
      <c r="G814" s="66"/>
      <c r="H814" s="10"/>
      <c r="I814" s="7" t="b">
        <f>IF(FINANCIACION[[#This Row],[$ CAPITAL]]&gt;0,FINANCIACION[[#This Row],[$ CAPITAL]])</f>
        <v>0</v>
      </c>
      <c r="J814" s="41">
        <f>IF(FINANCIACION[[#This Row],[$ CAPITAL]]&gt;=0,FINANCIACION[[#This Row],[$ CAPITAL]]+FINANCIACION[[#This Row],[$ INTERESES]],0)</f>
        <v>0</v>
      </c>
    </row>
    <row r="815" spans="1:10" ht="24" hidden="1" customHeight="1" x14ac:dyDescent="0.3">
      <c r="A815" s="9">
        <v>44530</v>
      </c>
      <c r="B815" s="63" t="s">
        <v>199</v>
      </c>
      <c r="C815" s="7">
        <v>-41304.550000000745</v>
      </c>
      <c r="D815" s="7"/>
      <c r="E815" s="7" t="s">
        <v>146</v>
      </c>
      <c r="F815" s="7">
        <v>-22409126</v>
      </c>
      <c r="G815" s="66" t="s">
        <v>233</v>
      </c>
      <c r="H815" s="10"/>
      <c r="I815" s="7" t="b">
        <f>IF(FINANCIACION[[#This Row],[$ CAPITAL]]&gt;0,FINANCIACION[[#This Row],[$ CAPITAL]])</f>
        <v>0</v>
      </c>
      <c r="J815" s="41">
        <f>IF(FINANCIACION[[#This Row],[$ CAPITAL]]&gt;=0,FINANCIACION[[#This Row],[$ CAPITAL]]+FINANCIACION[[#This Row],[$ INTERESES]],0)</f>
        <v>0</v>
      </c>
    </row>
    <row r="816" spans="1:10" ht="24" hidden="1" customHeight="1" x14ac:dyDescent="0.3">
      <c r="A816" s="9">
        <v>44530</v>
      </c>
      <c r="B816" s="63" t="s">
        <v>203</v>
      </c>
      <c r="C816" s="7">
        <v>568232</v>
      </c>
      <c r="D816" s="7"/>
      <c r="E816" s="7">
        <v>568232</v>
      </c>
      <c r="F816" s="7">
        <v>0</v>
      </c>
      <c r="G816" s="10"/>
      <c r="H816" s="10"/>
      <c r="I816" s="7">
        <f>IF(FINANCIACION[[#This Row],[$ CAPITAL]]&gt;0,FINANCIACION[[#This Row],[$ CAPITAL]])</f>
        <v>568232</v>
      </c>
      <c r="J816" s="41">
        <f>IF(FINANCIACION[[#This Row],[$ CAPITAL]]&gt;=0,FINANCIACION[[#This Row],[$ CAPITAL]]+FINANCIACION[[#This Row],[$ INTERESES]],0)</f>
        <v>568232</v>
      </c>
    </row>
    <row r="817" spans="1:10" ht="24" hidden="1" customHeight="1" x14ac:dyDescent="0.3">
      <c r="A817" s="9">
        <v>44530</v>
      </c>
      <c r="B817" s="63" t="s">
        <v>203</v>
      </c>
      <c r="C817" s="7">
        <v>-568232</v>
      </c>
      <c r="D817" s="7"/>
      <c r="E817" s="7" t="s">
        <v>146</v>
      </c>
      <c r="F817" s="7">
        <v>0</v>
      </c>
      <c r="G817" s="66" t="s">
        <v>233</v>
      </c>
      <c r="H817" s="10"/>
      <c r="I817" s="7" t="b">
        <f>IF(FINANCIACION[[#This Row],[$ CAPITAL]]&gt;0,FINANCIACION[[#This Row],[$ CAPITAL]])</f>
        <v>0</v>
      </c>
      <c r="J817" s="41">
        <f>IF(FINANCIACION[[#This Row],[$ CAPITAL]]&gt;=0,FINANCIACION[[#This Row],[$ CAPITAL]]+FINANCIACION[[#This Row],[$ INTERESES]],0)</f>
        <v>0</v>
      </c>
    </row>
    <row r="818" spans="1:10" ht="24" hidden="1" customHeight="1" x14ac:dyDescent="0.3">
      <c r="A818" s="9">
        <v>44530</v>
      </c>
      <c r="B818" s="63" t="s">
        <v>204</v>
      </c>
      <c r="C818" s="7">
        <v>-42540986</v>
      </c>
      <c r="D818" s="7"/>
      <c r="E818" s="7" t="s">
        <v>146</v>
      </c>
      <c r="F818" s="7">
        <v>-28691985</v>
      </c>
      <c r="G818" s="66" t="s">
        <v>233</v>
      </c>
      <c r="H818" s="10"/>
      <c r="I818" s="7" t="b">
        <f>IF(FINANCIACION[[#This Row],[$ CAPITAL]]&gt;0,FINANCIACION[[#This Row],[$ CAPITAL]])</f>
        <v>0</v>
      </c>
      <c r="J818" s="41">
        <f>IF(FINANCIACION[[#This Row],[$ CAPITAL]]&gt;=0,FINANCIACION[[#This Row],[$ CAPITAL]]+FINANCIACION[[#This Row],[$ INTERESES]],0)</f>
        <v>0</v>
      </c>
    </row>
    <row r="819" spans="1:10" ht="24" hidden="1" customHeight="1" x14ac:dyDescent="0.3">
      <c r="A819" s="9">
        <v>44530</v>
      </c>
      <c r="B819" s="63" t="s">
        <v>205</v>
      </c>
      <c r="C819" s="7">
        <v>-454357</v>
      </c>
      <c r="D819" s="7"/>
      <c r="E819" s="7" t="s">
        <v>146</v>
      </c>
      <c r="F819" s="7">
        <v>-454357</v>
      </c>
      <c r="G819" s="66" t="s">
        <v>233</v>
      </c>
      <c r="H819" s="10"/>
      <c r="I819" s="7" t="b">
        <f>IF(FINANCIACION[[#This Row],[$ CAPITAL]]&gt;0,FINANCIACION[[#This Row],[$ CAPITAL]])</f>
        <v>0</v>
      </c>
      <c r="J819" s="41">
        <f>IF(FINANCIACION[[#This Row],[$ CAPITAL]]&gt;=0,FINANCIACION[[#This Row],[$ CAPITAL]]+FINANCIACION[[#This Row],[$ INTERESES]],0)</f>
        <v>0</v>
      </c>
    </row>
    <row r="820" spans="1:10" ht="24" hidden="1" customHeight="1" x14ac:dyDescent="0.3">
      <c r="A820" s="9">
        <v>44531</v>
      </c>
      <c r="B820" s="63" t="s">
        <v>1239</v>
      </c>
      <c r="C820" s="7">
        <v>-30000000</v>
      </c>
      <c r="D820" s="7"/>
      <c r="E820" s="7" t="s">
        <v>146</v>
      </c>
      <c r="F820" s="7">
        <v>-30000000</v>
      </c>
      <c r="G820" s="66"/>
      <c r="H820" s="10"/>
      <c r="I820" s="7" t="b">
        <f>IF(FINANCIACION[[#This Row],[$ CAPITAL]]&gt;0,FINANCIACION[[#This Row],[$ CAPITAL]])</f>
        <v>0</v>
      </c>
      <c r="J820" s="41">
        <f>IF(FINANCIACION[[#This Row],[$ CAPITAL]]&gt;=0,FINANCIACION[[#This Row],[$ CAPITAL]]+FINANCIACION[[#This Row],[$ INTERESES]],0)</f>
        <v>0</v>
      </c>
    </row>
    <row r="821" spans="1:10" ht="24" hidden="1" customHeight="1" x14ac:dyDescent="0.3">
      <c r="A821" s="9">
        <v>44531</v>
      </c>
      <c r="B821" s="63" t="s">
        <v>198</v>
      </c>
      <c r="C821" s="7">
        <v>30376000</v>
      </c>
      <c r="D821" s="7"/>
      <c r="E821" s="7">
        <v>30376000</v>
      </c>
      <c r="F821" s="7">
        <v>-1637071.68</v>
      </c>
      <c r="G821" s="66"/>
      <c r="H821" s="10">
        <v>8000</v>
      </c>
      <c r="I821" s="7">
        <f>IF(FINANCIACION[[#This Row],[$ CAPITAL]]&gt;0,FINANCIACION[[#This Row],[$ CAPITAL]])</f>
        <v>30376000</v>
      </c>
      <c r="J821" s="41">
        <f>IF(FINANCIACION[[#This Row],[$ CAPITAL]]&gt;=0,FINANCIACION[[#This Row],[$ CAPITAL]]+FINANCIACION[[#This Row],[$ INTERESES]],0)</f>
        <v>30376000</v>
      </c>
    </row>
    <row r="822" spans="1:10" ht="24" hidden="1" customHeight="1" x14ac:dyDescent="0.3">
      <c r="A822" s="9">
        <v>44531</v>
      </c>
      <c r="B822" s="63" t="s">
        <v>198</v>
      </c>
      <c r="C822" s="7">
        <v>35817522</v>
      </c>
      <c r="D822" s="7"/>
      <c r="E822" s="7">
        <v>35817522</v>
      </c>
      <c r="F822" s="7">
        <v>-1637071.68</v>
      </c>
      <c r="G822" s="66"/>
      <c r="H822" s="10">
        <v>9052.83</v>
      </c>
      <c r="I822" s="7">
        <f>IF(FINANCIACION[[#This Row],[$ CAPITAL]]&gt;0,FINANCIACION[[#This Row],[$ CAPITAL]])</f>
        <v>35817522</v>
      </c>
      <c r="J822" s="41">
        <f>IF(FINANCIACION[[#This Row],[$ CAPITAL]]&gt;=0,FINANCIACION[[#This Row],[$ CAPITAL]]+FINANCIACION[[#This Row],[$ INTERESES]],0)</f>
        <v>35817522</v>
      </c>
    </row>
    <row r="823" spans="1:10" ht="24" hidden="1" customHeight="1" x14ac:dyDescent="0.3">
      <c r="A823" s="9">
        <v>44531</v>
      </c>
      <c r="B823" s="63" t="s">
        <v>198</v>
      </c>
      <c r="C823" s="65">
        <v>-557179.32999999099</v>
      </c>
      <c r="D823" s="7"/>
      <c r="E823" s="7" t="s">
        <v>146</v>
      </c>
      <c r="F823" s="7">
        <v>-1637071.68</v>
      </c>
      <c r="G823" s="66" t="s">
        <v>233</v>
      </c>
      <c r="H823" s="10"/>
      <c r="I823" s="7" t="b">
        <f>IF(FINANCIACION[[#This Row],[$ CAPITAL]]&gt;0,FINANCIACION[[#This Row],[$ CAPITAL]])</f>
        <v>0</v>
      </c>
      <c r="J823" s="41">
        <f>IF(FINANCIACION[[#This Row],[$ CAPITAL]]&gt;=0,FINANCIACION[[#This Row],[$ CAPITAL]]+FINANCIACION[[#This Row],[$ INTERESES]],0)</f>
        <v>0</v>
      </c>
    </row>
    <row r="824" spans="1:10" ht="24" hidden="1" customHeight="1" x14ac:dyDescent="0.3">
      <c r="A824" s="9">
        <v>44536</v>
      </c>
      <c r="B824" s="63" t="s">
        <v>197</v>
      </c>
      <c r="C824" s="7"/>
      <c r="D824" s="7">
        <v>373314</v>
      </c>
      <c r="E824" s="7">
        <v>373314</v>
      </c>
      <c r="F824" s="7">
        <v>0</v>
      </c>
      <c r="G824" s="66"/>
      <c r="H824" s="10"/>
      <c r="I824" s="7" t="b">
        <f>IF(FINANCIACION[[#This Row],[$ CAPITAL]]&gt;0,FINANCIACION[[#This Row],[$ CAPITAL]])</f>
        <v>0</v>
      </c>
      <c r="J824" s="41">
        <f>IF(FINANCIACION[[#This Row],[$ CAPITAL]]&gt;=0,FINANCIACION[[#This Row],[$ CAPITAL]]+FINANCIACION[[#This Row],[$ INTERESES]],0)</f>
        <v>373314</v>
      </c>
    </row>
    <row r="825" spans="1:10" ht="24" hidden="1" customHeight="1" x14ac:dyDescent="0.3">
      <c r="A825" s="9">
        <v>44536</v>
      </c>
      <c r="B825" s="63" t="s">
        <v>204</v>
      </c>
      <c r="C825" s="7">
        <v>11844990</v>
      </c>
      <c r="D825" s="7"/>
      <c r="E825" s="7">
        <v>11844990</v>
      </c>
      <c r="F825" s="7">
        <v>-16846995</v>
      </c>
      <c r="G825" s="66"/>
      <c r="H825" s="10"/>
      <c r="I825" s="7">
        <f>IF(FINANCIACION[[#This Row],[$ CAPITAL]]&gt;0,FINANCIACION[[#This Row],[$ CAPITAL]])</f>
        <v>11844990</v>
      </c>
      <c r="J825" s="41">
        <f>IF(FINANCIACION[[#This Row],[$ CAPITAL]]&gt;=0,FINANCIACION[[#This Row],[$ CAPITAL]]+FINANCIACION[[#This Row],[$ INTERESES]],0)</f>
        <v>11844990</v>
      </c>
    </row>
    <row r="826" spans="1:10" ht="24" hidden="1" customHeight="1" x14ac:dyDescent="0.3">
      <c r="A826" s="9">
        <v>44536</v>
      </c>
      <c r="B826" s="63" t="s">
        <v>205</v>
      </c>
      <c r="C826" s="7">
        <v>454357</v>
      </c>
      <c r="D826" s="7"/>
      <c r="E826" s="7">
        <v>454357</v>
      </c>
      <c r="F826" s="7">
        <v>0</v>
      </c>
      <c r="G826" s="66"/>
      <c r="H826" s="10"/>
      <c r="I826" s="7">
        <f>IF(FINANCIACION[[#This Row],[$ CAPITAL]]&gt;0,FINANCIACION[[#This Row],[$ CAPITAL]])</f>
        <v>454357</v>
      </c>
      <c r="J826" s="41">
        <f>IF(FINANCIACION[[#This Row],[$ CAPITAL]]&gt;=0,FINANCIACION[[#This Row],[$ CAPITAL]]+FINANCIACION[[#This Row],[$ INTERESES]],0)</f>
        <v>454357</v>
      </c>
    </row>
    <row r="827" spans="1:10" ht="24" hidden="1" customHeight="1" x14ac:dyDescent="0.3">
      <c r="A827" s="9">
        <v>44537</v>
      </c>
      <c r="B827" s="63" t="s">
        <v>199</v>
      </c>
      <c r="C827" s="7">
        <v>6326000</v>
      </c>
      <c r="D827" s="7">
        <v>164148.5700000003</v>
      </c>
      <c r="E827" s="7">
        <v>6490148.5700000003</v>
      </c>
      <c r="F827" s="7">
        <v>-16083126</v>
      </c>
      <c r="G827" s="66"/>
      <c r="H827" s="10"/>
      <c r="I827" s="7">
        <f>IF(FINANCIACION[[#This Row],[$ CAPITAL]]&gt;0,FINANCIACION[[#This Row],[$ CAPITAL]])</f>
        <v>6326000</v>
      </c>
      <c r="J827" s="41">
        <f>IF(FINANCIACION[[#This Row],[$ CAPITAL]]&gt;=0,FINANCIACION[[#This Row],[$ CAPITAL]]+FINANCIACION[[#This Row],[$ INTERESES]],0)</f>
        <v>6490148.5700000003</v>
      </c>
    </row>
    <row r="828" spans="1:10" ht="24" hidden="1" customHeight="1" x14ac:dyDescent="0.3">
      <c r="A828" s="9">
        <v>44539</v>
      </c>
      <c r="B828" s="63" t="s">
        <v>1233</v>
      </c>
      <c r="C828" s="7"/>
      <c r="D828" s="7">
        <v>130000</v>
      </c>
      <c r="E828" s="7">
        <v>130000</v>
      </c>
      <c r="F828" s="7">
        <v>-13000000</v>
      </c>
      <c r="G828" s="66"/>
      <c r="H828" s="10"/>
      <c r="I828" s="7" t="b">
        <f>IF(FINANCIACION[[#This Row],[$ CAPITAL]]&gt;0,FINANCIACION[[#This Row],[$ CAPITAL]])</f>
        <v>0</v>
      </c>
      <c r="J828" s="41">
        <f>IF(FINANCIACION[[#This Row],[$ CAPITAL]]&gt;=0,FINANCIACION[[#This Row],[$ CAPITAL]]+FINANCIACION[[#This Row],[$ INTERESES]],0)</f>
        <v>130000</v>
      </c>
    </row>
    <row r="829" spans="1:10" ht="24" hidden="1" customHeight="1" x14ac:dyDescent="0.3">
      <c r="A829" s="9">
        <v>44539</v>
      </c>
      <c r="B829" s="63" t="s">
        <v>1237</v>
      </c>
      <c r="C829" s="7"/>
      <c r="D829" s="7">
        <v>400000</v>
      </c>
      <c r="E829" s="7">
        <v>400000</v>
      </c>
      <c r="F829" s="7">
        <v>-40000000</v>
      </c>
      <c r="G829" s="66"/>
      <c r="H829" s="10"/>
      <c r="I829" s="7" t="b">
        <f>IF(FINANCIACION[[#This Row],[$ CAPITAL]]&gt;0,FINANCIACION[[#This Row],[$ CAPITAL]])</f>
        <v>0</v>
      </c>
      <c r="J829" s="41">
        <f>IF(FINANCIACION[[#This Row],[$ CAPITAL]]&gt;=0,FINANCIACION[[#This Row],[$ CAPITAL]]+FINANCIACION[[#This Row],[$ INTERESES]],0)</f>
        <v>400000</v>
      </c>
    </row>
    <row r="830" spans="1:10" ht="24" hidden="1" customHeight="1" x14ac:dyDescent="0.3">
      <c r="A830" s="9">
        <v>44539</v>
      </c>
      <c r="B830" s="63" t="s">
        <v>1222</v>
      </c>
      <c r="C830" s="7">
        <v>1965180.7323691447</v>
      </c>
      <c r="D830" s="7">
        <v>712197.26763085532</v>
      </c>
      <c r="E830" s="7">
        <v>2677378</v>
      </c>
      <c r="F830" s="7">
        <v>-69254546.030716389</v>
      </c>
      <c r="G830" s="66"/>
      <c r="H830" s="10"/>
      <c r="I830" s="7">
        <f>IF(FINANCIACION[[#This Row],[$ CAPITAL]]&gt;0,FINANCIACION[[#This Row],[$ CAPITAL]])</f>
        <v>1965180.7323691447</v>
      </c>
      <c r="J830" s="41">
        <f>IF(FINANCIACION[[#This Row],[$ CAPITAL]]&gt;=0,FINANCIACION[[#This Row],[$ CAPITAL]]+FINANCIACION[[#This Row],[$ INTERESES]],0)</f>
        <v>2677378</v>
      </c>
    </row>
    <row r="831" spans="1:10" ht="24" hidden="1" customHeight="1" x14ac:dyDescent="0.3">
      <c r="A831" s="9">
        <v>44539</v>
      </c>
      <c r="B831" s="63" t="s">
        <v>1226</v>
      </c>
      <c r="C831" s="7">
        <v>757133.40857515368</v>
      </c>
      <c r="D831" s="7">
        <v>542866.59142484632</v>
      </c>
      <c r="E831" s="7">
        <v>1300000</v>
      </c>
      <c r="F831" s="7">
        <v>-53529525.772102699</v>
      </c>
      <c r="G831" s="66"/>
      <c r="H831" s="10"/>
      <c r="I831" s="7">
        <f>IF(FINANCIACION[[#This Row],[$ CAPITAL]]&gt;0,FINANCIACION[[#This Row],[$ CAPITAL]])</f>
        <v>757133.40857515368</v>
      </c>
      <c r="J831" s="41">
        <f>IF(FINANCIACION[[#This Row],[$ CAPITAL]]&gt;=0,FINANCIACION[[#This Row],[$ CAPITAL]]+FINANCIACION[[#This Row],[$ INTERESES]],0)</f>
        <v>1300000</v>
      </c>
    </row>
    <row r="832" spans="1:10" ht="24" hidden="1" customHeight="1" x14ac:dyDescent="0.3">
      <c r="A832" s="9">
        <v>44539</v>
      </c>
      <c r="B832" s="63" t="s">
        <v>1223</v>
      </c>
      <c r="C832" s="7">
        <v>491268.22010953247</v>
      </c>
      <c r="D832" s="7">
        <v>708731.77989046753</v>
      </c>
      <c r="E832" s="7">
        <v>1200000</v>
      </c>
      <c r="F832" s="7">
        <v>-70476805.487263486</v>
      </c>
      <c r="G832" s="66"/>
      <c r="H832" s="10"/>
      <c r="I832" s="7">
        <f>IF(FINANCIACION[[#This Row],[$ CAPITAL]]&gt;0,FINANCIACION[[#This Row],[$ CAPITAL]])</f>
        <v>491268.22010953247</v>
      </c>
      <c r="J832" s="41">
        <f>IF(FINANCIACION[[#This Row],[$ CAPITAL]]&gt;=0,FINANCIACION[[#This Row],[$ CAPITAL]]+FINANCIACION[[#This Row],[$ INTERESES]],0)</f>
        <v>1200000</v>
      </c>
    </row>
    <row r="833" spans="1:10" ht="24" hidden="1" customHeight="1" x14ac:dyDescent="0.3">
      <c r="A833" s="9">
        <v>44539</v>
      </c>
      <c r="B833" s="63" t="s">
        <v>1235</v>
      </c>
      <c r="C833" s="7"/>
      <c r="D833" s="7">
        <v>120000</v>
      </c>
      <c r="E833" s="7">
        <v>120000</v>
      </c>
      <c r="F833" s="7">
        <v>-12000000</v>
      </c>
      <c r="G833" s="66"/>
      <c r="H833" s="10"/>
      <c r="I833" s="7" t="b">
        <f>IF(FINANCIACION[[#This Row],[$ CAPITAL]]&gt;0,FINANCIACION[[#This Row],[$ CAPITAL]])</f>
        <v>0</v>
      </c>
      <c r="J833" s="41">
        <f>IF(FINANCIACION[[#This Row],[$ CAPITAL]]&gt;=0,FINANCIACION[[#This Row],[$ CAPITAL]]+FINANCIACION[[#This Row],[$ INTERESES]],0)</f>
        <v>120000</v>
      </c>
    </row>
    <row r="834" spans="1:10" ht="24" hidden="1" customHeight="1" x14ac:dyDescent="0.3">
      <c r="A834" s="9">
        <v>44544</v>
      </c>
      <c r="B834" s="63" t="s">
        <v>1224</v>
      </c>
      <c r="C834" s="7">
        <v>4796627</v>
      </c>
      <c r="D834" s="7">
        <v>1182312</v>
      </c>
      <c r="E834" s="7">
        <v>5978939</v>
      </c>
      <c r="F834" s="7">
        <v>-318319132</v>
      </c>
      <c r="G834" s="66"/>
      <c r="H834" s="10"/>
      <c r="I834" s="7">
        <f>IF(FINANCIACION[[#This Row],[$ CAPITAL]]&gt;0,FINANCIACION[[#This Row],[$ CAPITAL]])</f>
        <v>4796627</v>
      </c>
      <c r="J834" s="41">
        <f>IF(FINANCIACION[[#This Row],[$ CAPITAL]]&gt;=0,FINANCIACION[[#This Row],[$ CAPITAL]]+FINANCIACION[[#This Row],[$ INTERESES]],0)</f>
        <v>5978939</v>
      </c>
    </row>
    <row r="835" spans="1:10" ht="24" hidden="1" customHeight="1" x14ac:dyDescent="0.3">
      <c r="A835" s="9">
        <v>44544</v>
      </c>
      <c r="B835" s="63" t="s">
        <v>1225</v>
      </c>
      <c r="C835" s="7">
        <v>1419187.6499999985</v>
      </c>
      <c r="D835" s="7">
        <v>51812.35000000149</v>
      </c>
      <c r="E835" s="7">
        <v>1471000</v>
      </c>
      <c r="F835" s="7">
        <v>-19839681.689999986</v>
      </c>
      <c r="G835" s="66"/>
      <c r="H835" s="10"/>
      <c r="I835" s="7">
        <f>IF(FINANCIACION[[#This Row],[$ CAPITAL]]&gt;0,FINANCIACION[[#This Row],[$ CAPITAL]])</f>
        <v>1419187.6499999985</v>
      </c>
      <c r="J835" s="41">
        <f>IF(FINANCIACION[[#This Row],[$ CAPITAL]]&gt;=0,FINANCIACION[[#This Row],[$ CAPITAL]]+FINANCIACION[[#This Row],[$ INTERESES]],0)</f>
        <v>1471000</v>
      </c>
    </row>
    <row r="836" spans="1:10" ht="24" hidden="1" customHeight="1" x14ac:dyDescent="0.3">
      <c r="A836" s="9">
        <v>44544</v>
      </c>
      <c r="B836" s="63" t="s">
        <v>1236</v>
      </c>
      <c r="C836" s="7">
        <v>1173610.8600000031</v>
      </c>
      <c r="D836" s="7">
        <v>46389.139999996871</v>
      </c>
      <c r="E836" s="7">
        <v>1220000</v>
      </c>
      <c r="F836" s="7">
        <v>-17706924.239999998</v>
      </c>
      <c r="G836" s="66"/>
      <c r="H836" s="10"/>
      <c r="I836" s="7">
        <f>IF(FINANCIACION[[#This Row],[$ CAPITAL]]&gt;0,FINANCIACION[[#This Row],[$ CAPITAL]])</f>
        <v>1173610.8600000031</v>
      </c>
      <c r="J836" s="41">
        <f>IF(FINANCIACION[[#This Row],[$ CAPITAL]]&gt;=0,FINANCIACION[[#This Row],[$ CAPITAL]]+FINANCIACION[[#This Row],[$ INTERESES]],0)</f>
        <v>1220000</v>
      </c>
    </row>
    <row r="837" spans="1:10" ht="24" hidden="1" customHeight="1" x14ac:dyDescent="0.3">
      <c r="A837" s="9">
        <v>44544</v>
      </c>
      <c r="B837" s="63" t="s">
        <v>1228</v>
      </c>
      <c r="C837" s="7">
        <v>2379867.6799999997</v>
      </c>
      <c r="D837" s="7">
        <v>99132.320000000298</v>
      </c>
      <c r="E837" s="7">
        <v>2479000</v>
      </c>
      <c r="F837" s="7">
        <v>-37926967.32</v>
      </c>
      <c r="G837" s="66"/>
      <c r="H837" s="10"/>
      <c r="I837" s="7">
        <f>IF(FINANCIACION[[#This Row],[$ CAPITAL]]&gt;0,FINANCIACION[[#This Row],[$ CAPITAL]])</f>
        <v>2379867.6799999997</v>
      </c>
      <c r="J837" s="41">
        <f>IF(FINANCIACION[[#This Row],[$ CAPITAL]]&gt;=0,FINANCIACION[[#This Row],[$ CAPITAL]]+FINANCIACION[[#This Row],[$ INTERESES]],0)</f>
        <v>2479000</v>
      </c>
    </row>
    <row r="838" spans="1:10" ht="24" hidden="1" customHeight="1" x14ac:dyDescent="0.3">
      <c r="A838" s="9">
        <v>44544</v>
      </c>
      <c r="B838" s="63" t="s">
        <v>1229</v>
      </c>
      <c r="C838" s="7">
        <v>3485285.1499999985</v>
      </c>
      <c r="D838" s="7">
        <v>158714.85000000149</v>
      </c>
      <c r="E838" s="7">
        <v>3644000</v>
      </c>
      <c r="F838" s="7">
        <v>-54781379.420000002</v>
      </c>
      <c r="G838" s="66"/>
      <c r="H838" s="10"/>
      <c r="I838" s="7">
        <f>IF(FINANCIACION[[#This Row],[$ CAPITAL]]&gt;0,FINANCIACION[[#This Row],[$ CAPITAL]])</f>
        <v>3485285.1499999985</v>
      </c>
      <c r="J838" s="41">
        <f>IF(FINANCIACION[[#This Row],[$ CAPITAL]]&gt;=0,FINANCIACION[[#This Row],[$ CAPITAL]]+FINANCIACION[[#This Row],[$ INTERESES]],0)</f>
        <v>3644000</v>
      </c>
    </row>
    <row r="839" spans="1:10" ht="24" hidden="1" customHeight="1" x14ac:dyDescent="0.3">
      <c r="A839" s="9">
        <v>44544</v>
      </c>
      <c r="B839" s="63" t="s">
        <v>1230</v>
      </c>
      <c r="C839" s="7">
        <v>940063.25999999791</v>
      </c>
      <c r="D839" s="7">
        <v>39936.740000002086</v>
      </c>
      <c r="E839" s="7">
        <v>980000</v>
      </c>
      <c r="F839" s="7">
        <v>-15625187.190000009</v>
      </c>
      <c r="G839" s="66"/>
      <c r="H839" s="10"/>
      <c r="I839" s="7">
        <f>IF(FINANCIACION[[#This Row],[$ CAPITAL]]&gt;0,FINANCIACION[[#This Row],[$ CAPITAL]])</f>
        <v>940063.25999999791</v>
      </c>
      <c r="J839" s="41">
        <f>IF(FINANCIACION[[#This Row],[$ CAPITAL]]&gt;=0,FINANCIACION[[#This Row],[$ CAPITAL]]+FINANCIACION[[#This Row],[$ INTERESES]],0)</f>
        <v>980000</v>
      </c>
    </row>
    <row r="840" spans="1:10" ht="24" hidden="1" customHeight="1" x14ac:dyDescent="0.3">
      <c r="A840" s="9">
        <v>44544</v>
      </c>
      <c r="B840" s="63" t="s">
        <v>1232</v>
      </c>
      <c r="C840" s="7">
        <v>988960.98000000045</v>
      </c>
      <c r="D840" s="7">
        <v>44039.019999999553</v>
      </c>
      <c r="E840" s="7">
        <v>1033000</v>
      </c>
      <c r="F840" s="7">
        <v>-17261167.520000003</v>
      </c>
      <c r="G840" s="66"/>
      <c r="H840" s="10"/>
      <c r="I840" s="7">
        <f>IF(FINANCIACION[[#This Row],[$ CAPITAL]]&gt;0,FINANCIACION[[#This Row],[$ CAPITAL]])</f>
        <v>988960.98000000045</v>
      </c>
      <c r="J840" s="41">
        <f>IF(FINANCIACION[[#This Row],[$ CAPITAL]]&gt;=0,FINANCIACION[[#This Row],[$ CAPITAL]]+FINANCIACION[[#This Row],[$ INTERESES]],0)</f>
        <v>1033000</v>
      </c>
    </row>
    <row r="841" spans="1:10" ht="24" hidden="1" customHeight="1" x14ac:dyDescent="0.3">
      <c r="A841" s="9">
        <v>44544</v>
      </c>
      <c r="B841" s="63" t="s">
        <v>1238</v>
      </c>
      <c r="C841" s="7">
        <v>345651.39999999106</v>
      </c>
      <c r="D841" s="7">
        <v>172348.60000000894</v>
      </c>
      <c r="E841" s="7">
        <v>518000</v>
      </c>
      <c r="F841" s="7">
        <v>-79861078.480000004</v>
      </c>
      <c r="G841" s="66"/>
      <c r="H841" s="10"/>
      <c r="I841" s="7">
        <f>IF(FINANCIACION[[#This Row],[$ CAPITAL]]&gt;0,FINANCIACION[[#This Row],[$ CAPITAL]])</f>
        <v>345651.39999999106</v>
      </c>
      <c r="J841" s="41">
        <f>IF(FINANCIACION[[#This Row],[$ CAPITAL]]&gt;=0,FINANCIACION[[#This Row],[$ CAPITAL]]+FINANCIACION[[#This Row],[$ INTERESES]],0)</f>
        <v>518000</v>
      </c>
    </row>
    <row r="842" spans="1:10" ht="24" hidden="1" customHeight="1" x14ac:dyDescent="0.3">
      <c r="A842" s="9">
        <v>44544</v>
      </c>
      <c r="B842" s="63" t="s">
        <v>202</v>
      </c>
      <c r="C842" s="7">
        <v>1944444</v>
      </c>
      <c r="D842" s="7">
        <v>240038</v>
      </c>
      <c r="E842" s="7">
        <v>2184482</v>
      </c>
      <c r="F842" s="7">
        <v>-33055556</v>
      </c>
      <c r="G842" s="66"/>
      <c r="H842" s="10"/>
      <c r="I842" s="7">
        <f>IF(FINANCIACION[[#This Row],[$ CAPITAL]]&gt;0,FINANCIACION[[#This Row],[$ CAPITAL]])</f>
        <v>1944444</v>
      </c>
      <c r="J842" s="41">
        <f>IF(FINANCIACION[[#This Row],[$ CAPITAL]]&gt;=0,FINANCIACION[[#This Row],[$ CAPITAL]]+FINANCIACION[[#This Row],[$ INTERESES]],0)</f>
        <v>2184482</v>
      </c>
    </row>
    <row r="843" spans="1:10" ht="24" hidden="1" customHeight="1" x14ac:dyDescent="0.3">
      <c r="A843" s="9">
        <v>44550</v>
      </c>
      <c r="B843" s="63" t="s">
        <v>203</v>
      </c>
      <c r="C843" s="7">
        <v>2882226</v>
      </c>
      <c r="D843" s="7"/>
      <c r="E843" s="7">
        <v>2882226</v>
      </c>
      <c r="F843" s="7">
        <v>2882226</v>
      </c>
      <c r="G843" s="66"/>
      <c r="H843" s="10"/>
      <c r="I843" s="7">
        <f>IF(FINANCIACION[[#This Row],[$ CAPITAL]]&gt;0,FINANCIACION[[#This Row],[$ CAPITAL]])</f>
        <v>2882226</v>
      </c>
      <c r="J843" s="41">
        <f>IF(FINANCIACION[[#This Row],[$ CAPITAL]]&gt;=0,FINANCIACION[[#This Row],[$ CAPITAL]]+FINANCIACION[[#This Row],[$ INTERESES]],0)</f>
        <v>2882226</v>
      </c>
    </row>
    <row r="844" spans="1:10" ht="24" hidden="1" customHeight="1" x14ac:dyDescent="0.3">
      <c r="A844" s="9">
        <v>44554</v>
      </c>
      <c r="B844" s="63" t="s">
        <v>1227</v>
      </c>
      <c r="C844" s="7"/>
      <c r="D844" s="7">
        <v>9000000</v>
      </c>
      <c r="E844" s="7">
        <v>9000000</v>
      </c>
      <c r="F844" s="7">
        <v>-75000000</v>
      </c>
      <c r="G844" s="66"/>
      <c r="H844" s="10"/>
      <c r="I844" s="7" t="b">
        <f>IF(FINANCIACION[[#This Row],[$ CAPITAL]]&gt;0,FINANCIACION[[#This Row],[$ CAPITAL]])</f>
        <v>0</v>
      </c>
      <c r="J844" s="41">
        <f>IF(FINANCIACION[[#This Row],[$ CAPITAL]]&gt;=0,FINANCIACION[[#This Row],[$ CAPITAL]]+FINANCIACION[[#This Row],[$ INTERESES]],0)</f>
        <v>9000000</v>
      </c>
    </row>
    <row r="845" spans="1:10" ht="24" hidden="1" customHeight="1" x14ac:dyDescent="0.3">
      <c r="A845" s="9">
        <v>44554</v>
      </c>
      <c r="B845" s="63" t="s">
        <v>204</v>
      </c>
      <c r="C845" s="7">
        <v>3997090</v>
      </c>
      <c r="D845" s="7"/>
      <c r="E845" s="7">
        <v>3997090</v>
      </c>
      <c r="F845" s="7">
        <v>-12849905</v>
      </c>
      <c r="G845" s="66"/>
      <c r="H845" s="10"/>
      <c r="I845" s="7">
        <f>IF(FINANCIACION[[#This Row],[$ CAPITAL]]&gt;0,FINANCIACION[[#This Row],[$ CAPITAL]])</f>
        <v>3997090</v>
      </c>
      <c r="J845" s="41">
        <f>IF(FINANCIACION[[#This Row],[$ CAPITAL]]&gt;=0,FINANCIACION[[#This Row],[$ CAPITAL]]+FINANCIACION[[#This Row],[$ INTERESES]],0)</f>
        <v>3997090</v>
      </c>
    </row>
    <row r="846" spans="1:10" ht="24" hidden="1" customHeight="1" x14ac:dyDescent="0.3">
      <c r="A846" s="9">
        <v>44557</v>
      </c>
      <c r="B846" s="63" t="s">
        <v>204</v>
      </c>
      <c r="C846" s="7">
        <v>3994150</v>
      </c>
      <c r="D846" s="7"/>
      <c r="E846" s="7">
        <v>3994150</v>
      </c>
      <c r="F846" s="7">
        <v>-8855755</v>
      </c>
      <c r="G846" s="10"/>
      <c r="H846" s="10"/>
      <c r="I846" s="7">
        <f>IF(FINANCIACION[[#This Row],[$ CAPITAL]]&gt;0,FINANCIACION[[#This Row],[$ CAPITAL]])</f>
        <v>3994150</v>
      </c>
      <c r="J846" s="41">
        <f>IF(FINANCIACION[[#This Row],[$ CAPITAL]]&gt;=0,FINANCIACION[[#This Row],[$ CAPITAL]]+FINANCIACION[[#This Row],[$ INTERESES]],0)</f>
        <v>3994150</v>
      </c>
    </row>
    <row r="847" spans="1:10" ht="24" hidden="1" customHeight="1" x14ac:dyDescent="0.3">
      <c r="A847" s="9">
        <v>44560</v>
      </c>
      <c r="B847" s="63" t="s">
        <v>197</v>
      </c>
      <c r="C847" s="7"/>
      <c r="D847" s="7">
        <v>312197</v>
      </c>
      <c r="E847" s="7">
        <v>312197</v>
      </c>
      <c r="F847" s="7">
        <v>0</v>
      </c>
      <c r="G847" s="66"/>
      <c r="H847" s="10"/>
      <c r="I847" s="7" t="b">
        <f>IF(FINANCIACION[[#This Row],[$ CAPITAL]]&gt;0,FINANCIACION[[#This Row],[$ CAPITAL]])</f>
        <v>0</v>
      </c>
      <c r="J847" s="41">
        <f>IF(FINANCIACION[[#This Row],[$ CAPITAL]]&gt;=0,FINANCIACION[[#This Row],[$ CAPITAL]]+FINANCIACION[[#This Row],[$ INTERESES]],0)</f>
        <v>312197</v>
      </c>
    </row>
    <row r="848" spans="1:10" ht="24" hidden="1" customHeight="1" x14ac:dyDescent="0.3">
      <c r="A848" s="9">
        <v>44560</v>
      </c>
      <c r="B848" s="63" t="s">
        <v>197</v>
      </c>
      <c r="C848" s="7"/>
      <c r="D848" s="7">
        <v>138816</v>
      </c>
      <c r="E848" s="7">
        <v>138816</v>
      </c>
      <c r="F848" s="7">
        <v>0</v>
      </c>
      <c r="G848" s="66"/>
      <c r="H848" s="10"/>
      <c r="I848" s="7" t="b">
        <f>IF(FINANCIACION[[#This Row],[$ CAPITAL]]&gt;0,FINANCIACION[[#This Row],[$ CAPITAL]])</f>
        <v>0</v>
      </c>
      <c r="J848" s="41">
        <f>IF(FINANCIACION[[#This Row],[$ CAPITAL]]&gt;=0,FINANCIACION[[#This Row],[$ CAPITAL]]+FINANCIACION[[#This Row],[$ INTERESES]],0)</f>
        <v>138816</v>
      </c>
    </row>
    <row r="849" spans="1:10" ht="24" hidden="1" customHeight="1" x14ac:dyDescent="0.3">
      <c r="A849" s="9">
        <v>44560</v>
      </c>
      <c r="B849" s="63" t="s">
        <v>204</v>
      </c>
      <c r="C849" s="7">
        <v>4023680</v>
      </c>
      <c r="D849" s="7"/>
      <c r="E849" s="7">
        <v>4023680</v>
      </c>
      <c r="F849" s="7">
        <v>-4832075</v>
      </c>
      <c r="G849" s="66"/>
      <c r="H849" s="10"/>
      <c r="I849" s="7">
        <f>IF(FINANCIACION[[#This Row],[$ CAPITAL]]&gt;0,FINANCIACION[[#This Row],[$ CAPITAL]])</f>
        <v>4023680</v>
      </c>
      <c r="J849" s="41">
        <f>IF(FINANCIACION[[#This Row],[$ CAPITAL]]&gt;=0,FINANCIACION[[#This Row],[$ CAPITAL]]+FINANCIACION[[#This Row],[$ INTERESES]],0)</f>
        <v>4023680</v>
      </c>
    </row>
    <row r="850" spans="1:10" ht="24" hidden="1" customHeight="1" x14ac:dyDescent="0.3">
      <c r="A850" s="9">
        <v>44560</v>
      </c>
      <c r="B850" s="63" t="s">
        <v>205</v>
      </c>
      <c r="C850" s="7">
        <v>1000000</v>
      </c>
      <c r="D850" s="7"/>
      <c r="E850" s="7">
        <v>1000000</v>
      </c>
      <c r="F850" s="7">
        <v>1000000</v>
      </c>
      <c r="G850" s="66"/>
      <c r="H850" s="10"/>
      <c r="I850" s="7">
        <f>IF(FINANCIACION[[#This Row],[$ CAPITAL]]&gt;0,FINANCIACION[[#This Row],[$ CAPITAL]])</f>
        <v>1000000</v>
      </c>
      <c r="J850" s="41">
        <f>IF(FINANCIACION[[#This Row],[$ CAPITAL]]&gt;=0,FINANCIACION[[#This Row],[$ CAPITAL]]+FINANCIACION[[#This Row],[$ INTERESES]],0)</f>
        <v>1000000</v>
      </c>
    </row>
    <row r="851" spans="1:10" ht="24" hidden="1" customHeight="1" x14ac:dyDescent="0.3">
      <c r="A851" s="9">
        <v>44561</v>
      </c>
      <c r="B851" s="63" t="s">
        <v>198</v>
      </c>
      <c r="C851" s="65">
        <v>1637071.68</v>
      </c>
      <c r="D851" s="7"/>
      <c r="E851" s="7">
        <v>1637071.68</v>
      </c>
      <c r="F851" s="7">
        <v>0</v>
      </c>
      <c r="G851" s="66" t="s">
        <v>233</v>
      </c>
      <c r="H851" s="10"/>
      <c r="I851" s="7">
        <f>IF(FINANCIACION[[#This Row],[$ CAPITAL]]&gt;0,FINANCIACION[[#This Row],[$ CAPITAL]])</f>
        <v>1637071.68</v>
      </c>
      <c r="J851" s="41">
        <f>IF(FINANCIACION[[#This Row],[$ CAPITAL]]&gt;=0,FINANCIACION[[#This Row],[$ CAPITAL]]+FINANCIACION[[#This Row],[$ INTERESES]],0)</f>
        <v>1637071.68</v>
      </c>
    </row>
    <row r="852" spans="1:10" ht="24" hidden="1" customHeight="1" x14ac:dyDescent="0.3">
      <c r="A852" s="9">
        <v>44561</v>
      </c>
      <c r="B852" s="63" t="s">
        <v>297</v>
      </c>
      <c r="C852" s="7">
        <v>-2322509.1499999985</v>
      </c>
      <c r="D852" s="7"/>
      <c r="E852" s="7" t="s">
        <v>146</v>
      </c>
      <c r="F852" s="7">
        <v>-61434113</v>
      </c>
      <c r="G852" s="66"/>
      <c r="H852" s="10"/>
      <c r="I852" s="7" t="b">
        <f>IF(FINANCIACION[[#This Row],[$ CAPITAL]]&gt;0,FINANCIACION[[#This Row],[$ CAPITAL]])</f>
        <v>0</v>
      </c>
      <c r="J852" s="41">
        <f>IF(FINANCIACION[[#This Row],[$ CAPITAL]]&gt;=0,FINANCIACION[[#This Row],[$ CAPITAL]]+FINANCIACION[[#This Row],[$ INTERESES]],0)</f>
        <v>0</v>
      </c>
    </row>
    <row r="853" spans="1:10" ht="24" hidden="1" customHeight="1" x14ac:dyDescent="0.3">
      <c r="A853" s="9">
        <v>44561</v>
      </c>
      <c r="B853" s="63" t="s">
        <v>421</v>
      </c>
      <c r="C853" s="7">
        <v>-918689.65000000224</v>
      </c>
      <c r="D853" s="7"/>
      <c r="E853" s="7" t="s">
        <v>146</v>
      </c>
      <c r="F853" s="7">
        <v>-24300823</v>
      </c>
      <c r="G853" s="66"/>
      <c r="H853" s="10"/>
      <c r="I853" s="7" t="b">
        <f>IF(FINANCIACION[[#This Row],[$ CAPITAL]]&gt;0,FINANCIACION[[#This Row],[$ CAPITAL]])</f>
        <v>0</v>
      </c>
      <c r="J853" s="41">
        <f>IF(FINANCIACION[[#This Row],[$ CAPITAL]]&gt;=0,FINANCIACION[[#This Row],[$ CAPITAL]]+FINANCIACION[[#This Row],[$ INTERESES]],0)</f>
        <v>0</v>
      </c>
    </row>
    <row r="854" spans="1:10" ht="24" hidden="1" customHeight="1" x14ac:dyDescent="0.3">
      <c r="A854" s="9">
        <v>44561</v>
      </c>
      <c r="B854" s="63" t="s">
        <v>543</v>
      </c>
      <c r="C854" s="7">
        <v>-2121591.9499999955</v>
      </c>
      <c r="D854" s="7"/>
      <c r="E854" s="7" t="s">
        <v>146</v>
      </c>
      <c r="F854" s="7">
        <v>-56119529</v>
      </c>
      <c r="G854" s="66"/>
      <c r="H854" s="10"/>
      <c r="I854" s="7" t="b">
        <f>IF(FINANCIACION[[#This Row],[$ CAPITAL]]&gt;0,FINANCIACION[[#This Row],[$ CAPITAL]])</f>
        <v>0</v>
      </c>
      <c r="J854" s="41">
        <f>IF(FINANCIACION[[#This Row],[$ CAPITAL]]&gt;=0,FINANCIACION[[#This Row],[$ CAPITAL]]+FINANCIACION[[#This Row],[$ INTERESES]],0)</f>
        <v>0</v>
      </c>
    </row>
    <row r="855" spans="1:10" ht="24" hidden="1" customHeight="1" x14ac:dyDescent="0.3">
      <c r="A855" s="9">
        <v>44561</v>
      </c>
      <c r="B855" s="63" t="s">
        <v>1224</v>
      </c>
      <c r="C855" s="7">
        <v>-18803895</v>
      </c>
      <c r="D855" s="7"/>
      <c r="E855" s="7" t="s">
        <v>146</v>
      </c>
      <c r="F855" s="7">
        <v>-337123027</v>
      </c>
      <c r="G855" s="66" t="s">
        <v>233</v>
      </c>
      <c r="H855" s="10"/>
      <c r="I855" s="7" t="b">
        <f>IF(FINANCIACION[[#This Row],[$ CAPITAL]]&gt;0,FINANCIACION[[#This Row],[$ CAPITAL]])</f>
        <v>0</v>
      </c>
      <c r="J855" s="41">
        <f>IF(FINANCIACION[[#This Row],[$ CAPITAL]]&gt;=0,FINANCIACION[[#This Row],[$ CAPITAL]]+FINANCIACION[[#This Row],[$ INTERESES]],0)</f>
        <v>0</v>
      </c>
    </row>
    <row r="856" spans="1:10" ht="24" hidden="1" customHeight="1" x14ac:dyDescent="0.3">
      <c r="A856" s="9">
        <v>44561</v>
      </c>
      <c r="B856" s="63" t="s">
        <v>203</v>
      </c>
      <c r="C856" s="7">
        <v>-3484626</v>
      </c>
      <c r="D856" s="7"/>
      <c r="E856" s="7" t="s">
        <v>146</v>
      </c>
      <c r="F856" s="7">
        <v>-602400</v>
      </c>
      <c r="G856" s="66"/>
      <c r="H856" s="10"/>
      <c r="I856" s="7" t="b">
        <f>IF(FINANCIACION[[#This Row],[$ CAPITAL]]&gt;0,FINANCIACION[[#This Row],[$ CAPITAL]])</f>
        <v>0</v>
      </c>
      <c r="J856" s="41">
        <f>IF(FINANCIACION[[#This Row],[$ CAPITAL]]&gt;=0,FINANCIACION[[#This Row],[$ CAPITAL]]+FINANCIACION[[#This Row],[$ INTERESES]],0)</f>
        <v>0</v>
      </c>
    </row>
    <row r="857" spans="1:10" ht="24" hidden="1" customHeight="1" x14ac:dyDescent="0.3">
      <c r="A857" s="9">
        <v>44561</v>
      </c>
      <c r="B857" s="63" t="s">
        <v>204</v>
      </c>
      <c r="C857" s="7">
        <v>-15729425</v>
      </c>
      <c r="D857" s="7"/>
      <c r="E857" s="7" t="s">
        <v>146</v>
      </c>
      <c r="F857" s="7">
        <v>-20561500</v>
      </c>
      <c r="G857" s="66"/>
      <c r="H857" s="10"/>
      <c r="I857" s="7" t="b">
        <f>IF(FINANCIACION[[#This Row],[$ CAPITAL]]&gt;0,FINANCIACION[[#This Row],[$ CAPITAL]])</f>
        <v>0</v>
      </c>
      <c r="J857" s="41">
        <f>IF(FINANCIACION[[#This Row],[$ CAPITAL]]&gt;=0,FINANCIACION[[#This Row],[$ CAPITAL]]+FINANCIACION[[#This Row],[$ INTERESES]],0)</f>
        <v>0</v>
      </c>
    </row>
    <row r="858" spans="1:10" ht="24" hidden="1" customHeight="1" x14ac:dyDescent="0.3">
      <c r="A858" s="9">
        <v>44561</v>
      </c>
      <c r="B858" s="63" t="s">
        <v>205</v>
      </c>
      <c r="C858" s="7">
        <v>-1357536</v>
      </c>
      <c r="D858" s="7"/>
      <c r="E858" s="7" t="s">
        <v>146</v>
      </c>
      <c r="F858" s="7">
        <v>-357536</v>
      </c>
      <c r="G858" s="66"/>
      <c r="H858" s="10"/>
      <c r="I858" s="7" t="b">
        <f>IF(FINANCIACION[[#This Row],[$ CAPITAL]]&gt;0,FINANCIACION[[#This Row],[$ CAPITAL]])</f>
        <v>0</v>
      </c>
      <c r="J858" s="41">
        <f>IF(FINANCIACION[[#This Row],[$ CAPITAL]]&gt;=0,FINANCIACION[[#This Row],[$ CAPITAL]]+FINANCIACION[[#This Row],[$ INTERESES]],0)</f>
        <v>0</v>
      </c>
    </row>
    <row r="859" spans="1:10" ht="24" hidden="1" customHeight="1" x14ac:dyDescent="0.3">
      <c r="A859" s="9">
        <v>44564</v>
      </c>
      <c r="B859" s="63" t="s">
        <v>195</v>
      </c>
      <c r="C859" s="7">
        <v>1468400</v>
      </c>
      <c r="D859" s="7">
        <v>417344</v>
      </c>
      <c r="E859" s="7">
        <v>1885744</v>
      </c>
      <c r="F859" s="7">
        <v>-39646800</v>
      </c>
      <c r="G859" s="66"/>
      <c r="H859" s="10"/>
      <c r="I859" s="7">
        <f>IF(FINANCIACION[[#This Row],[$ CAPITAL]]&gt;0,FINANCIACION[[#This Row],[$ CAPITAL]])</f>
        <v>1468400</v>
      </c>
      <c r="J859" s="41">
        <f>IF(FINANCIACION[[#This Row],[$ CAPITAL]]&gt;=0,FINANCIACION[[#This Row],[$ CAPITAL]]+FINANCIACION[[#This Row],[$ INTERESES]],0)</f>
        <v>1885744</v>
      </c>
    </row>
    <row r="860" spans="1:10" ht="24" hidden="1" customHeight="1" x14ac:dyDescent="0.3">
      <c r="A860" s="9">
        <v>44564</v>
      </c>
      <c r="B860" s="63" t="s">
        <v>196</v>
      </c>
      <c r="C860" s="7">
        <v>76791</v>
      </c>
      <c r="D860" s="7"/>
      <c r="E860" s="7">
        <v>76791</v>
      </c>
      <c r="F860" s="7">
        <v>-2073357</v>
      </c>
      <c r="G860" s="66"/>
      <c r="H860" s="10"/>
      <c r="I860" s="7">
        <f>IF(FINANCIACION[[#This Row],[$ CAPITAL]]&gt;0,FINANCIACION[[#This Row],[$ CAPITAL]])</f>
        <v>76791</v>
      </c>
      <c r="J860" s="41">
        <f>IF(FINANCIACION[[#This Row],[$ CAPITAL]]&gt;=0,FINANCIACION[[#This Row],[$ CAPITAL]]+FINANCIACION[[#This Row],[$ INTERESES]],0)</f>
        <v>76791</v>
      </c>
    </row>
    <row r="861" spans="1:10" ht="24" hidden="1" customHeight="1" x14ac:dyDescent="0.3">
      <c r="A861" s="9">
        <v>44565</v>
      </c>
      <c r="B861" s="63" t="s">
        <v>1239</v>
      </c>
      <c r="C861" s="7">
        <v>30000000</v>
      </c>
      <c r="D861" s="7">
        <v>465000</v>
      </c>
      <c r="E861" s="7">
        <v>30465000</v>
      </c>
      <c r="F861" s="7">
        <v>0</v>
      </c>
      <c r="G861" s="66"/>
      <c r="H861" s="10"/>
      <c r="I861" s="7">
        <f>IF(FINANCIACION[[#This Row],[$ CAPITAL]]&gt;0,FINANCIACION[[#This Row],[$ CAPITAL]])</f>
        <v>30000000</v>
      </c>
      <c r="J861" s="41">
        <f>IF(FINANCIACION[[#This Row],[$ CAPITAL]]&gt;=0,FINANCIACION[[#This Row],[$ CAPITAL]]+FINANCIACION[[#This Row],[$ INTERESES]],0)</f>
        <v>30465000</v>
      </c>
    </row>
    <row r="862" spans="1:10" ht="24" hidden="1" customHeight="1" x14ac:dyDescent="0.3">
      <c r="A862" s="9">
        <v>44565</v>
      </c>
      <c r="B862" s="63" t="s">
        <v>199</v>
      </c>
      <c r="C862" s="7">
        <v>6326000</v>
      </c>
      <c r="D862" s="7">
        <v>1249384.54</v>
      </c>
      <c r="E862" s="7">
        <v>7575384.54</v>
      </c>
      <c r="F862" s="7">
        <v>-9757126</v>
      </c>
      <c r="G862" s="66"/>
      <c r="H862" s="10"/>
      <c r="I862" s="7">
        <f>IF(FINANCIACION[[#This Row],[$ CAPITAL]]&gt;0,FINANCIACION[[#This Row],[$ CAPITAL]])</f>
        <v>6326000</v>
      </c>
      <c r="J862" s="41">
        <f>IF(FINANCIACION[[#This Row],[$ CAPITAL]]&gt;=0,FINANCIACION[[#This Row],[$ CAPITAL]]+FINANCIACION[[#This Row],[$ INTERESES]],0)</f>
        <v>7575384.54</v>
      </c>
    </row>
    <row r="863" spans="1:10" ht="24" hidden="1" customHeight="1" x14ac:dyDescent="0.3">
      <c r="A863" s="9">
        <v>44566</v>
      </c>
      <c r="B863" s="63" t="s">
        <v>205</v>
      </c>
      <c r="C863" s="7">
        <v>357536</v>
      </c>
      <c r="D863" s="7"/>
      <c r="E863" s="7">
        <v>357536</v>
      </c>
      <c r="F863" s="7">
        <v>0</v>
      </c>
      <c r="G863" s="66"/>
      <c r="H863" s="10"/>
      <c r="I863" s="7">
        <f>IF(FINANCIACION[[#This Row],[$ CAPITAL]]&gt;0,FINANCIACION[[#This Row],[$ CAPITAL]])</f>
        <v>357536</v>
      </c>
      <c r="J863" s="41">
        <f>IF(FINANCIACION[[#This Row],[$ CAPITAL]]&gt;=0,FINANCIACION[[#This Row],[$ CAPITAL]]+FINANCIACION[[#This Row],[$ INTERESES]],0)</f>
        <v>357536</v>
      </c>
    </row>
    <row r="864" spans="1:10" ht="24" hidden="1" customHeight="1" x14ac:dyDescent="0.3">
      <c r="A864" s="9">
        <v>44567</v>
      </c>
      <c r="B864" s="63" t="s">
        <v>197</v>
      </c>
      <c r="C864" s="7"/>
      <c r="D864" s="7">
        <v>395585</v>
      </c>
      <c r="E864" s="7">
        <v>395585</v>
      </c>
      <c r="F864" s="7">
        <v>0</v>
      </c>
      <c r="G864" s="66"/>
      <c r="H864" s="10"/>
      <c r="I864" s="7" t="b">
        <f>IF(FINANCIACION[[#This Row],[$ CAPITAL]]&gt;0,FINANCIACION[[#This Row],[$ CAPITAL]])</f>
        <v>0</v>
      </c>
      <c r="J864" s="41">
        <f>IF(FINANCIACION[[#This Row],[$ CAPITAL]]&gt;=0,FINANCIACION[[#This Row],[$ CAPITAL]]+FINANCIACION[[#This Row],[$ INTERESES]],0)</f>
        <v>395585</v>
      </c>
    </row>
    <row r="865" spans="1:10" ht="24" hidden="1" customHeight="1" x14ac:dyDescent="0.3">
      <c r="A865" s="9">
        <v>44572</v>
      </c>
      <c r="B865" s="63" t="s">
        <v>1233</v>
      </c>
      <c r="C865" s="7"/>
      <c r="D865" s="7">
        <v>130000</v>
      </c>
      <c r="E865" s="7">
        <v>130000</v>
      </c>
      <c r="F865" s="7">
        <v>-13000000</v>
      </c>
      <c r="G865" s="66"/>
      <c r="H865" s="10"/>
      <c r="I865" s="7" t="b">
        <f>IF(FINANCIACION[[#This Row],[$ CAPITAL]]&gt;0,FINANCIACION[[#This Row],[$ CAPITAL]])</f>
        <v>0</v>
      </c>
      <c r="J865" s="41">
        <f>IF(FINANCIACION[[#This Row],[$ CAPITAL]]&gt;=0,FINANCIACION[[#This Row],[$ CAPITAL]]+FINANCIACION[[#This Row],[$ INTERESES]],0)</f>
        <v>130000</v>
      </c>
    </row>
    <row r="866" spans="1:10" ht="24" hidden="1" customHeight="1" x14ac:dyDescent="0.3">
      <c r="A866" s="9">
        <v>44572</v>
      </c>
      <c r="B866" s="63" t="s">
        <v>1237</v>
      </c>
      <c r="C866" s="7"/>
      <c r="D866" s="7">
        <v>400000</v>
      </c>
      <c r="E866" s="7">
        <v>400000</v>
      </c>
      <c r="F866" s="7">
        <v>-40000000</v>
      </c>
      <c r="G866" s="66"/>
      <c r="H866" s="10"/>
      <c r="I866" s="7" t="b">
        <f>IF(FINANCIACION[[#This Row],[$ CAPITAL]]&gt;0,FINANCIACION[[#This Row],[$ CAPITAL]])</f>
        <v>0</v>
      </c>
      <c r="J866" s="41">
        <f>IF(FINANCIACION[[#This Row],[$ CAPITAL]]&gt;=0,FINANCIACION[[#This Row],[$ CAPITAL]]+FINANCIACION[[#This Row],[$ INTERESES]],0)</f>
        <v>400000</v>
      </c>
    </row>
    <row r="867" spans="1:10" ht="24" hidden="1" customHeight="1" x14ac:dyDescent="0.3">
      <c r="A867" s="9">
        <v>44572</v>
      </c>
      <c r="B867" s="63" t="s">
        <v>1222</v>
      </c>
      <c r="C867" s="7">
        <v>1984832.5396928361</v>
      </c>
      <c r="D867" s="7">
        <v>692545.46030716388</v>
      </c>
      <c r="E867" s="7">
        <v>2677378</v>
      </c>
      <c r="F867" s="7">
        <v>-67269713.491023555</v>
      </c>
      <c r="G867" s="66"/>
      <c r="H867" s="10"/>
      <c r="I867" s="7">
        <f>IF(FINANCIACION[[#This Row],[$ CAPITAL]]&gt;0,FINANCIACION[[#This Row],[$ CAPITAL]])</f>
        <v>1984832.5396928361</v>
      </c>
      <c r="J867" s="41">
        <f>IF(FINANCIACION[[#This Row],[$ CAPITAL]]&gt;=0,FINANCIACION[[#This Row],[$ CAPITAL]]+FINANCIACION[[#This Row],[$ INTERESES]],0)</f>
        <v>2677378</v>
      </c>
    </row>
    <row r="868" spans="1:10" ht="24" hidden="1" customHeight="1" x14ac:dyDescent="0.3">
      <c r="A868" s="9">
        <v>44572</v>
      </c>
      <c r="B868" s="63" t="s">
        <v>1226</v>
      </c>
      <c r="C868" s="7">
        <v>764704.74227897299</v>
      </c>
      <c r="D868" s="7">
        <v>535295.25772102701</v>
      </c>
      <c r="E868" s="7">
        <v>1300000</v>
      </c>
      <c r="F868" s="7">
        <v>-52764821.029823728</v>
      </c>
      <c r="G868" s="66"/>
      <c r="H868" s="10"/>
      <c r="I868" s="7">
        <f>IF(FINANCIACION[[#This Row],[$ CAPITAL]]&gt;0,FINANCIACION[[#This Row],[$ CAPITAL]])</f>
        <v>764704.74227897299</v>
      </c>
      <c r="J868" s="41">
        <f>IF(FINANCIACION[[#This Row],[$ CAPITAL]]&gt;=0,FINANCIACION[[#This Row],[$ CAPITAL]]+FINANCIACION[[#This Row],[$ INTERESES]],0)</f>
        <v>1300000</v>
      </c>
    </row>
    <row r="869" spans="1:10" ht="24" hidden="1" customHeight="1" x14ac:dyDescent="0.3">
      <c r="A869" s="9">
        <v>44572</v>
      </c>
      <c r="B869" s="63" t="s">
        <v>1223</v>
      </c>
      <c r="C869" s="7">
        <v>495231.94512736518</v>
      </c>
      <c r="D869" s="7">
        <v>704768.05487263482</v>
      </c>
      <c r="E869" s="7">
        <v>1200000</v>
      </c>
      <c r="F869" s="7">
        <v>-69981573.542136118</v>
      </c>
      <c r="G869" s="66"/>
      <c r="H869" s="66"/>
      <c r="I869" s="7">
        <f>IF(FINANCIACION[[#This Row],[$ CAPITAL]]&gt;0,FINANCIACION[[#This Row],[$ CAPITAL]])</f>
        <v>495231.94512736518</v>
      </c>
      <c r="J869" s="41">
        <f>IF(FINANCIACION[[#This Row],[$ CAPITAL]]&gt;=0,FINANCIACION[[#This Row],[$ CAPITAL]]+FINANCIACION[[#This Row],[$ INTERESES]],0)</f>
        <v>1200000</v>
      </c>
    </row>
    <row r="870" spans="1:10" ht="24" hidden="1" customHeight="1" x14ac:dyDescent="0.3">
      <c r="A870" s="9">
        <v>44572</v>
      </c>
      <c r="B870" s="63" t="s">
        <v>1235</v>
      </c>
      <c r="C870" s="7"/>
      <c r="D870" s="7">
        <v>120000</v>
      </c>
      <c r="E870" s="7">
        <v>120000</v>
      </c>
      <c r="F870" s="7">
        <v>-12000000</v>
      </c>
      <c r="G870" s="66"/>
      <c r="H870" s="10"/>
      <c r="I870" s="7" t="b">
        <f>IF(FINANCIACION[[#This Row],[$ CAPITAL]]&gt;0,FINANCIACION[[#This Row],[$ CAPITAL]])</f>
        <v>0</v>
      </c>
      <c r="J870" s="41">
        <f>IF(FINANCIACION[[#This Row],[$ CAPITAL]]&gt;=0,FINANCIACION[[#This Row],[$ CAPITAL]]+FINANCIACION[[#This Row],[$ INTERESES]],0)</f>
        <v>120000</v>
      </c>
    </row>
    <row r="871" spans="1:10" ht="24" hidden="1" customHeight="1" x14ac:dyDescent="0.3">
      <c r="A871" s="9">
        <v>44575</v>
      </c>
      <c r="B871" s="63" t="s">
        <v>202</v>
      </c>
      <c r="C871" s="7">
        <v>1944444</v>
      </c>
      <c r="D871" s="7">
        <v>246818.5</v>
      </c>
      <c r="E871" s="7">
        <v>2191262.5</v>
      </c>
      <c r="F871" s="7">
        <v>-31111112</v>
      </c>
      <c r="G871" s="66"/>
      <c r="H871" s="10"/>
      <c r="I871" s="7">
        <f>IF(FINANCIACION[[#This Row],[$ CAPITAL]]&gt;0,FINANCIACION[[#This Row],[$ CAPITAL]])</f>
        <v>1944444</v>
      </c>
      <c r="J871" s="41">
        <f>IF(FINANCIACION[[#This Row],[$ CAPITAL]]&gt;=0,FINANCIACION[[#This Row],[$ CAPITAL]]+FINANCIACION[[#This Row],[$ INTERESES]],0)</f>
        <v>2191262.5</v>
      </c>
    </row>
    <row r="872" spans="1:10" ht="24" hidden="1" customHeight="1" x14ac:dyDescent="0.3">
      <c r="A872" s="9">
        <v>44578</v>
      </c>
      <c r="B872" s="63" t="s">
        <v>962</v>
      </c>
      <c r="C872" s="7">
        <v>-57896217.960000001</v>
      </c>
      <c r="D872" s="7"/>
      <c r="E872" s="7" t="s">
        <v>146</v>
      </c>
      <c r="F872" s="7">
        <v>-57896217.960000001</v>
      </c>
      <c r="G872" s="66"/>
      <c r="H872" s="10"/>
      <c r="I872" s="7" t="b">
        <f>IF(FINANCIACION[[#This Row],[$ CAPITAL]]&gt;0,FINANCIACION[[#This Row],[$ CAPITAL]])</f>
        <v>0</v>
      </c>
      <c r="J872" s="41">
        <f>IF(FINANCIACION[[#This Row],[$ CAPITAL]]&gt;=0,FINANCIACION[[#This Row],[$ CAPITAL]]+FINANCIACION[[#This Row],[$ INTERESES]],0)</f>
        <v>0</v>
      </c>
    </row>
    <row r="873" spans="1:10" ht="24" hidden="1" customHeight="1" x14ac:dyDescent="0.3">
      <c r="A873" s="9">
        <v>44579</v>
      </c>
      <c r="B873" s="63" t="s">
        <v>1224</v>
      </c>
      <c r="C873" s="7">
        <v>506866</v>
      </c>
      <c r="D873" s="7">
        <v>5475236</v>
      </c>
      <c r="E873" s="7">
        <v>5982102</v>
      </c>
      <c r="F873" s="7">
        <v>-336616161</v>
      </c>
      <c r="G873" s="66"/>
      <c r="H873" s="10"/>
      <c r="I873" s="7">
        <f>IF(FINANCIACION[[#This Row],[$ CAPITAL]]&gt;0,FINANCIACION[[#This Row],[$ CAPITAL]])</f>
        <v>506866</v>
      </c>
      <c r="J873" s="41">
        <f>IF(FINANCIACION[[#This Row],[$ CAPITAL]]&gt;=0,FINANCIACION[[#This Row],[$ CAPITAL]]+FINANCIACION[[#This Row],[$ INTERESES]],0)</f>
        <v>5982102</v>
      </c>
    </row>
    <row r="874" spans="1:10" ht="24" hidden="1" customHeight="1" x14ac:dyDescent="0.3">
      <c r="A874" s="9">
        <v>44579</v>
      </c>
      <c r="B874" s="63" t="s">
        <v>1225</v>
      </c>
      <c r="C874" s="7">
        <v>1312621.1000000001</v>
      </c>
      <c r="D874" s="7">
        <v>155378.9</v>
      </c>
      <c r="E874" s="7">
        <v>1468000</v>
      </c>
      <c r="F874" s="7">
        <v>-18527060.589999985</v>
      </c>
      <c r="G874" s="66"/>
      <c r="H874" s="10"/>
      <c r="I874" s="7">
        <f>IF(FINANCIACION[[#This Row],[$ CAPITAL]]&gt;0,FINANCIACION[[#This Row],[$ CAPITAL]])</f>
        <v>1312621.1000000001</v>
      </c>
      <c r="J874" s="41">
        <f>IF(FINANCIACION[[#This Row],[$ CAPITAL]]&gt;=0,FINANCIACION[[#This Row],[$ CAPITAL]]+FINANCIACION[[#This Row],[$ INTERESES]],0)</f>
        <v>1468000</v>
      </c>
    </row>
    <row r="875" spans="1:10" ht="24" hidden="1" customHeight="1" x14ac:dyDescent="0.3">
      <c r="A875" s="9">
        <v>44579</v>
      </c>
      <c r="B875" s="63" t="s">
        <v>1236</v>
      </c>
      <c r="C875" s="7">
        <v>1080029.21</v>
      </c>
      <c r="D875" s="7">
        <v>136970.79</v>
      </c>
      <c r="E875" s="7">
        <v>1217000</v>
      </c>
      <c r="F875" s="7">
        <v>-16626895.029999997</v>
      </c>
      <c r="G875" s="66"/>
      <c r="H875" s="10"/>
      <c r="I875" s="7">
        <f>IF(FINANCIACION[[#This Row],[$ CAPITAL]]&gt;0,FINANCIACION[[#This Row],[$ CAPITAL]])</f>
        <v>1080029.21</v>
      </c>
      <c r="J875" s="41">
        <f>IF(FINANCIACION[[#This Row],[$ CAPITAL]]&gt;=0,FINANCIACION[[#This Row],[$ CAPITAL]]+FINANCIACION[[#This Row],[$ INTERESES]],0)</f>
        <v>1217000</v>
      </c>
    </row>
    <row r="876" spans="1:10" ht="24" hidden="1" customHeight="1" x14ac:dyDescent="0.3">
      <c r="A876" s="9">
        <v>44579</v>
      </c>
      <c r="B876" s="63" t="s">
        <v>1228</v>
      </c>
      <c r="C876" s="7">
        <v>2180296.02</v>
      </c>
      <c r="D876" s="7">
        <v>294703.98</v>
      </c>
      <c r="E876" s="7">
        <v>2475000</v>
      </c>
      <c r="F876" s="7">
        <v>-35746671.299999997</v>
      </c>
      <c r="G876" s="66"/>
      <c r="H876" s="10"/>
      <c r="I876" s="7">
        <f>IF(FINANCIACION[[#This Row],[$ CAPITAL]]&gt;0,FINANCIACION[[#This Row],[$ CAPITAL]])</f>
        <v>2180296.02</v>
      </c>
      <c r="J876" s="41">
        <f>IF(FINANCIACION[[#This Row],[$ CAPITAL]]&gt;=0,FINANCIACION[[#This Row],[$ CAPITAL]]+FINANCIACION[[#This Row],[$ INTERESES]],0)</f>
        <v>2475000</v>
      </c>
    </row>
    <row r="877" spans="1:10" ht="24" hidden="1" customHeight="1" x14ac:dyDescent="0.3">
      <c r="A877" s="9">
        <v>44579</v>
      </c>
      <c r="B877" s="63" t="s">
        <v>1229</v>
      </c>
      <c r="C877" s="7">
        <v>3165100.09</v>
      </c>
      <c r="D877" s="7">
        <v>469899.91</v>
      </c>
      <c r="E877" s="7">
        <v>3635000</v>
      </c>
      <c r="F877" s="7">
        <v>-51616279.329999998</v>
      </c>
      <c r="G877" s="66"/>
      <c r="H877" s="10"/>
      <c r="I877" s="7">
        <f>IF(FINANCIACION[[#This Row],[$ CAPITAL]]&gt;0,FINANCIACION[[#This Row],[$ CAPITAL]])</f>
        <v>3165100.09</v>
      </c>
      <c r="J877" s="41">
        <f>IF(FINANCIACION[[#This Row],[$ CAPITAL]]&gt;=0,FINANCIACION[[#This Row],[$ CAPITAL]]+FINANCIACION[[#This Row],[$ INTERESES]],0)</f>
        <v>3635000</v>
      </c>
    </row>
    <row r="878" spans="1:10" ht="24" hidden="1" customHeight="1" x14ac:dyDescent="0.3">
      <c r="A878" s="9">
        <v>44579</v>
      </c>
      <c r="B878" s="63" t="s">
        <v>1230</v>
      </c>
      <c r="C878" s="7">
        <v>857747.04</v>
      </c>
      <c r="D878" s="7">
        <v>121252.96</v>
      </c>
      <c r="E878" s="7">
        <v>979000</v>
      </c>
      <c r="F878" s="7">
        <v>-14767440.15000001</v>
      </c>
      <c r="G878" s="66"/>
      <c r="H878" s="10"/>
      <c r="I878" s="7">
        <f>IF(FINANCIACION[[#This Row],[$ CAPITAL]]&gt;0,FINANCIACION[[#This Row],[$ CAPITAL]])</f>
        <v>857747.04</v>
      </c>
      <c r="J878" s="41">
        <f>IF(FINANCIACION[[#This Row],[$ CAPITAL]]&gt;=0,FINANCIACION[[#This Row],[$ CAPITAL]]+FINANCIACION[[#This Row],[$ INTERESES]],0)</f>
        <v>979000</v>
      </c>
    </row>
    <row r="879" spans="1:10" ht="24" hidden="1" customHeight="1" x14ac:dyDescent="0.3">
      <c r="A879" s="9">
        <v>44579</v>
      </c>
      <c r="B879" s="63" t="s">
        <v>1232</v>
      </c>
      <c r="C879" s="7">
        <v>898290.36</v>
      </c>
      <c r="D879" s="7">
        <v>134709.64000000001</v>
      </c>
      <c r="E879" s="7">
        <v>1033000</v>
      </c>
      <c r="F879" s="7">
        <v>-16362877.160000004</v>
      </c>
      <c r="G879" s="66"/>
      <c r="H879" s="10"/>
      <c r="I879" s="7">
        <f>IF(FINANCIACION[[#This Row],[$ CAPITAL]]&gt;0,FINANCIACION[[#This Row],[$ CAPITAL]])</f>
        <v>898290.36</v>
      </c>
      <c r="J879" s="41">
        <f>IF(FINANCIACION[[#This Row],[$ CAPITAL]]&gt;=0,FINANCIACION[[#This Row],[$ CAPITAL]]+FINANCIACION[[#This Row],[$ INTERESES]],0)</f>
        <v>1033000</v>
      </c>
    </row>
    <row r="880" spans="1:10" ht="24" hidden="1" customHeight="1" x14ac:dyDescent="0.3">
      <c r="A880" s="9">
        <v>44579</v>
      </c>
      <c r="B880" s="63" t="s">
        <v>1238</v>
      </c>
      <c r="C880" s="7">
        <v>831.03</v>
      </c>
      <c r="D880" s="7">
        <v>541168.97</v>
      </c>
      <c r="E880" s="7">
        <v>542000</v>
      </c>
      <c r="F880" s="7">
        <v>-79860247.450000003</v>
      </c>
      <c r="G880" s="66"/>
      <c r="H880" s="10"/>
      <c r="I880" s="7">
        <f>+IF(FINANCIACION[[#This Row],[$ CAPITAL]]&gt;0,FINANCIACION[[#This Row],[$ CAPITAL]])</f>
        <v>831.03</v>
      </c>
      <c r="J880" s="41">
        <f>+IF(FINANCIACION[[#This Row],[$ CAPITAL]]&gt;=0,FINANCIACION[[#This Row],[$ CAPITAL]]+FINANCIACION[[#This Row],[$ INTERESES]],0)</f>
        <v>542000</v>
      </c>
    </row>
    <row r="881" spans="1:10" ht="24" hidden="1" customHeight="1" x14ac:dyDescent="0.3">
      <c r="A881" s="9">
        <v>44580</v>
      </c>
      <c r="B881" s="63" t="s">
        <v>1190</v>
      </c>
      <c r="C881" s="7">
        <v>4500000</v>
      </c>
      <c r="D881" s="7">
        <v>90000</v>
      </c>
      <c r="E881" s="7">
        <v>4590000</v>
      </c>
      <c r="F881" s="7">
        <v>0</v>
      </c>
      <c r="G881" s="66"/>
      <c r="H881" s="10"/>
      <c r="I881" s="7">
        <f>+IF(FINANCIACION[[#This Row],[$ CAPITAL]]&gt;0,FINANCIACION[[#This Row],[$ CAPITAL]])</f>
        <v>4500000</v>
      </c>
      <c r="J881" s="41">
        <f>+IF(FINANCIACION[[#This Row],[$ CAPITAL]]&gt;=0,FINANCIACION[[#This Row],[$ CAPITAL]]+FINANCIACION[[#This Row],[$ INTERESES]],0)</f>
        <v>4590000</v>
      </c>
    </row>
    <row r="882" spans="1:10" ht="24" hidden="1" customHeight="1" x14ac:dyDescent="0.3">
      <c r="A882" s="9">
        <v>44581</v>
      </c>
      <c r="B882" s="63" t="s">
        <v>203</v>
      </c>
      <c r="C882" s="7">
        <v>628891</v>
      </c>
      <c r="D882" s="7"/>
      <c r="E882" s="7">
        <v>628891</v>
      </c>
      <c r="F882" s="7">
        <v>26491</v>
      </c>
      <c r="G882" s="66"/>
      <c r="H882" s="10"/>
      <c r="I882" s="7">
        <f>+IF(FINANCIACION[[#This Row],[$ CAPITAL]]&gt;0,FINANCIACION[[#This Row],[$ CAPITAL]])</f>
        <v>628891</v>
      </c>
      <c r="J882" s="41">
        <f>+IF(FINANCIACION[[#This Row],[$ CAPITAL]]&gt;=0,FINANCIACION[[#This Row],[$ CAPITAL]]+FINANCIACION[[#This Row],[$ INTERESES]],0)</f>
        <v>628891</v>
      </c>
    </row>
    <row r="883" spans="1:10" ht="24" hidden="1" customHeight="1" x14ac:dyDescent="0.3">
      <c r="A883" s="9">
        <v>44581</v>
      </c>
      <c r="B883" s="63" t="s">
        <v>204</v>
      </c>
      <c r="C883" s="7">
        <v>2001975</v>
      </c>
      <c r="D883" s="7"/>
      <c r="E883" s="7">
        <v>2001975</v>
      </c>
      <c r="F883" s="7">
        <v>-18559525</v>
      </c>
      <c r="G883" s="66"/>
      <c r="H883" s="10"/>
      <c r="I883" s="7">
        <f>+IF(FINANCIACION[[#This Row],[$ CAPITAL]]&gt;0,FINANCIACION[[#This Row],[$ CAPITAL]])</f>
        <v>2001975</v>
      </c>
      <c r="J883" s="41">
        <f>+IF(FINANCIACION[[#This Row],[$ CAPITAL]]&gt;=0,FINANCIACION[[#This Row],[$ CAPITAL]]+FINANCIACION[[#This Row],[$ INTERESES]],0)</f>
        <v>2001975</v>
      </c>
    </row>
    <row r="884" spans="1:10" ht="24" customHeight="1" x14ac:dyDescent="0.3">
      <c r="A884" s="9">
        <v>44592</v>
      </c>
      <c r="B884" s="63" t="s">
        <v>1240</v>
      </c>
      <c r="C884" s="7">
        <v>-23305032.5</v>
      </c>
      <c r="D884" s="7"/>
      <c r="E884" s="7" t="s">
        <v>146</v>
      </c>
      <c r="F884" s="7">
        <v>-23305032.5</v>
      </c>
      <c r="G884" s="66" t="s">
        <v>1241</v>
      </c>
      <c r="H884" s="10"/>
      <c r="I884" s="7" t="b">
        <f>+IF(FINANCIACION[[#This Row],[$ CAPITAL]]&gt;0,FINANCIACION[[#This Row],[$ CAPITAL]])</f>
        <v>0</v>
      </c>
      <c r="J884" s="41">
        <f>+IF(FINANCIACION[[#This Row],[$ CAPITAL]]&gt;=0,FINANCIACION[[#This Row],[$ CAPITAL]]+FINANCIACION[[#This Row],[$ INTERESES]],0)</f>
        <v>0</v>
      </c>
    </row>
    <row r="885" spans="1:10" ht="24" hidden="1" customHeight="1" x14ac:dyDescent="0.3">
      <c r="A885" s="9">
        <v>44592</v>
      </c>
      <c r="B885" s="63" t="s">
        <v>195</v>
      </c>
      <c r="C885" s="7">
        <v>1468400</v>
      </c>
      <c r="D885" s="7">
        <v>417717</v>
      </c>
      <c r="E885" s="7">
        <v>1886117</v>
      </c>
      <c r="F885" s="7">
        <v>-38178400</v>
      </c>
      <c r="G885" s="66"/>
      <c r="H885" s="10">
        <v>-14434.36</v>
      </c>
      <c r="I885" s="7">
        <f>+IF(FINANCIACION[[#This Row],[$ CAPITAL]]&gt;0,FINANCIACION[[#This Row],[$ CAPITAL]])</f>
        <v>1468400</v>
      </c>
      <c r="J885" s="41">
        <f>+IF(FINANCIACION[[#This Row],[$ CAPITAL]]&gt;=0,FINANCIACION[[#This Row],[$ CAPITAL]]+FINANCIACION[[#This Row],[$ INTERESES]],0)</f>
        <v>1886117</v>
      </c>
    </row>
    <row r="886" spans="1:10" ht="24" hidden="1" customHeight="1" x14ac:dyDescent="0.3">
      <c r="A886" s="9">
        <v>44592</v>
      </c>
      <c r="B886" s="63" t="s">
        <v>196</v>
      </c>
      <c r="C886" s="7">
        <v>76791</v>
      </c>
      <c r="D886" s="7"/>
      <c r="E886" s="7">
        <v>76791</v>
      </c>
      <c r="F886" s="7">
        <v>-1996566</v>
      </c>
      <c r="G886" s="66"/>
      <c r="H886" s="10"/>
      <c r="I886" s="7">
        <f>+IF(FINANCIACION[[#This Row],[$ CAPITAL]]&gt;0,FINANCIACION[[#This Row],[$ CAPITAL]])</f>
        <v>76791</v>
      </c>
      <c r="J886" s="41">
        <f>+IF(FINANCIACION[[#This Row],[$ CAPITAL]]&gt;=0,FINANCIACION[[#This Row],[$ CAPITAL]]+FINANCIACION[[#This Row],[$ INTERESES]],0)</f>
        <v>76791</v>
      </c>
    </row>
    <row r="887" spans="1:10" ht="24" hidden="1" customHeight="1" x14ac:dyDescent="0.3">
      <c r="A887" s="9">
        <v>44592</v>
      </c>
      <c r="B887" s="63" t="s">
        <v>197</v>
      </c>
      <c r="C887" s="7"/>
      <c r="D887" s="7">
        <v>142099</v>
      </c>
      <c r="E887" s="7">
        <v>142099</v>
      </c>
      <c r="F887" s="7">
        <v>0</v>
      </c>
      <c r="G887" s="66"/>
      <c r="H887" s="10"/>
      <c r="I887" s="7" t="b">
        <f>+IF(FINANCIACION[[#This Row],[$ CAPITAL]]&gt;0,FINANCIACION[[#This Row],[$ CAPITAL]])</f>
        <v>0</v>
      </c>
      <c r="J887" s="41">
        <f>+IF(FINANCIACION[[#This Row],[$ CAPITAL]]&gt;=0,FINANCIACION[[#This Row],[$ CAPITAL]]+FINANCIACION[[#This Row],[$ INTERESES]],0)</f>
        <v>142099</v>
      </c>
    </row>
    <row r="888" spans="1:10" ht="24" hidden="1" customHeight="1" x14ac:dyDescent="0.3">
      <c r="A888" s="9">
        <v>44592</v>
      </c>
      <c r="B888" s="63" t="s">
        <v>297</v>
      </c>
      <c r="C888" s="7">
        <v>1498393</v>
      </c>
      <c r="D888" s="7"/>
      <c r="E888" s="7">
        <v>1498393</v>
      </c>
      <c r="F888" s="7">
        <v>-59935720</v>
      </c>
      <c r="G888" s="66"/>
      <c r="H888" s="10"/>
      <c r="I888" s="7">
        <f>+IF(FINANCIACION[[#This Row],[$ CAPITAL]]&gt;0,FINANCIACION[[#This Row],[$ CAPITAL]])</f>
        <v>1498393</v>
      </c>
      <c r="J888" s="41">
        <f>+IF(FINANCIACION[[#This Row],[$ CAPITAL]]&gt;=0,FINANCIACION[[#This Row],[$ CAPITAL]]+FINANCIACION[[#This Row],[$ INTERESES]],0)</f>
        <v>1498393</v>
      </c>
    </row>
    <row r="889" spans="1:10" ht="24" hidden="1" customHeight="1" x14ac:dyDescent="0.3">
      <c r="A889" s="9">
        <v>44592</v>
      </c>
      <c r="B889" s="63" t="s">
        <v>421</v>
      </c>
      <c r="C889" s="7">
        <v>592703</v>
      </c>
      <c r="D889" s="7"/>
      <c r="E889" s="7">
        <v>592703</v>
      </c>
      <c r="F889" s="7">
        <v>-23708120</v>
      </c>
      <c r="G889" s="66"/>
      <c r="H889" s="10"/>
      <c r="I889" s="7">
        <f>+IF(FINANCIACION[[#This Row],[$ CAPITAL]]&gt;0,FINANCIACION[[#This Row],[$ CAPITAL]])</f>
        <v>592703</v>
      </c>
      <c r="J889" s="41">
        <f>+IF(FINANCIACION[[#This Row],[$ CAPITAL]]&gt;=0,FINANCIACION[[#This Row],[$ CAPITAL]]+FINANCIACION[[#This Row],[$ INTERESES]],0)</f>
        <v>592703</v>
      </c>
    </row>
    <row r="890" spans="1:10" ht="24" hidden="1" customHeight="1" x14ac:dyDescent="0.3">
      <c r="A890" s="9">
        <v>44592</v>
      </c>
      <c r="B890" s="63" t="s">
        <v>543</v>
      </c>
      <c r="C890" s="7">
        <v>1368769</v>
      </c>
      <c r="D890" s="7"/>
      <c r="E890" s="7">
        <v>1368769</v>
      </c>
      <c r="F890" s="7">
        <v>-54750760</v>
      </c>
      <c r="G890" s="66"/>
      <c r="H890" s="10"/>
      <c r="I890" s="7">
        <f>+IF(FINANCIACION[[#This Row],[$ CAPITAL]]&gt;0,FINANCIACION[[#This Row],[$ CAPITAL]])</f>
        <v>1368769</v>
      </c>
      <c r="J890" s="41">
        <f>+IF(FINANCIACION[[#This Row],[$ CAPITAL]]&gt;=0,FINANCIACION[[#This Row],[$ CAPITAL]]+FINANCIACION[[#This Row],[$ INTERESES]],0)</f>
        <v>1368769</v>
      </c>
    </row>
    <row r="891" spans="1:10" ht="24" hidden="1" customHeight="1" x14ac:dyDescent="0.3">
      <c r="A891" s="9">
        <v>44592</v>
      </c>
      <c r="B891" s="63" t="s">
        <v>962</v>
      </c>
      <c r="C891" s="7">
        <v>158777.96000000089</v>
      </c>
      <c r="D891" s="7"/>
      <c r="E891" s="7">
        <v>158777.96000000089</v>
      </c>
      <c r="F891" s="7">
        <v>-57737440</v>
      </c>
      <c r="G891" s="66"/>
      <c r="H891" s="10"/>
      <c r="I891" s="7">
        <f>+IF(FINANCIACION[[#This Row],[$ CAPITAL]]&gt;0,FINANCIACION[[#This Row],[$ CAPITAL]])</f>
        <v>158777.96000000089</v>
      </c>
      <c r="J891" s="41">
        <f>+IF(FINANCIACION[[#This Row],[$ CAPITAL]]&gt;=0,FINANCIACION[[#This Row],[$ CAPITAL]]+FINANCIACION[[#This Row],[$ INTERESES]],0)</f>
        <v>158777.96000000089</v>
      </c>
    </row>
    <row r="892" spans="1:10" ht="24" hidden="1" customHeight="1" x14ac:dyDescent="0.3">
      <c r="A892" s="9">
        <v>44592</v>
      </c>
      <c r="B892" s="63" t="s">
        <v>203</v>
      </c>
      <c r="C892" s="7">
        <v>-2574004</v>
      </c>
      <c r="D892" s="7"/>
      <c r="E892" s="7" t="s">
        <v>146</v>
      </c>
      <c r="F892" s="7">
        <v>-2547513</v>
      </c>
      <c r="G892" s="66"/>
      <c r="H892" s="10"/>
      <c r="I892" s="7" t="b">
        <f>+IF(FINANCIACION[[#This Row],[$ CAPITAL]]&gt;0,FINANCIACION[[#This Row],[$ CAPITAL]])</f>
        <v>0</v>
      </c>
      <c r="J892" s="41">
        <f>+IF(FINANCIACION[[#This Row],[$ CAPITAL]]&gt;=0,FINANCIACION[[#This Row],[$ CAPITAL]]+FINANCIACION[[#This Row],[$ INTERESES]],0)</f>
        <v>0</v>
      </c>
    </row>
    <row r="893" spans="1:10" ht="24" hidden="1" customHeight="1" x14ac:dyDescent="0.3">
      <c r="A893" s="9">
        <v>44592</v>
      </c>
      <c r="B893" s="63" t="s">
        <v>204</v>
      </c>
      <c r="C893" s="7">
        <v>-11936475</v>
      </c>
      <c r="D893" s="7"/>
      <c r="E893" s="7" t="s">
        <v>146</v>
      </c>
      <c r="F893" s="7">
        <v>-30496000</v>
      </c>
      <c r="G893" s="66"/>
      <c r="H893" s="10"/>
      <c r="I893" s="7" t="b">
        <f>+IF(FINANCIACION[[#This Row],[$ CAPITAL]]&gt;0,FINANCIACION[[#This Row],[$ CAPITAL]])</f>
        <v>0</v>
      </c>
      <c r="J893" s="41">
        <f>+IF(FINANCIACION[[#This Row],[$ CAPITAL]]&gt;=0,FINANCIACION[[#This Row],[$ CAPITAL]]+FINANCIACION[[#This Row],[$ INTERESES]],0)</f>
        <v>0</v>
      </c>
    </row>
    <row r="894" spans="1:10" ht="24" hidden="1" customHeight="1" x14ac:dyDescent="0.3">
      <c r="A894" s="9">
        <v>44592</v>
      </c>
      <c r="B894" s="63" t="s">
        <v>205</v>
      </c>
      <c r="C894" s="7">
        <v>-404277</v>
      </c>
      <c r="D894" s="7"/>
      <c r="E894" s="7" t="s">
        <v>146</v>
      </c>
      <c r="F894" s="7">
        <v>-404277</v>
      </c>
      <c r="G894" s="66"/>
      <c r="H894" s="10"/>
      <c r="I894" s="7" t="b">
        <f>+IF(FINANCIACION[[#This Row],[$ CAPITAL]]&gt;0,FINANCIACION[[#This Row],[$ CAPITAL]])</f>
        <v>0</v>
      </c>
      <c r="J894" s="41">
        <f>+IF(FINANCIACION[[#This Row],[$ CAPITAL]]&gt;=0,FINANCIACION[[#This Row],[$ CAPITAL]]+FINANCIACION[[#This Row],[$ INTERESES]],0)</f>
        <v>0</v>
      </c>
    </row>
    <row r="895" spans="1:10" ht="24" hidden="1" customHeight="1" x14ac:dyDescent="0.3">
      <c r="A895" s="9">
        <v>44595</v>
      </c>
      <c r="B895" s="63" t="s">
        <v>199</v>
      </c>
      <c r="C895" s="7">
        <v>6326000</v>
      </c>
      <c r="D895" s="7">
        <v>1202180.5199999996</v>
      </c>
      <c r="E895" s="7">
        <v>7528180.5199999996</v>
      </c>
      <c r="F895" s="7">
        <v>-3431126</v>
      </c>
      <c r="G895" s="66"/>
      <c r="H895" s="10"/>
      <c r="I895" s="7">
        <f>+IF(FINANCIACION[[#This Row],[$ CAPITAL]]&gt;0,FINANCIACION[[#This Row],[$ CAPITAL]])</f>
        <v>6326000</v>
      </c>
      <c r="J895" s="41">
        <f>+IF(FINANCIACION[[#This Row],[$ CAPITAL]]&gt;=0,FINANCIACION[[#This Row],[$ CAPITAL]]+FINANCIACION[[#This Row],[$ INTERESES]],0)</f>
        <v>7528180.5199999996</v>
      </c>
    </row>
    <row r="896" spans="1:10" ht="24" hidden="1" customHeight="1" x14ac:dyDescent="0.3">
      <c r="A896" s="9">
        <v>44596</v>
      </c>
      <c r="B896" s="63" t="s">
        <v>1242</v>
      </c>
      <c r="C896" s="7">
        <v>-20855747.98</v>
      </c>
      <c r="D896" s="7"/>
      <c r="E896" s="7" t="s">
        <v>146</v>
      </c>
      <c r="F896" s="7">
        <v>-20855747.98</v>
      </c>
      <c r="G896" s="66"/>
      <c r="H896" s="10"/>
      <c r="I896" s="7" t="b">
        <f>+IF(FINANCIACION[[#This Row],[$ CAPITAL]]&gt;0,FINANCIACION[[#This Row],[$ CAPITAL]])</f>
        <v>0</v>
      </c>
      <c r="J896" s="41">
        <f>+IF(FINANCIACION[[#This Row],[$ CAPITAL]]&gt;=0,FINANCIACION[[#This Row],[$ CAPITAL]]+FINANCIACION[[#This Row],[$ INTERESES]],0)</f>
        <v>0</v>
      </c>
    </row>
    <row r="897" spans="1:10" ht="24" hidden="1" customHeight="1" x14ac:dyDescent="0.3">
      <c r="A897" s="9">
        <v>44599</v>
      </c>
      <c r="B897" s="63" t="s">
        <v>197</v>
      </c>
      <c r="C897" s="7"/>
      <c r="D897" s="7">
        <v>387748</v>
      </c>
      <c r="E897" s="7">
        <v>387748</v>
      </c>
      <c r="F897" s="7">
        <v>0</v>
      </c>
      <c r="G897" s="66"/>
      <c r="H897" s="10"/>
      <c r="I897" s="7" t="b">
        <f>+IF(FINANCIACION[[#This Row],[$ CAPITAL]]&gt;0,FINANCIACION[[#This Row],[$ CAPITAL]])</f>
        <v>0</v>
      </c>
      <c r="J897" s="41">
        <f>+IF(FINANCIACION[[#This Row],[$ CAPITAL]]&gt;=0,FINANCIACION[[#This Row],[$ CAPITAL]]+FINANCIACION[[#This Row],[$ INTERESES]],0)</f>
        <v>387748</v>
      </c>
    </row>
    <row r="898" spans="1:10" ht="24" hidden="1" customHeight="1" x14ac:dyDescent="0.3">
      <c r="A898" s="9">
        <v>44600</v>
      </c>
      <c r="B898" s="63" t="s">
        <v>205</v>
      </c>
      <c r="C898" s="7">
        <v>404277</v>
      </c>
      <c r="D898" s="7"/>
      <c r="E898" s="7">
        <v>404277</v>
      </c>
      <c r="F898" s="7">
        <v>0</v>
      </c>
      <c r="G898" s="66"/>
      <c r="H898" s="10"/>
      <c r="I898" s="7">
        <f>+IF(FINANCIACION[[#This Row],[$ CAPITAL]]&gt;0,FINANCIACION[[#This Row],[$ CAPITAL]])</f>
        <v>404277</v>
      </c>
      <c r="J898" s="41">
        <f>+IF(FINANCIACION[[#This Row],[$ CAPITAL]]&gt;=0,FINANCIACION[[#This Row],[$ CAPITAL]]+FINANCIACION[[#This Row],[$ INTERESES]],0)</f>
        <v>404277</v>
      </c>
    </row>
    <row r="899" spans="1:10" ht="24" hidden="1" customHeight="1" x14ac:dyDescent="0.3">
      <c r="A899" s="9">
        <v>44602</v>
      </c>
      <c r="B899" s="63" t="s">
        <v>1233</v>
      </c>
      <c r="C899" s="7"/>
      <c r="D899" s="7">
        <v>130000</v>
      </c>
      <c r="E899" s="7">
        <v>130000</v>
      </c>
      <c r="F899" s="7">
        <v>-13000000</v>
      </c>
      <c r="G899" s="66"/>
      <c r="H899" s="10"/>
      <c r="I899" s="7" t="b">
        <f>+IF(FINANCIACION[[#This Row],[$ CAPITAL]]&gt;0,FINANCIACION[[#This Row],[$ CAPITAL]])</f>
        <v>0</v>
      </c>
      <c r="J899" s="41">
        <f>+IF(FINANCIACION[[#This Row],[$ CAPITAL]]&gt;=0,FINANCIACION[[#This Row],[$ CAPITAL]]+FINANCIACION[[#This Row],[$ INTERESES]],0)</f>
        <v>130000</v>
      </c>
    </row>
    <row r="900" spans="1:10" ht="24" hidden="1" customHeight="1" x14ac:dyDescent="0.3">
      <c r="A900" s="9">
        <v>44602</v>
      </c>
      <c r="B900" s="63" t="s">
        <v>1237</v>
      </c>
      <c r="C900" s="7"/>
      <c r="D900" s="7">
        <v>400000</v>
      </c>
      <c r="E900" s="7">
        <v>400000</v>
      </c>
      <c r="F900" s="7">
        <v>-40000000</v>
      </c>
      <c r="G900" s="66"/>
      <c r="H900" s="10"/>
      <c r="I900" s="7" t="b">
        <f>+IF(FINANCIACION[[#This Row],[$ CAPITAL]]&gt;0,FINANCIACION[[#This Row],[$ CAPITAL]])</f>
        <v>0</v>
      </c>
      <c r="J900" s="41">
        <f>+IF(FINANCIACION[[#This Row],[$ CAPITAL]]&gt;=0,FINANCIACION[[#This Row],[$ CAPITAL]]+FINANCIACION[[#This Row],[$ INTERESES]],0)</f>
        <v>400000</v>
      </c>
    </row>
    <row r="901" spans="1:10" ht="24" hidden="1" customHeight="1" x14ac:dyDescent="0.3">
      <c r="A901" s="9">
        <v>44602</v>
      </c>
      <c r="B901" s="63" t="s">
        <v>1222</v>
      </c>
      <c r="C901" s="7">
        <v>2004680.8650897644</v>
      </c>
      <c r="D901" s="7">
        <v>672697.13491023553</v>
      </c>
      <c r="E901" s="7">
        <v>2677378</v>
      </c>
      <c r="F901" s="7">
        <v>-65265032.625933789</v>
      </c>
      <c r="G901" s="66"/>
      <c r="H901" s="10"/>
      <c r="I901" s="7">
        <f>+IF(FINANCIACION[[#This Row],[$ CAPITAL]]&gt;0,FINANCIACION[[#This Row],[$ CAPITAL]])</f>
        <v>2004680.8650897644</v>
      </c>
      <c r="J901" s="41">
        <f>+IF(FINANCIACION[[#This Row],[$ CAPITAL]]&gt;=0,FINANCIACION[[#This Row],[$ CAPITAL]]+FINANCIACION[[#This Row],[$ INTERESES]],0)</f>
        <v>2677378</v>
      </c>
    </row>
    <row r="902" spans="1:10" ht="24" hidden="1" customHeight="1" x14ac:dyDescent="0.3">
      <c r="A902" s="9">
        <v>44602</v>
      </c>
      <c r="B902" s="63" t="s">
        <v>1226</v>
      </c>
      <c r="C902" s="7">
        <v>772351.78970176273</v>
      </c>
      <c r="D902" s="7">
        <v>527648.21029823727</v>
      </c>
      <c r="E902" s="7">
        <v>1300000</v>
      </c>
      <c r="F902" s="7">
        <v>-51992469.240121968</v>
      </c>
      <c r="G902" s="66"/>
      <c r="H902" s="10"/>
      <c r="I902" s="7">
        <f>+IF(FINANCIACION[[#This Row],[$ CAPITAL]]&gt;0,FINANCIACION[[#This Row],[$ CAPITAL]])</f>
        <v>772351.78970176273</v>
      </c>
      <c r="J902" s="41">
        <f>+IF(FINANCIACION[[#This Row],[$ CAPITAL]]&gt;=0,FINANCIACION[[#This Row],[$ CAPITAL]]+FINANCIACION[[#This Row],[$ INTERESES]],0)</f>
        <v>1300000</v>
      </c>
    </row>
    <row r="903" spans="1:10" ht="24" hidden="1" customHeight="1" x14ac:dyDescent="0.3">
      <c r="A903" s="9">
        <v>44602</v>
      </c>
      <c r="B903" s="63" t="s">
        <v>1223</v>
      </c>
      <c r="C903" s="7">
        <v>500184.26457863883</v>
      </c>
      <c r="D903" s="7">
        <v>699815.73542136117</v>
      </c>
      <c r="E903" s="7">
        <v>1200000</v>
      </c>
      <c r="F903" s="7">
        <v>-69481389.277557477</v>
      </c>
      <c r="G903" s="66"/>
      <c r="H903" s="10"/>
      <c r="I903" s="7">
        <f>+IF(FINANCIACION[[#This Row],[$ CAPITAL]]&gt;0,FINANCIACION[[#This Row],[$ CAPITAL]])</f>
        <v>500184.26457863883</v>
      </c>
      <c r="J903" s="41">
        <f>+IF(FINANCIACION[[#This Row],[$ CAPITAL]]&gt;=0,FINANCIACION[[#This Row],[$ CAPITAL]]+FINANCIACION[[#This Row],[$ INTERESES]],0)</f>
        <v>1200000</v>
      </c>
    </row>
    <row r="904" spans="1:10" ht="24" hidden="1" customHeight="1" x14ac:dyDescent="0.3">
      <c r="A904" s="9">
        <v>44602</v>
      </c>
      <c r="B904" s="63" t="s">
        <v>1235</v>
      </c>
      <c r="C904" s="7"/>
      <c r="D904" s="7">
        <v>120000</v>
      </c>
      <c r="E904" s="7">
        <v>120000</v>
      </c>
      <c r="F904" s="7">
        <v>-12000000</v>
      </c>
      <c r="G904" s="66"/>
      <c r="H904" s="10"/>
      <c r="I904" s="7" t="b">
        <f>+IF(FINANCIACION[[#This Row],[$ CAPITAL]]&gt;0,FINANCIACION[[#This Row],[$ CAPITAL]])</f>
        <v>0</v>
      </c>
      <c r="J904" s="41">
        <f>+IF(FINANCIACION[[#This Row],[$ CAPITAL]]&gt;=0,FINANCIACION[[#This Row],[$ CAPITAL]]+FINANCIACION[[#This Row],[$ INTERESES]],0)</f>
        <v>120000</v>
      </c>
    </row>
    <row r="905" spans="1:10" ht="24" hidden="1" customHeight="1" x14ac:dyDescent="0.3">
      <c r="A905" s="9">
        <v>44606</v>
      </c>
      <c r="B905" s="63" t="s">
        <v>202</v>
      </c>
      <c r="C905" s="7">
        <v>1944444</v>
      </c>
      <c r="D905" s="7">
        <v>243179.9</v>
      </c>
      <c r="E905" s="7">
        <v>2187623.9</v>
      </c>
      <c r="F905" s="7">
        <v>-29166668</v>
      </c>
      <c r="G905" s="66"/>
      <c r="H905" s="10"/>
      <c r="I905" s="7">
        <f>+IF(FINANCIACION[[#This Row],[$ CAPITAL]]&gt;0,FINANCIACION[[#This Row],[$ CAPITAL]])</f>
        <v>1944444</v>
      </c>
      <c r="J905" s="41">
        <f>+IF(FINANCIACION[[#This Row],[$ CAPITAL]]&gt;=0,FINANCIACION[[#This Row],[$ CAPITAL]]+FINANCIACION[[#This Row],[$ INTERESES]],0)</f>
        <v>2187623.9</v>
      </c>
    </row>
    <row r="906" spans="1:10" ht="24" hidden="1" customHeight="1" x14ac:dyDescent="0.3">
      <c r="A906" s="9">
        <v>44606</v>
      </c>
      <c r="B906" s="63" t="s">
        <v>203</v>
      </c>
      <c r="C906" s="7">
        <v>1500000</v>
      </c>
      <c r="D906" s="7"/>
      <c r="E906" s="7">
        <v>1500000</v>
      </c>
      <c r="F906" s="7">
        <v>-1047513</v>
      </c>
      <c r="G906" s="66"/>
      <c r="H906" s="10"/>
      <c r="I906" s="7">
        <f>+IF(FINANCIACION[[#This Row],[$ CAPITAL]]&gt;0,FINANCIACION[[#This Row],[$ CAPITAL]])</f>
        <v>1500000</v>
      </c>
      <c r="J906" s="41">
        <f>+IF(FINANCIACION[[#This Row],[$ CAPITAL]]&gt;=0,FINANCIACION[[#This Row],[$ CAPITAL]]+FINANCIACION[[#This Row],[$ INTERESES]],0)</f>
        <v>1500000</v>
      </c>
    </row>
    <row r="907" spans="1:10" ht="24" customHeight="1" x14ac:dyDescent="0.3">
      <c r="A907" s="9">
        <v>44607</v>
      </c>
      <c r="B907" s="63" t="s">
        <v>1240</v>
      </c>
      <c r="C907" s="7">
        <v>-640000</v>
      </c>
      <c r="D907" s="7"/>
      <c r="E907" s="7" t="s">
        <v>146</v>
      </c>
      <c r="F907" s="7">
        <v>-23945032.5</v>
      </c>
      <c r="G907" s="66" t="s">
        <v>1243</v>
      </c>
      <c r="H907" s="10"/>
      <c r="I907" s="7" t="b">
        <f>+IF(FINANCIACION[[#This Row],[$ CAPITAL]]&gt;0,FINANCIACION[[#This Row],[$ CAPITAL]])</f>
        <v>0</v>
      </c>
      <c r="J907" s="41">
        <f>+IF(FINANCIACION[[#This Row],[$ CAPITAL]]&gt;=0,FINANCIACION[[#This Row],[$ CAPITAL]]+FINANCIACION[[#This Row],[$ INTERESES]],0)</f>
        <v>0</v>
      </c>
    </row>
    <row r="908" spans="1:10" ht="24" hidden="1" customHeight="1" x14ac:dyDescent="0.3">
      <c r="A908" s="9">
        <v>44608</v>
      </c>
      <c r="B908" s="63" t="s">
        <v>203</v>
      </c>
      <c r="C908" s="7">
        <v>100000</v>
      </c>
      <c r="D908" s="7"/>
      <c r="E908" s="7">
        <v>100000</v>
      </c>
      <c r="F908" s="7">
        <v>-947513</v>
      </c>
      <c r="G908" s="66"/>
      <c r="H908" s="10"/>
      <c r="I908" s="7">
        <f>+IF(FINANCIACION[[#This Row],[$ CAPITAL]]&gt;0,FINANCIACION[[#This Row],[$ CAPITAL]])</f>
        <v>100000</v>
      </c>
      <c r="J908" s="41">
        <f>+IF(FINANCIACION[[#This Row],[$ CAPITAL]]&gt;=0,FINANCIACION[[#This Row],[$ CAPITAL]]+FINANCIACION[[#This Row],[$ INTERESES]],0)</f>
        <v>100000</v>
      </c>
    </row>
    <row r="909" spans="1:10" ht="24" hidden="1" customHeight="1" x14ac:dyDescent="0.3">
      <c r="A909" s="9">
        <v>44609</v>
      </c>
      <c r="B909" s="63" t="s">
        <v>197</v>
      </c>
      <c r="C909" s="7"/>
      <c r="D909" s="7">
        <v>293434</v>
      </c>
      <c r="E909" s="7">
        <v>293434</v>
      </c>
      <c r="F909" s="7">
        <v>0</v>
      </c>
      <c r="G909" s="66"/>
      <c r="H909" s="10"/>
      <c r="I909" s="7" t="b">
        <f>+IF(FINANCIACION[[#This Row],[$ CAPITAL]]&gt;0,FINANCIACION[[#This Row],[$ CAPITAL]])</f>
        <v>0</v>
      </c>
      <c r="J909" s="41">
        <f>+IF(FINANCIACION[[#This Row],[$ CAPITAL]]&gt;=0,FINANCIACION[[#This Row],[$ CAPITAL]]+FINANCIACION[[#This Row],[$ INTERESES]],0)</f>
        <v>293434</v>
      </c>
    </row>
    <row r="910" spans="1:10" ht="24" hidden="1" customHeight="1" x14ac:dyDescent="0.3">
      <c r="A910" s="9">
        <v>44610</v>
      </c>
      <c r="B910" s="63" t="s">
        <v>1224</v>
      </c>
      <c r="C910" s="7">
        <v>5809351</v>
      </c>
      <c r="D910" s="7">
        <v>379619</v>
      </c>
      <c r="E910" s="7">
        <v>6188970</v>
      </c>
      <c r="F910" s="7">
        <v>-330806810</v>
      </c>
      <c r="G910" s="66"/>
      <c r="H910" s="10"/>
      <c r="I910" s="7">
        <f>+IF(FINANCIACION[[#This Row],[$ CAPITAL]]&gt;0,FINANCIACION[[#This Row],[$ CAPITAL]])</f>
        <v>5809351</v>
      </c>
      <c r="J910" s="41">
        <f>+IF(FINANCIACION[[#This Row],[$ CAPITAL]]&gt;=0,FINANCIACION[[#This Row],[$ CAPITAL]]+FINANCIACION[[#This Row],[$ INTERESES]],0)</f>
        <v>6188970</v>
      </c>
    </row>
    <row r="911" spans="1:10" ht="24" hidden="1" customHeight="1" x14ac:dyDescent="0.3">
      <c r="A911" s="9">
        <v>44610</v>
      </c>
      <c r="B911" s="63" t="s">
        <v>1225</v>
      </c>
      <c r="C911" s="7">
        <v>1442346.3600000031</v>
      </c>
      <c r="D911" s="7">
        <v>20653.639999996871</v>
      </c>
      <c r="E911" s="7">
        <v>1463000</v>
      </c>
      <c r="F911" s="7">
        <v>-17084714.229999982</v>
      </c>
      <c r="G911" s="66"/>
      <c r="H911" s="10"/>
      <c r="I911" s="7">
        <f>+IF(FINANCIACION[[#This Row],[$ CAPITAL]]&gt;0,FINANCIACION[[#This Row],[$ CAPITAL]])</f>
        <v>1442346.3600000031</v>
      </c>
      <c r="J911" s="41">
        <f>+IF(FINANCIACION[[#This Row],[$ CAPITAL]]&gt;=0,FINANCIACION[[#This Row],[$ CAPITAL]]+FINANCIACION[[#This Row],[$ INTERESES]],0)</f>
        <v>1463000</v>
      </c>
    </row>
    <row r="912" spans="1:10" ht="24" hidden="1" customHeight="1" x14ac:dyDescent="0.3">
      <c r="A912" s="9">
        <v>44610</v>
      </c>
      <c r="B912" s="63" t="s">
        <v>1236</v>
      </c>
      <c r="C912" s="7">
        <v>1196742.2400000002</v>
      </c>
      <c r="D912" s="7">
        <v>16257.759999999776</v>
      </c>
      <c r="E912" s="7">
        <v>1213000</v>
      </c>
      <c r="F912" s="7">
        <v>-15430152.789999997</v>
      </c>
      <c r="G912" s="66"/>
      <c r="H912" s="10"/>
      <c r="I912" s="7">
        <f>+IF(FINANCIACION[[#This Row],[$ CAPITAL]]&gt;0,FINANCIACION[[#This Row],[$ CAPITAL]])</f>
        <v>1196742.2400000002</v>
      </c>
      <c r="J912" s="41">
        <f>+IF(FINANCIACION[[#This Row],[$ CAPITAL]]&gt;=0,FINANCIACION[[#This Row],[$ CAPITAL]]+FINANCIACION[[#This Row],[$ INTERESES]],0)</f>
        <v>1213000</v>
      </c>
    </row>
    <row r="913" spans="1:10" ht="24" hidden="1" customHeight="1" x14ac:dyDescent="0.3">
      <c r="A913" s="9">
        <v>44610</v>
      </c>
      <c r="B913" s="63" t="s">
        <v>1228</v>
      </c>
      <c r="C913" s="7">
        <v>2431910.3800000027</v>
      </c>
      <c r="D913" s="7">
        <v>35089.619999997318</v>
      </c>
      <c r="E913" s="7">
        <v>2467000</v>
      </c>
      <c r="F913" s="7">
        <v>-33314760.919999994</v>
      </c>
      <c r="G913" s="66"/>
      <c r="H913" s="10"/>
      <c r="I913" s="7">
        <f>+IF(FINANCIACION[[#This Row],[$ CAPITAL]]&gt;0,FINANCIACION[[#This Row],[$ CAPITAL]])</f>
        <v>2431910.3800000027</v>
      </c>
      <c r="J913" s="41">
        <f>+IF(FINANCIACION[[#This Row],[$ CAPITAL]]&gt;=0,FINANCIACION[[#This Row],[$ CAPITAL]]+FINANCIACION[[#This Row],[$ INTERESES]],0)</f>
        <v>2467000</v>
      </c>
    </row>
    <row r="914" spans="1:10" ht="24" hidden="1" customHeight="1" x14ac:dyDescent="0.3">
      <c r="A914" s="9">
        <v>44610</v>
      </c>
      <c r="B914" s="63" t="s">
        <v>1229</v>
      </c>
      <c r="C914" s="7">
        <v>3565246.3100000024</v>
      </c>
      <c r="D914" s="7">
        <v>55753.689999997616</v>
      </c>
      <c r="E914" s="7">
        <v>3621000</v>
      </c>
      <c r="F914" s="7">
        <v>-48051033.019999996</v>
      </c>
      <c r="G914" s="66"/>
      <c r="H914" s="10"/>
      <c r="I914" s="7">
        <f>+IF(FINANCIACION[[#This Row],[$ CAPITAL]]&gt;0,FINANCIACION[[#This Row],[$ CAPITAL]])</f>
        <v>3565246.3100000024</v>
      </c>
      <c r="J914" s="41">
        <f>+IF(FINANCIACION[[#This Row],[$ CAPITAL]]&gt;=0,FINANCIACION[[#This Row],[$ CAPITAL]]+FINANCIACION[[#This Row],[$ INTERESES]],0)</f>
        <v>3621000</v>
      </c>
    </row>
    <row r="915" spans="1:10" ht="24" hidden="1" customHeight="1" x14ac:dyDescent="0.3">
      <c r="A915" s="9">
        <v>44610</v>
      </c>
      <c r="B915" s="63" t="s">
        <v>1230</v>
      </c>
      <c r="C915" s="7">
        <v>959607.48000000045</v>
      </c>
      <c r="D915" s="7">
        <v>16392.519999999553</v>
      </c>
      <c r="E915" s="7">
        <v>976000</v>
      </c>
      <c r="F915" s="7">
        <v>-13807832.670000009</v>
      </c>
      <c r="G915" s="66"/>
      <c r="H915" s="10"/>
      <c r="I915" s="7">
        <f>+IF(FINANCIACION[[#This Row],[$ CAPITAL]]&gt;0,FINANCIACION[[#This Row],[$ CAPITAL]])</f>
        <v>959607.48000000045</v>
      </c>
      <c r="J915" s="41">
        <f>+IF(FINANCIACION[[#This Row],[$ CAPITAL]]&gt;=0,FINANCIACION[[#This Row],[$ CAPITAL]]+FINANCIACION[[#This Row],[$ INTERESES]],0)</f>
        <v>976000</v>
      </c>
    </row>
    <row r="916" spans="1:10" ht="24" hidden="1" customHeight="1" x14ac:dyDescent="0.3">
      <c r="A916" s="9">
        <v>44610</v>
      </c>
      <c r="B916" s="63" t="s">
        <v>1232</v>
      </c>
      <c r="C916" s="7">
        <v>1011776.2199999988</v>
      </c>
      <c r="D916" s="7">
        <v>18223.780000001192</v>
      </c>
      <c r="E916" s="7">
        <v>1030000</v>
      </c>
      <c r="F916" s="7">
        <v>-15351100.940000005</v>
      </c>
      <c r="G916" s="66"/>
      <c r="H916" s="10"/>
      <c r="I916" s="7">
        <f>+IF(FINANCIACION[[#This Row],[$ CAPITAL]]&gt;0,FINANCIACION[[#This Row],[$ CAPITAL]])</f>
        <v>1011776.2199999988</v>
      </c>
      <c r="J916" s="41">
        <f>+IF(FINANCIACION[[#This Row],[$ CAPITAL]]&gt;=0,FINANCIACION[[#This Row],[$ CAPITAL]]+FINANCIACION[[#This Row],[$ INTERESES]],0)</f>
        <v>1030000</v>
      </c>
    </row>
    <row r="917" spans="1:10" ht="24" hidden="1" customHeight="1" x14ac:dyDescent="0.3">
      <c r="A917" s="9">
        <v>44610</v>
      </c>
      <c r="B917" s="63" t="s">
        <v>1238</v>
      </c>
      <c r="C917" s="7">
        <v>489945.29999999702</v>
      </c>
      <c r="D917" s="7">
        <v>72054.70000000298</v>
      </c>
      <c r="E917" s="7">
        <v>562000</v>
      </c>
      <c r="F917" s="7">
        <v>-79370302.150000006</v>
      </c>
      <c r="G917" s="66"/>
      <c r="H917" s="10"/>
      <c r="I917" s="7">
        <f>+IF(FINANCIACION[[#This Row],[$ CAPITAL]]&gt;0,FINANCIACION[[#This Row],[$ CAPITAL]])</f>
        <v>489945.29999999702</v>
      </c>
      <c r="J917" s="41">
        <f>+IF(FINANCIACION[[#This Row],[$ CAPITAL]]&gt;=0,FINANCIACION[[#This Row],[$ CAPITAL]]+FINANCIACION[[#This Row],[$ INTERESES]],0)</f>
        <v>562000</v>
      </c>
    </row>
    <row r="918" spans="1:10" ht="24" customHeight="1" x14ac:dyDescent="0.3">
      <c r="A918" s="9">
        <v>44620</v>
      </c>
      <c r="B918" s="63" t="s">
        <v>1240</v>
      </c>
      <c r="C918" s="7">
        <v>-1100000</v>
      </c>
      <c r="D918" s="7"/>
      <c r="E918" s="7" t="s">
        <v>146</v>
      </c>
      <c r="F918" s="7">
        <v>-33517032.5</v>
      </c>
      <c r="G918" s="66" t="s">
        <v>1244</v>
      </c>
      <c r="H918" s="10"/>
      <c r="I918" s="7" t="b">
        <f>+IF(FINANCIACION[[#This Row],[$ CAPITAL]]&gt;0,FINANCIACION[[#This Row],[$ CAPITAL]])</f>
        <v>0</v>
      </c>
      <c r="J918" s="41">
        <f>+IF(FINANCIACION[[#This Row],[$ CAPITAL]]&gt;=0,FINANCIACION[[#This Row],[$ CAPITAL]]+FINANCIACION[[#This Row],[$ INTERESES]],0)</f>
        <v>0</v>
      </c>
    </row>
    <row r="919" spans="1:10" ht="24" hidden="1" customHeight="1" x14ac:dyDescent="0.3">
      <c r="A919" s="9">
        <v>44620</v>
      </c>
      <c r="B919" s="63" t="s">
        <v>195</v>
      </c>
      <c r="C919" s="7">
        <v>1468400</v>
      </c>
      <c r="D919" s="7">
        <v>372910</v>
      </c>
      <c r="E919" s="7">
        <v>1841310</v>
      </c>
      <c r="F919" s="7">
        <v>-36710000</v>
      </c>
      <c r="G919" s="66"/>
      <c r="H919" s="10"/>
      <c r="I919" s="7">
        <f>+IF(FINANCIACION[[#This Row],[$ CAPITAL]]&gt;0,FINANCIACION[[#This Row],[$ CAPITAL]])</f>
        <v>1468400</v>
      </c>
      <c r="J919" s="41">
        <f>+IF(FINANCIACION[[#This Row],[$ CAPITAL]]&gt;=0,FINANCIACION[[#This Row],[$ CAPITAL]]+FINANCIACION[[#This Row],[$ INTERESES]],0)</f>
        <v>1841310</v>
      </c>
    </row>
    <row r="920" spans="1:10" ht="24" hidden="1" customHeight="1" x14ac:dyDescent="0.3">
      <c r="A920" s="9">
        <v>44620</v>
      </c>
      <c r="B920" s="63" t="s">
        <v>196</v>
      </c>
      <c r="C920" s="7">
        <v>76791</v>
      </c>
      <c r="D920" s="7"/>
      <c r="E920" s="7">
        <v>76791</v>
      </c>
      <c r="F920" s="7">
        <v>-1919775</v>
      </c>
      <c r="G920" s="66"/>
      <c r="H920" s="10"/>
      <c r="I920" s="7">
        <f>+IF(FINANCIACION[[#This Row],[$ CAPITAL]]&gt;0,FINANCIACION[[#This Row],[$ CAPITAL]])</f>
        <v>76791</v>
      </c>
      <c r="J920" s="41">
        <f>+IF(FINANCIACION[[#This Row],[$ CAPITAL]]&gt;=0,FINANCIACION[[#This Row],[$ CAPITAL]]+FINANCIACION[[#This Row],[$ INTERESES]],0)</f>
        <v>76791</v>
      </c>
    </row>
    <row r="921" spans="1:10" ht="24" hidden="1" customHeight="1" x14ac:dyDescent="0.3">
      <c r="A921" s="9">
        <v>44620</v>
      </c>
      <c r="B921" s="63" t="s">
        <v>1242</v>
      </c>
      <c r="C921" s="7">
        <v>-83758.019999999553</v>
      </c>
      <c r="D921" s="7"/>
      <c r="E921" s="7" t="s">
        <v>146</v>
      </c>
      <c r="F921" s="7">
        <v>-20939506</v>
      </c>
      <c r="G921" s="66" t="s">
        <v>233</v>
      </c>
      <c r="H921" s="10"/>
      <c r="I921" s="7" t="b">
        <f>+IF(FINANCIACION[[#This Row],[$ CAPITAL]]&gt;0,FINANCIACION[[#This Row],[$ CAPITAL]])</f>
        <v>0</v>
      </c>
      <c r="J921" s="41">
        <f>+IF(FINANCIACION[[#This Row],[$ CAPITAL]]&gt;=0,FINANCIACION[[#This Row],[$ CAPITAL]]+FINANCIACION[[#This Row],[$ INTERESES]],0)</f>
        <v>0</v>
      </c>
    </row>
    <row r="922" spans="1:10" ht="24" hidden="1" customHeight="1" x14ac:dyDescent="0.3">
      <c r="A922" s="9">
        <v>44620</v>
      </c>
      <c r="B922" s="63" t="s">
        <v>197</v>
      </c>
      <c r="C922" s="7"/>
      <c r="D922" s="7">
        <v>293845</v>
      </c>
      <c r="E922" s="7">
        <v>293845</v>
      </c>
      <c r="F922" s="7">
        <v>0</v>
      </c>
      <c r="G922" s="66"/>
      <c r="H922" s="10"/>
      <c r="I922" s="7" t="b">
        <f>+IF(FINANCIACION[[#This Row],[$ CAPITAL]]&gt;0,FINANCIACION[[#This Row],[$ CAPITAL]])</f>
        <v>0</v>
      </c>
      <c r="J922" s="41">
        <f>+IF(FINANCIACION[[#This Row],[$ CAPITAL]]&gt;=0,FINANCIACION[[#This Row],[$ CAPITAL]]+FINANCIACION[[#This Row],[$ INTERESES]],0)</f>
        <v>293845</v>
      </c>
    </row>
    <row r="923" spans="1:10" ht="24" hidden="1" customHeight="1" x14ac:dyDescent="0.3">
      <c r="A923" s="9">
        <v>44620</v>
      </c>
      <c r="B923" s="63" t="s">
        <v>197</v>
      </c>
      <c r="C923" s="7"/>
      <c r="D923" s="7">
        <v>130615</v>
      </c>
      <c r="E923" s="7">
        <v>130615</v>
      </c>
      <c r="F923" s="7">
        <v>0</v>
      </c>
      <c r="G923" s="66"/>
      <c r="H923" s="10"/>
      <c r="I923" s="7" t="b">
        <f>+IF(FINANCIACION[[#This Row],[$ CAPITAL]]&gt;0,FINANCIACION[[#This Row],[$ CAPITAL]])</f>
        <v>0</v>
      </c>
      <c r="J923" s="41">
        <f>+IF(FINANCIACION[[#This Row],[$ CAPITAL]]&gt;=0,FINANCIACION[[#This Row],[$ CAPITAL]]+FINANCIACION[[#This Row],[$ INTERESES]],0)</f>
        <v>130615</v>
      </c>
    </row>
    <row r="924" spans="1:10" ht="24" hidden="1" customHeight="1" x14ac:dyDescent="0.3">
      <c r="A924" s="9">
        <v>44620</v>
      </c>
      <c r="B924" s="63" t="s">
        <v>297</v>
      </c>
      <c r="C924" s="7">
        <v>1498393</v>
      </c>
      <c r="D924" s="7"/>
      <c r="E924" s="7">
        <v>1498393</v>
      </c>
      <c r="F924" s="7">
        <v>-58437327</v>
      </c>
      <c r="G924" s="66" t="s">
        <v>233</v>
      </c>
      <c r="H924" s="10"/>
      <c r="I924" s="7">
        <f>+IF(FINANCIACION[[#This Row],[$ CAPITAL]]&gt;0,FINANCIACION[[#This Row],[$ CAPITAL]])</f>
        <v>1498393</v>
      </c>
      <c r="J924" s="41">
        <f>+IF(FINANCIACION[[#This Row],[$ CAPITAL]]&gt;=0,FINANCIACION[[#This Row],[$ CAPITAL]]+FINANCIACION[[#This Row],[$ INTERESES]],0)</f>
        <v>1498393</v>
      </c>
    </row>
    <row r="925" spans="1:10" ht="24" hidden="1" customHeight="1" x14ac:dyDescent="0.3">
      <c r="A925" s="9">
        <v>44620</v>
      </c>
      <c r="B925" s="63" t="s">
        <v>421</v>
      </c>
      <c r="C925" s="7">
        <v>592703</v>
      </c>
      <c r="D925" s="7"/>
      <c r="E925" s="7">
        <v>592703</v>
      </c>
      <c r="F925" s="7">
        <v>-23115417</v>
      </c>
      <c r="G925" s="66" t="s">
        <v>233</v>
      </c>
      <c r="H925" s="10"/>
      <c r="I925" s="7">
        <f>+IF(FINANCIACION[[#This Row],[$ CAPITAL]]&gt;0,FINANCIACION[[#This Row],[$ CAPITAL]])</f>
        <v>592703</v>
      </c>
      <c r="J925" s="41">
        <f>+IF(FINANCIACION[[#This Row],[$ CAPITAL]]&gt;=0,FINANCIACION[[#This Row],[$ CAPITAL]]+FINANCIACION[[#This Row],[$ INTERESES]],0)</f>
        <v>592703</v>
      </c>
    </row>
    <row r="926" spans="1:10" ht="24" hidden="1" customHeight="1" x14ac:dyDescent="0.3">
      <c r="A926" s="9">
        <v>44620</v>
      </c>
      <c r="B926" s="63" t="s">
        <v>543</v>
      </c>
      <c r="C926" s="7">
        <v>1368769</v>
      </c>
      <c r="D926" s="7"/>
      <c r="E926" s="7">
        <v>1368769</v>
      </c>
      <c r="F926" s="7">
        <v>-53381991</v>
      </c>
      <c r="G926" s="66" t="s">
        <v>233</v>
      </c>
      <c r="H926" s="10"/>
      <c r="I926" s="7">
        <f>+IF(FINANCIACION[[#This Row],[$ CAPITAL]]&gt;0,FINANCIACION[[#This Row],[$ CAPITAL]])</f>
        <v>1368769</v>
      </c>
      <c r="J926" s="41">
        <f>+IF(FINANCIACION[[#This Row],[$ CAPITAL]]&gt;=0,FINANCIACION[[#This Row],[$ CAPITAL]]+FINANCIACION[[#This Row],[$ INTERESES]],0)</f>
        <v>1368769</v>
      </c>
    </row>
    <row r="927" spans="1:10" ht="24" hidden="1" customHeight="1" x14ac:dyDescent="0.3">
      <c r="A927" s="9">
        <v>44620</v>
      </c>
      <c r="B927" s="63" t="s">
        <v>962</v>
      </c>
      <c r="C927" s="7">
        <v>1443436</v>
      </c>
      <c r="D927" s="7"/>
      <c r="E927" s="7">
        <v>1443436</v>
      </c>
      <c r="F927" s="7">
        <v>-56294004</v>
      </c>
      <c r="G927" s="66" t="s">
        <v>233</v>
      </c>
      <c r="H927" s="10"/>
      <c r="I927" s="7">
        <f>+IF(FINANCIACION[[#This Row],[$ CAPITAL]]&gt;0,FINANCIACION[[#This Row],[$ CAPITAL]])</f>
        <v>1443436</v>
      </c>
      <c r="J927" s="41">
        <f>+IF(FINANCIACION[[#This Row],[$ CAPITAL]]&gt;=0,FINANCIACION[[#This Row],[$ CAPITAL]]+FINANCIACION[[#This Row],[$ INTERESES]],0)</f>
        <v>1443436</v>
      </c>
    </row>
    <row r="928" spans="1:10" ht="24" hidden="1" customHeight="1" x14ac:dyDescent="0.3">
      <c r="A928" s="9">
        <v>44620</v>
      </c>
      <c r="B928" s="63" t="s">
        <v>203</v>
      </c>
      <c r="C928" s="7">
        <v>-3279583</v>
      </c>
      <c r="D928" s="7"/>
      <c r="E928" s="7" t="s">
        <v>146</v>
      </c>
      <c r="F928" s="7">
        <v>-4227096</v>
      </c>
      <c r="G928" s="66" t="s">
        <v>233</v>
      </c>
      <c r="H928" s="10"/>
      <c r="I928" s="7" t="b">
        <f>+IF(FINANCIACION[[#This Row],[$ CAPITAL]]&gt;0,FINANCIACION[[#This Row],[$ CAPITAL]])</f>
        <v>0</v>
      </c>
      <c r="J928" s="41">
        <f>+IF(FINANCIACION[[#This Row],[$ CAPITAL]]&gt;=0,FINANCIACION[[#This Row],[$ CAPITAL]]+FINANCIACION[[#This Row],[$ INTERESES]],0)</f>
        <v>0</v>
      </c>
    </row>
    <row r="929" spans="1:10" ht="24" hidden="1" customHeight="1" x14ac:dyDescent="0.3">
      <c r="A929" s="9">
        <v>44620</v>
      </c>
      <c r="B929" s="63" t="s">
        <v>204</v>
      </c>
      <c r="C929" s="7">
        <v>-1113500</v>
      </c>
      <c r="D929" s="7"/>
      <c r="E929" s="7" t="s">
        <v>146</v>
      </c>
      <c r="F929" s="7">
        <v>-31609500</v>
      </c>
      <c r="G929" s="66" t="s">
        <v>233</v>
      </c>
      <c r="H929" s="10"/>
      <c r="I929" s="7" t="b">
        <f>+IF(FINANCIACION[[#This Row],[$ CAPITAL]]&gt;0,FINANCIACION[[#This Row],[$ CAPITAL]])</f>
        <v>0</v>
      </c>
      <c r="J929" s="41">
        <f>+IF(FINANCIACION[[#This Row],[$ CAPITAL]]&gt;=0,FINANCIACION[[#This Row],[$ CAPITAL]]+FINANCIACION[[#This Row],[$ INTERESES]],0)</f>
        <v>0</v>
      </c>
    </row>
    <row r="930" spans="1:10" ht="24" hidden="1" customHeight="1" x14ac:dyDescent="0.3">
      <c r="A930" s="9">
        <v>44620</v>
      </c>
      <c r="B930" s="63" t="s">
        <v>205</v>
      </c>
      <c r="C930" s="7">
        <v>-770850</v>
      </c>
      <c r="D930" s="7"/>
      <c r="E930" s="7" t="s">
        <v>146</v>
      </c>
      <c r="F930" s="7">
        <v>-770850</v>
      </c>
      <c r="G930" s="66" t="s">
        <v>233</v>
      </c>
      <c r="H930" s="10"/>
      <c r="I930" s="7" t="b">
        <f>+IF(FINANCIACION[[#This Row],[$ CAPITAL]]&gt;0,FINANCIACION[[#This Row],[$ CAPITAL]])</f>
        <v>0</v>
      </c>
      <c r="J930" s="41">
        <f>+IF(FINANCIACION[[#This Row],[$ CAPITAL]]&gt;=0,FINANCIACION[[#This Row],[$ CAPITAL]]+FINANCIACION[[#This Row],[$ INTERESES]],0)</f>
        <v>0</v>
      </c>
    </row>
    <row r="931" spans="1:10" ht="24" customHeight="1" x14ac:dyDescent="0.3">
      <c r="A931" s="9">
        <v>44620</v>
      </c>
      <c r="B931" s="63" t="s">
        <v>1240</v>
      </c>
      <c r="C931" s="7">
        <v>-1412000</v>
      </c>
      <c r="D931" s="7"/>
      <c r="E931" s="7" t="s">
        <v>146</v>
      </c>
      <c r="F931" s="7">
        <v>-33517032.5</v>
      </c>
      <c r="G931" s="66" t="s">
        <v>1245</v>
      </c>
      <c r="H931" s="10"/>
      <c r="I931" s="7" t="b">
        <f>+IF(FINANCIACION[[#This Row],[$ CAPITAL]]&gt;0,FINANCIACION[[#This Row],[$ CAPITAL]])</f>
        <v>0</v>
      </c>
      <c r="J931" s="41">
        <f>+IF(FINANCIACION[[#This Row],[$ CAPITAL]]&gt;=0,FINANCIACION[[#This Row],[$ CAPITAL]]+FINANCIACION[[#This Row],[$ INTERESES]],0)</f>
        <v>0</v>
      </c>
    </row>
    <row r="932" spans="1:10" ht="24" customHeight="1" x14ac:dyDescent="0.3">
      <c r="A932" s="9">
        <v>44620</v>
      </c>
      <c r="B932" s="63" t="s">
        <v>1240</v>
      </c>
      <c r="C932" s="7">
        <v>-7060000</v>
      </c>
      <c r="D932" s="7"/>
      <c r="E932" s="7" t="s">
        <v>146</v>
      </c>
      <c r="F932" s="7">
        <v>-33517032.5</v>
      </c>
      <c r="G932" s="66" t="s">
        <v>1246</v>
      </c>
      <c r="H932" s="10"/>
      <c r="I932" s="7" t="b">
        <f>+IF(FINANCIACION[[#This Row],[$ CAPITAL]]&gt;0,FINANCIACION[[#This Row],[$ CAPITAL]])</f>
        <v>0</v>
      </c>
      <c r="J932" s="41">
        <f>+IF(FINANCIACION[[#This Row],[$ CAPITAL]]&gt;=0,FINANCIACION[[#This Row],[$ CAPITAL]]+FINANCIACION[[#This Row],[$ INTERESES]],0)</f>
        <v>0</v>
      </c>
    </row>
    <row r="933" spans="1:10" ht="24" hidden="1" customHeight="1" x14ac:dyDescent="0.3">
      <c r="A933" s="9">
        <v>44623</v>
      </c>
      <c r="B933" s="63" t="s">
        <v>1239</v>
      </c>
      <c r="C933" s="7">
        <v>-30120000</v>
      </c>
      <c r="D933" s="7"/>
      <c r="E933" s="7" t="s">
        <v>146</v>
      </c>
      <c r="F933" s="7">
        <v>-30120000</v>
      </c>
      <c r="G933" s="66" t="s">
        <v>1247</v>
      </c>
      <c r="H933" s="10"/>
      <c r="I933" s="7" t="b">
        <f>+IF(FINANCIACION[[#This Row],[$ CAPITAL]]&gt;0,FINANCIACION[[#This Row],[$ CAPITAL]])</f>
        <v>0</v>
      </c>
      <c r="J933" s="41">
        <f>+IF(FINANCIACION[[#This Row],[$ CAPITAL]]&gt;=0,FINANCIACION[[#This Row],[$ CAPITAL]]+FINANCIACION[[#This Row],[$ INTERESES]],0)</f>
        <v>0</v>
      </c>
    </row>
    <row r="934" spans="1:10" ht="24" hidden="1" customHeight="1" x14ac:dyDescent="0.3">
      <c r="A934" s="9">
        <v>44624</v>
      </c>
      <c r="B934" s="63" t="s">
        <v>199</v>
      </c>
      <c r="C934" s="7">
        <v>3431126</v>
      </c>
      <c r="D934" s="7">
        <v>1152007.4500000002</v>
      </c>
      <c r="E934" s="7">
        <v>4583133.45</v>
      </c>
      <c r="F934" s="7">
        <v>0</v>
      </c>
      <c r="G934" s="66"/>
      <c r="H934" s="10"/>
      <c r="I934" s="7">
        <f>+IF(FINANCIACION[[#This Row],[$ CAPITAL]]&gt;0,FINANCIACION[[#This Row],[$ CAPITAL]])</f>
        <v>3431126</v>
      </c>
      <c r="J934" s="41">
        <f>+IF(FINANCIACION[[#This Row],[$ CAPITAL]]&gt;=0,FINANCIACION[[#This Row],[$ CAPITAL]]+FINANCIACION[[#This Row],[$ INTERESES]],0)</f>
        <v>4583133.45</v>
      </c>
    </row>
    <row r="935" spans="1:10" ht="24" hidden="1" customHeight="1" x14ac:dyDescent="0.3">
      <c r="A935" s="9">
        <v>44624</v>
      </c>
      <c r="B935" s="63" t="s">
        <v>1242</v>
      </c>
      <c r="C935" s="7">
        <v>1744958</v>
      </c>
      <c r="D935" s="7">
        <v>206988</v>
      </c>
      <c r="E935" s="7">
        <v>1951946</v>
      </c>
      <c r="F935" s="7">
        <v>-19194548</v>
      </c>
      <c r="G935" s="66"/>
      <c r="H935" s="10"/>
      <c r="I935" s="7">
        <f>+IF(FINANCIACION[[#This Row],[$ CAPITAL]]&gt;0,FINANCIACION[[#This Row],[$ CAPITAL]])</f>
        <v>1744958</v>
      </c>
      <c r="J935" s="41">
        <f>+IF(FINANCIACION[[#This Row],[$ CAPITAL]]&gt;=0,FINANCIACION[[#This Row],[$ CAPITAL]]+FINANCIACION[[#This Row],[$ INTERESES]],0)</f>
        <v>1951946</v>
      </c>
    </row>
    <row r="936" spans="1:10" ht="24" hidden="1" customHeight="1" x14ac:dyDescent="0.3">
      <c r="A936" s="9">
        <v>44627</v>
      </c>
      <c r="B936" s="63" t="s">
        <v>197</v>
      </c>
      <c r="C936" s="7"/>
      <c r="D936" s="7">
        <v>336802</v>
      </c>
      <c r="E936" s="7">
        <v>336802</v>
      </c>
      <c r="F936" s="7">
        <v>0</v>
      </c>
      <c r="G936" s="66"/>
      <c r="H936" s="10"/>
      <c r="I936" s="7" t="b">
        <f>+IF(FINANCIACION[[#This Row],[$ CAPITAL]]&gt;0,FINANCIACION[[#This Row],[$ CAPITAL]])</f>
        <v>0</v>
      </c>
      <c r="J936" s="41">
        <f>+IF(FINANCIACION[[#This Row],[$ CAPITAL]]&gt;=0,FINANCIACION[[#This Row],[$ CAPITAL]]+FINANCIACION[[#This Row],[$ INTERESES]],0)</f>
        <v>336802</v>
      </c>
    </row>
    <row r="937" spans="1:10" ht="24" hidden="1" customHeight="1" x14ac:dyDescent="0.3">
      <c r="A937" s="9">
        <v>44629</v>
      </c>
      <c r="B937" s="63" t="s">
        <v>1233</v>
      </c>
      <c r="C937" s="7"/>
      <c r="D937" s="7">
        <v>130000</v>
      </c>
      <c r="E937" s="7">
        <v>130000</v>
      </c>
      <c r="F937" s="7">
        <v>-13000000</v>
      </c>
      <c r="G937" s="66"/>
      <c r="H937" s="10"/>
      <c r="I937" s="7" t="b">
        <f>+IF(FINANCIACION[[#This Row],[$ CAPITAL]]&gt;0,FINANCIACION[[#This Row],[$ CAPITAL]])</f>
        <v>0</v>
      </c>
      <c r="J937" s="41">
        <f>+IF(FINANCIACION[[#This Row],[$ CAPITAL]]&gt;=0,FINANCIACION[[#This Row],[$ CAPITAL]]+FINANCIACION[[#This Row],[$ INTERESES]],0)</f>
        <v>130000</v>
      </c>
    </row>
    <row r="938" spans="1:10" ht="24" hidden="1" customHeight="1" x14ac:dyDescent="0.3">
      <c r="A938" s="9">
        <v>44629</v>
      </c>
      <c r="B938" s="63" t="s">
        <v>1237</v>
      </c>
      <c r="C938" s="7"/>
      <c r="D938" s="7">
        <v>400000</v>
      </c>
      <c r="E938" s="7">
        <v>400000</v>
      </c>
      <c r="F938" s="7">
        <v>-40000000</v>
      </c>
      <c r="G938" s="66"/>
      <c r="H938" s="10"/>
      <c r="I938" s="7" t="b">
        <f>+IF(FINANCIACION[[#This Row],[$ CAPITAL]]&gt;0,FINANCIACION[[#This Row],[$ CAPITAL]])</f>
        <v>0</v>
      </c>
      <c r="J938" s="41">
        <f>+IF(FINANCIACION[[#This Row],[$ CAPITAL]]&gt;=0,FINANCIACION[[#This Row],[$ CAPITAL]]+FINANCIACION[[#This Row],[$ INTERESES]],0)</f>
        <v>400000</v>
      </c>
    </row>
    <row r="939" spans="1:10" ht="24" hidden="1" customHeight="1" x14ac:dyDescent="0.3">
      <c r="A939" s="9">
        <v>44629</v>
      </c>
      <c r="B939" s="63" t="s">
        <v>1226</v>
      </c>
      <c r="C939" s="7">
        <v>780075.30759878037</v>
      </c>
      <c r="D939" s="7">
        <v>519924.69240121968</v>
      </c>
      <c r="E939" s="7">
        <v>1300000</v>
      </c>
      <c r="F939" s="7">
        <v>-51212393.932523191</v>
      </c>
      <c r="G939" s="66"/>
      <c r="H939" s="10"/>
      <c r="I939" s="7">
        <f>+IF(FINANCIACION[[#This Row],[$ CAPITAL]]&gt;0,FINANCIACION[[#This Row],[$ CAPITAL]])</f>
        <v>780075.30759878037</v>
      </c>
      <c r="J939" s="41">
        <f>+IF(FINANCIACION[[#This Row],[$ CAPITAL]]&gt;=0,FINANCIACION[[#This Row],[$ CAPITAL]]+FINANCIACION[[#This Row],[$ INTERESES]],0)</f>
        <v>1300000</v>
      </c>
    </row>
    <row r="940" spans="1:10" ht="24" hidden="1" customHeight="1" x14ac:dyDescent="0.3">
      <c r="A940" s="9">
        <v>44629</v>
      </c>
      <c r="B940" s="63" t="s">
        <v>1223</v>
      </c>
      <c r="C940" s="7">
        <v>505186.10722442495</v>
      </c>
      <c r="D940" s="7">
        <v>694813.89277557505</v>
      </c>
      <c r="E940" s="7">
        <v>1200000</v>
      </c>
      <c r="F940" s="7">
        <v>-68976203.170333058</v>
      </c>
      <c r="G940" s="66"/>
      <c r="H940" s="10"/>
      <c r="I940" s="7">
        <f>+IF(FINANCIACION[[#This Row],[$ CAPITAL]]&gt;0,FINANCIACION[[#This Row],[$ CAPITAL]])</f>
        <v>505186.10722442495</v>
      </c>
      <c r="J940" s="41">
        <f>+IF(FINANCIACION[[#This Row],[$ CAPITAL]]&gt;=0,FINANCIACION[[#This Row],[$ CAPITAL]]+FINANCIACION[[#This Row],[$ INTERESES]],0)</f>
        <v>1200000</v>
      </c>
    </row>
    <row r="941" spans="1:10" ht="24" hidden="1" customHeight="1" x14ac:dyDescent="0.3">
      <c r="A941" s="9">
        <v>44629</v>
      </c>
      <c r="B941" s="63" t="s">
        <v>1235</v>
      </c>
      <c r="C941" s="7"/>
      <c r="D941" s="7">
        <v>120000</v>
      </c>
      <c r="E941" s="7">
        <v>120000</v>
      </c>
      <c r="F941" s="7">
        <v>-12000000</v>
      </c>
      <c r="G941" s="66"/>
      <c r="H941" s="10"/>
      <c r="I941" s="7" t="b">
        <f>+IF(FINANCIACION[[#This Row],[$ CAPITAL]]&gt;0,FINANCIACION[[#This Row],[$ CAPITAL]])</f>
        <v>0</v>
      </c>
      <c r="J941" s="41">
        <f>+IF(FINANCIACION[[#This Row],[$ CAPITAL]]&gt;=0,FINANCIACION[[#This Row],[$ CAPITAL]]+FINANCIACION[[#This Row],[$ INTERESES]],0)</f>
        <v>120000</v>
      </c>
    </row>
    <row r="942" spans="1:10" ht="24" hidden="1" customHeight="1" x14ac:dyDescent="0.3">
      <c r="A942" s="9">
        <v>44630</v>
      </c>
      <c r="B942" s="63" t="s">
        <v>1222</v>
      </c>
      <c r="C942" s="7">
        <v>2024727.6737406622</v>
      </c>
      <c r="D942" s="7">
        <v>652650.32625933795</v>
      </c>
      <c r="E942" s="7">
        <v>2677378</v>
      </c>
      <c r="F942" s="7">
        <v>-63240304.952193126</v>
      </c>
      <c r="G942" s="66"/>
      <c r="H942" s="10"/>
      <c r="I942" s="7">
        <f>+IF(FINANCIACION[[#This Row],[$ CAPITAL]]&gt;0,FINANCIACION[[#This Row],[$ CAPITAL]])</f>
        <v>2024727.6737406622</v>
      </c>
      <c r="J942" s="41">
        <f>+IF(FINANCIACION[[#This Row],[$ CAPITAL]]&gt;=0,FINANCIACION[[#This Row],[$ CAPITAL]]+FINANCIACION[[#This Row],[$ INTERESES]],0)</f>
        <v>2677378</v>
      </c>
    </row>
    <row r="943" spans="1:10" ht="24" hidden="1" customHeight="1" x14ac:dyDescent="0.3">
      <c r="A943" s="9">
        <v>44634</v>
      </c>
      <c r="B943" s="63" t="s">
        <v>202</v>
      </c>
      <c r="C943" s="7">
        <v>1944444</v>
      </c>
      <c r="D943" s="7">
        <v>244294.07</v>
      </c>
      <c r="E943" s="7">
        <v>2188738.0699999998</v>
      </c>
      <c r="F943" s="7">
        <v>-27222224</v>
      </c>
      <c r="G943" s="66"/>
      <c r="H943" s="10"/>
      <c r="I943" s="7">
        <f>+IF(FINANCIACION[[#This Row],[$ CAPITAL]]&gt;0,FINANCIACION[[#This Row],[$ CAPITAL]])</f>
        <v>1944444</v>
      </c>
      <c r="J943" s="41">
        <f>+IF(FINANCIACION[[#This Row],[$ CAPITAL]]&gt;=0,FINANCIACION[[#This Row],[$ CAPITAL]]+FINANCIACION[[#This Row],[$ INTERESES]],0)</f>
        <v>2188738.0699999998</v>
      </c>
    </row>
    <row r="944" spans="1:10" ht="24" hidden="1" customHeight="1" x14ac:dyDescent="0.3">
      <c r="A944" s="9">
        <v>44637</v>
      </c>
      <c r="B944" s="63" t="s">
        <v>197</v>
      </c>
      <c r="C944" s="7"/>
      <c r="D944" s="7">
        <v>259156</v>
      </c>
      <c r="E944" s="7">
        <v>259156</v>
      </c>
      <c r="F944" s="7">
        <v>0</v>
      </c>
      <c r="G944" s="66"/>
      <c r="H944" s="10"/>
      <c r="I944" s="7" t="b">
        <f>+IF(FINANCIACION[[#This Row],[$ CAPITAL]]&gt;0,FINANCIACION[[#This Row],[$ CAPITAL]])</f>
        <v>0</v>
      </c>
      <c r="J944" s="41">
        <f>+IF(FINANCIACION[[#This Row],[$ CAPITAL]]&gt;=0,FINANCIACION[[#This Row],[$ CAPITAL]]+FINANCIACION[[#This Row],[$ INTERESES]],0)</f>
        <v>259156</v>
      </c>
    </row>
    <row r="945" spans="1:10" ht="24" hidden="1" customHeight="1" x14ac:dyDescent="0.3">
      <c r="A945" s="9">
        <v>44638</v>
      </c>
      <c r="B945" s="63" t="s">
        <v>1225</v>
      </c>
      <c r="C945" s="7">
        <v>1445291.5799999982</v>
      </c>
      <c r="D945" s="7">
        <v>18708.420000001788</v>
      </c>
      <c r="E945" s="7">
        <v>1464000</v>
      </c>
      <c r="F945" s="7">
        <v>-15639422.649999984</v>
      </c>
      <c r="G945" s="66"/>
      <c r="H945" s="10"/>
      <c r="I945" s="7">
        <f>+IF(FINANCIACION[[#This Row],[$ CAPITAL]]&gt;0,FINANCIACION[[#This Row],[$ CAPITAL]])</f>
        <v>1445291.5799999982</v>
      </c>
      <c r="J945" s="41">
        <f>+IF(FINANCIACION[[#This Row],[$ CAPITAL]]&gt;=0,FINANCIACION[[#This Row],[$ CAPITAL]]+FINANCIACION[[#This Row],[$ INTERESES]],0)</f>
        <v>1464000</v>
      </c>
    </row>
    <row r="946" spans="1:10" ht="24" hidden="1" customHeight="1" x14ac:dyDescent="0.3">
      <c r="A946" s="9">
        <v>44638</v>
      </c>
      <c r="B946" s="63" t="s">
        <v>1236</v>
      </c>
      <c r="C946" s="7">
        <v>1195055.379999999</v>
      </c>
      <c r="D946" s="7">
        <v>17944.620000001043</v>
      </c>
      <c r="E946" s="7">
        <v>1213000</v>
      </c>
      <c r="F946" s="7">
        <v>-14235097.409999998</v>
      </c>
      <c r="G946" s="66"/>
      <c r="H946" s="10"/>
      <c r="I946" s="7">
        <f>+IF(FINANCIACION[[#This Row],[$ CAPITAL]]&gt;0,FINANCIACION[[#This Row],[$ CAPITAL]])</f>
        <v>1195055.379999999</v>
      </c>
      <c r="J946" s="41">
        <f>+IF(FINANCIACION[[#This Row],[$ CAPITAL]]&gt;=0,FINANCIACION[[#This Row],[$ CAPITAL]]+FINANCIACION[[#This Row],[$ INTERESES]],0)</f>
        <v>1213000</v>
      </c>
    </row>
    <row r="947" spans="1:10" ht="24" hidden="1" customHeight="1" x14ac:dyDescent="0.3">
      <c r="A947" s="9">
        <v>44638</v>
      </c>
      <c r="B947" s="63" t="s">
        <v>1228</v>
      </c>
      <c r="C947" s="7">
        <v>2430087.4699999988</v>
      </c>
      <c r="D947" s="7">
        <v>38912.530000001192</v>
      </c>
      <c r="E947" s="7">
        <v>2469000</v>
      </c>
      <c r="F947" s="7">
        <v>-30884673.449999996</v>
      </c>
      <c r="G947" s="66"/>
      <c r="H947" s="10"/>
      <c r="I947" s="7">
        <f>+IF(FINANCIACION[[#This Row],[$ CAPITAL]]&gt;0,FINANCIACION[[#This Row],[$ CAPITAL]])</f>
        <v>2430087.4699999988</v>
      </c>
      <c r="J947" s="41">
        <f>+IF(FINANCIACION[[#This Row],[$ CAPITAL]]&gt;=0,FINANCIACION[[#This Row],[$ CAPITAL]]+FINANCIACION[[#This Row],[$ INTERESES]],0)</f>
        <v>2469000</v>
      </c>
    </row>
    <row r="948" spans="1:10" ht="24" hidden="1" customHeight="1" x14ac:dyDescent="0.3">
      <c r="A948" s="9">
        <v>44638</v>
      </c>
      <c r="B948" s="63" t="s">
        <v>1229</v>
      </c>
      <c r="C948" s="7">
        <v>3559559.6099999994</v>
      </c>
      <c r="D948" s="7">
        <v>61440.390000000596</v>
      </c>
      <c r="E948" s="7">
        <v>3621000</v>
      </c>
      <c r="F948" s="7">
        <v>-44491473.409999996</v>
      </c>
      <c r="G948" s="66"/>
      <c r="H948" s="10"/>
      <c r="I948" s="7">
        <f>+IF(FINANCIACION[[#This Row],[$ CAPITAL]]&gt;0,FINANCIACION[[#This Row],[$ CAPITAL]])</f>
        <v>3559559.6099999994</v>
      </c>
      <c r="J948" s="41">
        <f>+IF(FINANCIACION[[#This Row],[$ CAPITAL]]&gt;=0,FINANCIACION[[#This Row],[$ CAPITAL]]+FINANCIACION[[#This Row],[$ INTERESES]],0)</f>
        <v>3621000</v>
      </c>
    </row>
    <row r="949" spans="1:10" ht="24" hidden="1" customHeight="1" x14ac:dyDescent="0.3">
      <c r="A949" s="9">
        <v>44638</v>
      </c>
      <c r="B949" s="63" t="s">
        <v>1230</v>
      </c>
      <c r="C949" s="7">
        <v>963947.72999999858</v>
      </c>
      <c r="D949" s="7">
        <v>15052.270000001416</v>
      </c>
      <c r="E949" s="7">
        <v>979000</v>
      </c>
      <c r="F949" s="7">
        <v>-12843884.940000011</v>
      </c>
      <c r="G949" s="66"/>
      <c r="H949" s="10"/>
      <c r="I949" s="7">
        <f>+IF(FINANCIACION[[#This Row],[$ CAPITAL]]&gt;0,FINANCIACION[[#This Row],[$ CAPITAL]])</f>
        <v>963947.72999999858</v>
      </c>
      <c r="J949" s="41">
        <f>+IF(FINANCIACION[[#This Row],[$ CAPITAL]]&gt;=0,FINANCIACION[[#This Row],[$ CAPITAL]]+FINANCIACION[[#This Row],[$ INTERESES]],0)</f>
        <v>979000</v>
      </c>
    </row>
    <row r="950" spans="1:10" ht="24" hidden="1" customHeight="1" x14ac:dyDescent="0.3">
      <c r="A950" s="9">
        <v>44638</v>
      </c>
      <c r="B950" s="63" t="s">
        <v>1232</v>
      </c>
      <c r="C950" s="7">
        <v>1016204.9299999997</v>
      </c>
      <c r="D950" s="7">
        <v>16795.070000000298</v>
      </c>
      <c r="E950" s="7">
        <v>1033000</v>
      </c>
      <c r="F950" s="7">
        <v>-14334896.010000005</v>
      </c>
      <c r="G950" s="66"/>
      <c r="H950" s="10"/>
      <c r="I950" s="7">
        <f>+IF(FINANCIACION[[#This Row],[$ CAPITAL]]&gt;0,FINANCIACION[[#This Row],[$ CAPITAL]])</f>
        <v>1016204.9299999997</v>
      </c>
      <c r="J950" s="41">
        <f>+IF(FINANCIACION[[#This Row],[$ CAPITAL]]&gt;=0,FINANCIACION[[#This Row],[$ CAPITAL]]+FINANCIACION[[#This Row],[$ INTERESES]],0)</f>
        <v>1033000</v>
      </c>
    </row>
    <row r="951" spans="1:10" ht="24" hidden="1" customHeight="1" x14ac:dyDescent="0.3">
      <c r="A951" s="9">
        <v>44638</v>
      </c>
      <c r="B951" s="63" t="s">
        <v>1238</v>
      </c>
      <c r="C951" s="7">
        <v>519036.93999999762</v>
      </c>
      <c r="D951" s="7">
        <v>85963.060000002384</v>
      </c>
      <c r="E951" s="7">
        <v>605000</v>
      </c>
      <c r="F951" s="7">
        <v>-78851265.210000008</v>
      </c>
      <c r="G951" s="66"/>
      <c r="H951" s="10"/>
      <c r="I951" s="7">
        <f>+IF(FINANCIACION[[#This Row],[$ CAPITAL]]&gt;0,FINANCIACION[[#This Row],[$ CAPITAL]])</f>
        <v>519036.93999999762</v>
      </c>
      <c r="J951" s="41">
        <f>+IF(FINANCIACION[[#This Row],[$ CAPITAL]]&gt;=0,FINANCIACION[[#This Row],[$ CAPITAL]]+FINANCIACION[[#This Row],[$ INTERESES]],0)</f>
        <v>605000</v>
      </c>
    </row>
    <row r="952" spans="1:10" ht="24" hidden="1" customHeight="1" x14ac:dyDescent="0.3">
      <c r="A952" s="9">
        <v>44638</v>
      </c>
      <c r="B952" s="63" t="s">
        <v>1224</v>
      </c>
      <c r="C952" s="7">
        <v>5497957</v>
      </c>
      <c r="D952" s="7">
        <v>252367</v>
      </c>
      <c r="E952" s="7">
        <v>5750324</v>
      </c>
      <c r="F952" s="7">
        <v>-325308853</v>
      </c>
      <c r="G952" s="66"/>
      <c r="H952" s="10"/>
      <c r="I952" s="7">
        <f>+IF(FINANCIACION[[#This Row],[$ CAPITAL]]&gt;0,FINANCIACION[[#This Row],[$ CAPITAL]])</f>
        <v>5497957</v>
      </c>
      <c r="J952" s="41">
        <f>+IF(FINANCIACION[[#This Row],[$ CAPITAL]]&gt;=0,FINANCIACION[[#This Row],[$ CAPITAL]]+FINANCIACION[[#This Row],[$ INTERESES]],0)</f>
        <v>5750324</v>
      </c>
    </row>
    <row r="953" spans="1:10" ht="24" hidden="1" customHeight="1" x14ac:dyDescent="0.3">
      <c r="A953" s="9">
        <v>44643</v>
      </c>
      <c r="B953" s="63" t="s">
        <v>1248</v>
      </c>
      <c r="C953" s="7">
        <v>-60000000</v>
      </c>
      <c r="D953" s="7">
        <v>2043040</v>
      </c>
      <c r="E953" s="7" t="s">
        <v>146</v>
      </c>
      <c r="F953" s="7">
        <v>-60000000</v>
      </c>
      <c r="G953" s="66"/>
      <c r="H953" s="10"/>
      <c r="I953" s="7" t="b">
        <f>+IF(FINANCIACION[[#This Row],[$ CAPITAL]]&gt;0,FINANCIACION[[#This Row],[$ CAPITAL]])</f>
        <v>0</v>
      </c>
      <c r="J953" s="41">
        <f>+IF(FINANCIACION[[#This Row],[$ CAPITAL]]&gt;=0,FINANCIACION[[#This Row],[$ CAPITAL]]+FINANCIACION[[#This Row],[$ INTERESES]],0)</f>
        <v>0</v>
      </c>
    </row>
    <row r="954" spans="1:10" ht="24" customHeight="1" x14ac:dyDescent="0.3">
      <c r="A954" s="9">
        <v>44643</v>
      </c>
      <c r="B954" s="63" t="s">
        <v>1240</v>
      </c>
      <c r="C954" s="7">
        <v>-1778500</v>
      </c>
      <c r="D954" s="7"/>
      <c r="E954" s="7" t="s">
        <v>146</v>
      </c>
      <c r="F954" s="7">
        <v>-35295532.5</v>
      </c>
      <c r="G954" s="66"/>
      <c r="H954" s="10"/>
      <c r="I954" s="7" t="b">
        <f>+IF(FINANCIACION[[#This Row],[$ CAPITAL]]&gt;0,FINANCIACION[[#This Row],[$ CAPITAL]])</f>
        <v>0</v>
      </c>
      <c r="J954" s="41">
        <f>+IF(FINANCIACION[[#This Row],[$ CAPITAL]]&gt;=0,FINANCIACION[[#This Row],[$ CAPITAL]]+FINANCIACION[[#This Row],[$ INTERESES]],0)</f>
        <v>0</v>
      </c>
    </row>
    <row r="955" spans="1:10" ht="24" hidden="1" customHeight="1" x14ac:dyDescent="0.3">
      <c r="A955" s="9">
        <v>44643</v>
      </c>
      <c r="B955" s="63" t="s">
        <v>297</v>
      </c>
      <c r="C955" s="7">
        <v>59783933</v>
      </c>
      <c r="D955" s="7"/>
      <c r="E955" s="7">
        <v>59783933</v>
      </c>
      <c r="F955" s="7">
        <v>0</v>
      </c>
      <c r="G955" s="66"/>
      <c r="H955" s="10"/>
      <c r="I955" s="7">
        <f>+IF(FINANCIACION[[#This Row],[$ CAPITAL]]&gt;0,FINANCIACION[[#This Row],[$ CAPITAL]])</f>
        <v>59783933</v>
      </c>
      <c r="J955" s="41">
        <f>+IF(FINANCIACION[[#This Row],[$ CAPITAL]]&gt;=0,FINANCIACION[[#This Row],[$ CAPITAL]]+FINANCIACION[[#This Row],[$ INTERESES]],0)</f>
        <v>59783933</v>
      </c>
    </row>
    <row r="956" spans="1:10" ht="24" hidden="1" customHeight="1" x14ac:dyDescent="0.3">
      <c r="A956" s="9">
        <v>44643</v>
      </c>
      <c r="B956" s="63" t="s">
        <v>297</v>
      </c>
      <c r="C956" s="7">
        <v>-1346606</v>
      </c>
      <c r="D956" s="7"/>
      <c r="E956" s="7" t="s">
        <v>146</v>
      </c>
      <c r="F956" s="7">
        <v>0</v>
      </c>
      <c r="G956" s="66" t="s">
        <v>233</v>
      </c>
      <c r="H956" s="10"/>
      <c r="I956" s="7" t="b">
        <f>+IF(FINANCIACION[[#This Row],[$ CAPITAL]]&gt;0,FINANCIACION[[#This Row],[$ CAPITAL]])</f>
        <v>0</v>
      </c>
      <c r="J956" s="41">
        <f>+IF(FINANCIACION[[#This Row],[$ CAPITAL]]&gt;=0,FINANCIACION[[#This Row],[$ CAPITAL]]+FINANCIACION[[#This Row],[$ INTERESES]],0)</f>
        <v>0</v>
      </c>
    </row>
    <row r="957" spans="1:10" ht="24" hidden="1" customHeight="1" x14ac:dyDescent="0.3">
      <c r="A957" s="9">
        <v>44643</v>
      </c>
      <c r="B957" s="63" t="s">
        <v>197</v>
      </c>
      <c r="C957" s="7"/>
      <c r="D957" s="7">
        <v>228952</v>
      </c>
      <c r="E957" s="7">
        <v>228952</v>
      </c>
      <c r="F957" s="7">
        <v>0</v>
      </c>
      <c r="G957" s="66"/>
      <c r="H957" s="10"/>
      <c r="I957" s="7" t="b">
        <f>+IF(FINANCIACION[[#This Row],[$ CAPITAL]]&gt;0,FINANCIACION[[#This Row],[$ CAPITAL]])</f>
        <v>0</v>
      </c>
      <c r="J957" s="41">
        <f>+IF(FINANCIACION[[#This Row],[$ CAPITAL]]&gt;=0,FINANCIACION[[#This Row],[$ CAPITAL]]+FINANCIACION[[#This Row],[$ INTERESES]],0)</f>
        <v>228952</v>
      </c>
    </row>
    <row r="958" spans="1:10" ht="24" hidden="1" customHeight="1" x14ac:dyDescent="0.3">
      <c r="A958" s="9">
        <v>44650</v>
      </c>
      <c r="B958" s="63" t="s">
        <v>197</v>
      </c>
      <c r="C958" s="7"/>
      <c r="D958" s="7">
        <v>132448</v>
      </c>
      <c r="E958" s="7">
        <v>132448</v>
      </c>
      <c r="F958" s="7">
        <v>0</v>
      </c>
      <c r="G958" s="66"/>
      <c r="H958" s="10"/>
      <c r="I958" s="7" t="b">
        <f>+IF(FINANCIACION[[#This Row],[$ CAPITAL]]&gt;0,FINANCIACION[[#This Row],[$ CAPITAL]])</f>
        <v>0</v>
      </c>
      <c r="J958" s="41">
        <f>+IF(FINANCIACION[[#This Row],[$ CAPITAL]]&gt;=0,FINANCIACION[[#This Row],[$ CAPITAL]]+FINANCIACION[[#This Row],[$ INTERESES]],0)</f>
        <v>132448</v>
      </c>
    </row>
    <row r="959" spans="1:10" ht="24" customHeight="1" x14ac:dyDescent="0.3">
      <c r="A959" s="9">
        <v>44651</v>
      </c>
      <c r="B959" s="63" t="s">
        <v>1240</v>
      </c>
      <c r="C959" s="7">
        <v>34517000</v>
      </c>
      <c r="D959" s="7"/>
      <c r="E959" s="7">
        <v>34517000</v>
      </c>
      <c r="F959" s="7">
        <v>-778532.5</v>
      </c>
      <c r="G959" s="66"/>
      <c r="H959" s="10"/>
      <c r="I959" s="7">
        <f>+IF(FINANCIACION[[#This Row],[$ CAPITAL]]&gt;0,FINANCIACION[[#This Row],[$ CAPITAL]])</f>
        <v>34517000</v>
      </c>
      <c r="J959" s="41">
        <f>+IF(FINANCIACION[[#This Row],[$ CAPITAL]]&gt;=0,FINANCIACION[[#This Row],[$ CAPITAL]]+FINANCIACION[[#This Row],[$ INTERESES]],0)</f>
        <v>34517000</v>
      </c>
    </row>
    <row r="960" spans="1:10" ht="24" hidden="1" customHeight="1" x14ac:dyDescent="0.3">
      <c r="A960" s="9">
        <v>44651</v>
      </c>
      <c r="B960" s="63" t="s">
        <v>195</v>
      </c>
      <c r="C960" s="7">
        <v>1468400</v>
      </c>
      <c r="D960" s="7">
        <v>424048</v>
      </c>
      <c r="E960" s="7">
        <v>1892448</v>
      </c>
      <c r="F960" s="7">
        <v>-35241600</v>
      </c>
      <c r="G960" s="66"/>
      <c r="H960" s="10"/>
      <c r="I960" s="7">
        <f>+IF(FINANCIACION[[#This Row],[$ CAPITAL]]&gt;0,FINANCIACION[[#This Row],[$ CAPITAL]])</f>
        <v>1468400</v>
      </c>
      <c r="J960" s="41">
        <f>+IF(FINANCIACION[[#This Row],[$ CAPITAL]]&gt;=0,FINANCIACION[[#This Row],[$ CAPITAL]]+FINANCIACION[[#This Row],[$ INTERESES]],0)</f>
        <v>1892448</v>
      </c>
    </row>
    <row r="961" spans="1:10" ht="24" hidden="1" customHeight="1" x14ac:dyDescent="0.3">
      <c r="A961" s="9">
        <v>44651</v>
      </c>
      <c r="B961" s="63" t="s">
        <v>196</v>
      </c>
      <c r="C961" s="7">
        <v>76791</v>
      </c>
      <c r="D961" s="7">
        <v>0</v>
      </c>
      <c r="E961" s="7">
        <v>76791</v>
      </c>
      <c r="F961" s="7">
        <v>-1842984</v>
      </c>
      <c r="G961" s="66"/>
      <c r="H961" s="10"/>
      <c r="I961" s="7">
        <f>+IF(FINANCIACION[[#This Row],[$ CAPITAL]]&gt;0,FINANCIACION[[#This Row],[$ CAPITAL]])</f>
        <v>76791</v>
      </c>
      <c r="J961" s="41">
        <f>+IF(FINANCIACION[[#This Row],[$ CAPITAL]]&gt;=0,FINANCIACION[[#This Row],[$ CAPITAL]]+FINANCIACION[[#This Row],[$ INTERESES]],0)</f>
        <v>76791</v>
      </c>
    </row>
    <row r="962" spans="1:10" ht="24" customHeight="1" x14ac:dyDescent="0.3">
      <c r="A962" s="9">
        <v>44659</v>
      </c>
      <c r="B962" s="63" t="s">
        <v>1240</v>
      </c>
      <c r="C962" s="7">
        <v>778532.5</v>
      </c>
      <c r="D962" s="7"/>
      <c r="E962" s="7">
        <v>778532.5</v>
      </c>
      <c r="F962" s="7">
        <v>0</v>
      </c>
      <c r="G962" s="66"/>
      <c r="H962" s="10"/>
      <c r="I962" s="7">
        <f>+IF(FINANCIACION[[#This Row],[$ CAPITAL]]&gt;0,FINANCIACION[[#This Row],[$ CAPITAL]])</f>
        <v>778532.5</v>
      </c>
      <c r="J962" s="41">
        <f>+IF(FINANCIACION[[#This Row],[$ CAPITAL]]&gt;=0,FINANCIACION[[#This Row],[$ CAPITAL]]+FINANCIACION[[#This Row],[$ INTERESES]],0)</f>
        <v>778532.5</v>
      </c>
    </row>
    <row r="963" spans="1:10" ht="24" hidden="1" customHeight="1" x14ac:dyDescent="0.3">
      <c r="A963" s="9">
        <v>44662</v>
      </c>
      <c r="B963" s="63" t="s">
        <v>1233</v>
      </c>
      <c r="C963" s="7"/>
      <c r="D963" s="7">
        <v>130000</v>
      </c>
      <c r="E963" s="7">
        <v>130000</v>
      </c>
      <c r="F963" s="7">
        <v>-13000000</v>
      </c>
      <c r="G963" s="66"/>
      <c r="H963" s="10"/>
      <c r="I963" s="7" t="b">
        <f>+IF(FINANCIACION[[#This Row],[$ CAPITAL]]&gt;0,FINANCIACION[[#This Row],[$ CAPITAL]])</f>
        <v>0</v>
      </c>
      <c r="J963" s="41">
        <f>+IF(FINANCIACION[[#This Row],[$ CAPITAL]]&gt;=0,FINANCIACION[[#This Row],[$ CAPITAL]]+FINANCIACION[[#This Row],[$ INTERESES]],0)</f>
        <v>130000</v>
      </c>
    </row>
    <row r="964" spans="1:10" ht="24" hidden="1" customHeight="1" x14ac:dyDescent="0.3">
      <c r="A964" s="9">
        <v>44663</v>
      </c>
      <c r="B964" s="63" t="s">
        <v>1237</v>
      </c>
      <c r="C964" s="7"/>
      <c r="D964" s="7">
        <v>400000</v>
      </c>
      <c r="E964" s="7">
        <v>400000</v>
      </c>
      <c r="F964" s="7">
        <v>-40000000</v>
      </c>
      <c r="G964" s="66"/>
      <c r="H964" s="10"/>
      <c r="I964" s="7" t="b">
        <f>+IF(FINANCIACION[[#This Row],[$ CAPITAL]]&gt;0,FINANCIACION[[#This Row],[$ CAPITAL]])</f>
        <v>0</v>
      </c>
      <c r="J964" s="41">
        <f>+IF(FINANCIACION[[#This Row],[$ CAPITAL]]&gt;=0,FINANCIACION[[#This Row],[$ CAPITAL]]+FINANCIACION[[#This Row],[$ INTERESES]],0)</f>
        <v>400000</v>
      </c>
    </row>
    <row r="965" spans="1:10" ht="24" hidden="1" customHeight="1" x14ac:dyDescent="0.3">
      <c r="A965" s="9">
        <v>44664</v>
      </c>
      <c r="B965" s="63" t="s">
        <v>1222</v>
      </c>
      <c r="C965" s="7">
        <v>2044974.9504780686</v>
      </c>
      <c r="D965" s="7">
        <v>632403.04952193133</v>
      </c>
      <c r="E965" s="7">
        <v>2677378</v>
      </c>
      <c r="F965" s="7">
        <v>-61195330.001715057</v>
      </c>
      <c r="G965" s="66"/>
      <c r="H965" s="10"/>
      <c r="I965" s="7">
        <f>+IF(FINANCIACION[[#This Row],[$ CAPITAL]]&gt;0,FINANCIACION[[#This Row],[$ CAPITAL]])</f>
        <v>2044974.9504780686</v>
      </c>
      <c r="J965" s="41">
        <f>+IF(FINANCIACION[[#This Row],[$ CAPITAL]]&gt;=0,FINANCIACION[[#This Row],[$ CAPITAL]]+FINANCIACION[[#This Row],[$ INTERESES]],0)</f>
        <v>2677378</v>
      </c>
    </row>
    <row r="966" spans="1:10" ht="24" hidden="1" customHeight="1" x14ac:dyDescent="0.3">
      <c r="A966" s="9">
        <v>44665</v>
      </c>
      <c r="B966" s="63" t="s">
        <v>1226</v>
      </c>
      <c r="C966" s="7">
        <v>787876.06067476806</v>
      </c>
      <c r="D966" s="7">
        <v>512123.93932523194</v>
      </c>
      <c r="E966" s="7">
        <v>1300000</v>
      </c>
      <c r="F966" s="7">
        <v>-50424517.871848419</v>
      </c>
      <c r="G966" s="66"/>
      <c r="H966" s="10"/>
      <c r="I966" s="7">
        <f>+IF(FINANCIACION[[#This Row],[$ CAPITAL]]&gt;0,FINANCIACION[[#This Row],[$ CAPITAL]])</f>
        <v>787876.06067476806</v>
      </c>
      <c r="J966" s="41">
        <f>+IF(FINANCIACION[[#This Row],[$ CAPITAL]]&gt;=0,FINANCIACION[[#This Row],[$ CAPITAL]]+FINANCIACION[[#This Row],[$ INTERESES]],0)</f>
        <v>1300000</v>
      </c>
    </row>
    <row r="967" spans="1:10" ht="24" hidden="1" customHeight="1" x14ac:dyDescent="0.3">
      <c r="A967" s="9">
        <v>44666</v>
      </c>
      <c r="B967" s="63" t="s">
        <v>1223</v>
      </c>
      <c r="C967" s="7">
        <v>510237.96829666942</v>
      </c>
      <c r="D967" s="7">
        <v>689762.03170333058</v>
      </c>
      <c r="E967" s="7">
        <v>1200000</v>
      </c>
      <c r="F967" s="7">
        <v>-68465965.202036381</v>
      </c>
      <c r="G967" s="66"/>
      <c r="H967" s="10"/>
      <c r="I967" s="7">
        <f>+IF(FINANCIACION[[#This Row],[$ CAPITAL]]&gt;0,FINANCIACION[[#This Row],[$ CAPITAL]])</f>
        <v>510237.96829666942</v>
      </c>
      <c r="J967" s="41">
        <f>+IF(FINANCIACION[[#This Row],[$ CAPITAL]]&gt;=0,FINANCIACION[[#This Row],[$ CAPITAL]]+FINANCIACION[[#This Row],[$ INTERESES]],0)</f>
        <v>1200000</v>
      </c>
    </row>
    <row r="968" spans="1:10" ht="24" hidden="1" customHeight="1" x14ac:dyDescent="0.3">
      <c r="A968" s="9">
        <v>44667</v>
      </c>
      <c r="B968" s="63" t="s">
        <v>1239</v>
      </c>
      <c r="C968" s="7"/>
      <c r="D968" s="7">
        <v>300000</v>
      </c>
      <c r="E968" s="7">
        <v>300000</v>
      </c>
      <c r="F968" s="7">
        <v>-30120000</v>
      </c>
      <c r="G968" s="66"/>
      <c r="H968" s="10"/>
      <c r="I968" s="7" t="b">
        <f>+IF(FINANCIACION[[#This Row],[$ CAPITAL]]&gt;0,FINANCIACION[[#This Row],[$ CAPITAL]])</f>
        <v>0</v>
      </c>
      <c r="J968" s="41">
        <f>+IF(FINANCIACION[[#This Row],[$ CAPITAL]]&gt;=0,FINANCIACION[[#This Row],[$ CAPITAL]]+FINANCIACION[[#This Row],[$ INTERESES]],0)</f>
        <v>300000</v>
      </c>
    </row>
    <row r="969" spans="1:10" ht="24" hidden="1" customHeight="1" x14ac:dyDescent="0.3">
      <c r="A969" s="9">
        <v>44668</v>
      </c>
      <c r="B969" s="63" t="s">
        <v>1235</v>
      </c>
      <c r="C969" s="7"/>
      <c r="D969" s="7">
        <v>120000</v>
      </c>
      <c r="E969" s="7">
        <v>120000</v>
      </c>
      <c r="F969" s="7">
        <v>-12000000</v>
      </c>
      <c r="G969" s="66"/>
      <c r="H969" s="10"/>
      <c r="I969" s="7" t="b">
        <f>+IF(FINANCIACION[[#This Row],[$ CAPITAL]]&gt;0,FINANCIACION[[#This Row],[$ CAPITAL]])</f>
        <v>0</v>
      </c>
      <c r="J969" s="41">
        <f>+IF(FINANCIACION[[#This Row],[$ CAPITAL]]&gt;=0,FINANCIACION[[#This Row],[$ CAPITAL]]+FINANCIACION[[#This Row],[$ INTERESES]],0)</f>
        <v>120000</v>
      </c>
    </row>
    <row r="970" spans="1:10" ht="24" customHeight="1" x14ac:dyDescent="0.3">
      <c r="A970" s="9">
        <v>44645</v>
      </c>
      <c r="B970" s="63" t="s">
        <v>1240</v>
      </c>
      <c r="C970" s="149">
        <v>-2400000</v>
      </c>
      <c r="D970" s="7"/>
      <c r="E970" s="7"/>
      <c r="F970" s="7"/>
      <c r="G970" s="66" t="s">
        <v>1031</v>
      </c>
      <c r="H970" s="10"/>
      <c r="I970" s="7" t="b">
        <f>+IF(FINANCIACION[[#This Row],[$ CAPITAL]]&gt;0,FINANCIACION[[#This Row],[$ CAPITAL]])</f>
        <v>0</v>
      </c>
      <c r="J970" s="41">
        <f>+IF(FINANCIACION[[#This Row],[$ CAPITAL]]&gt;=0,FINANCIACION[[#This Row],[$ CAPITAL]]+FINANCIACION[[#This Row],[$ INTERESES]],0)</f>
        <v>0</v>
      </c>
    </row>
  </sheetData>
  <phoneticPr fontId="2" type="noConversion"/>
  <conditionalFormatting sqref="C970">
    <cfRule type="expression" dxfId="42" priority="1" stopIfTrue="1">
      <formula>$T970="Por pagar"</formula>
    </cfRule>
    <cfRule type="expression" dxfId="41" priority="2" stopIfTrue="1">
      <formula>$T970="Vencida"</formula>
    </cfRule>
    <cfRule type="expression" dxfId="40" priority="3" stopIfTrue="1">
      <formula>$T970="Pagada"</formula>
    </cfRule>
  </conditionalFormatting>
  <dataValidations xWindow="542" yWindow="371" count="2">
    <dataValidation allowBlank="1" showInputMessage="1" showErrorMessage="1" prompt="Si es una deuda escribelo negativo._x000a__x000a_Si es un abono que sea positivo." sqref="C524 C544 C702 C2:C434" xr:uid="{00000000-0002-0000-0200-000000000000}"/>
    <dataValidation type="date" allowBlank="1" showInputMessage="1" showErrorMessage="1" error="SOLO FECHAS" sqref="A2:A970" xr:uid="{5BE27017-20B5-4A59-86E4-A766483605B6}">
      <formula1>36526</formula1>
      <formula2>47848</formula2>
    </dataValidation>
  </dataValidations>
  <pageMargins left="0.7" right="0.7" top="0.75" bottom="0.75" header="0.3" footer="0.3"/>
  <pageSetup scale="5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542" yWindow="371" count="2">
        <x14:dataValidation type="list" allowBlank="1" showInputMessage="1" showErrorMessage="1" xr:uid="{016ED927-600B-4A1F-A49E-FB520E7C4029}">
          <x14:formula1>
            <xm:f>Financiadores!$A:$A</xm:f>
          </x14:formula1>
          <xm:sqref>B442:B465 B467:B469 B472:B483 B485:B494 B496:B516 B1 B518:B568 B572:B580 B582:B588 B590:B641 B643:B699 B705:B716 B718:B736 B743:B750 B755:B762 B764:B769 B771:B777 B793:B805 B807:B824 B827:B842 B781:B789 B844:B863 B867 B870:B1048576</xm:sqref>
        </x14:dataValidation>
        <x14:dataValidation type="list" allowBlank="1" showInputMessage="1" showErrorMessage="1" error="Primero escribe el nombre del crédito en la hoja &quot;Financiadores&quot;" xr:uid="{D998F43E-86ED-4FFF-A8A6-557DE6EC6BB1}">
          <x14:formula1>
            <xm:f>Financiadores!$A:$A</xm:f>
          </x14:formula1>
          <xm:sqref>B470:B471 B484 B517 B495 B466 B569:B571 B581 B589 B642 B700:B704 B717 B737:B742 B751:B754 B763 B770 B778:B780 B790:B792 B806 B825:B826 B843 B2:B441 B864:B866 B868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C3AA-417B-4233-A1A6-AB2DFB197407}">
  <sheetPr codeName="Hoja9"/>
  <dimension ref="A1:P49"/>
  <sheetViews>
    <sheetView topLeftCell="C20" workbookViewId="0">
      <selection activeCell="P38" sqref="P38"/>
    </sheetView>
  </sheetViews>
  <sheetFormatPr baseColWidth="10" defaultColWidth="13.44140625" defaultRowHeight="21.6" customHeight="1" x14ac:dyDescent="0.3"/>
  <cols>
    <col min="1" max="1" width="29.44140625" style="54" customWidth="1"/>
    <col min="2" max="5" width="13.6640625" style="54" customWidth="1"/>
    <col min="6" max="13" width="13.44140625" style="54" customWidth="1"/>
    <col min="14" max="16384" width="13.44140625" style="54"/>
  </cols>
  <sheetData>
    <row r="1" spans="1:16" ht="21.6" customHeight="1" x14ac:dyDescent="0.3">
      <c r="A1" s="54" t="s">
        <v>217</v>
      </c>
      <c r="B1" s="54" t="s">
        <v>218</v>
      </c>
      <c r="C1" s="54" t="s">
        <v>219</v>
      </c>
      <c r="D1" s="69" t="s">
        <v>241</v>
      </c>
      <c r="E1" s="69" t="s">
        <v>351</v>
      </c>
      <c r="F1" s="69" t="s">
        <v>418</v>
      </c>
      <c r="G1" s="69" t="s">
        <v>419</v>
      </c>
      <c r="H1" s="69" t="s">
        <v>446</v>
      </c>
      <c r="I1" s="69" t="s">
        <v>501</v>
      </c>
      <c r="J1" s="69" t="s">
        <v>522</v>
      </c>
      <c r="K1" s="69" t="s">
        <v>595</v>
      </c>
      <c r="L1" s="69" t="s">
        <v>631</v>
      </c>
      <c r="M1" s="69" t="s">
        <v>643</v>
      </c>
      <c r="N1" s="69" t="s">
        <v>953</v>
      </c>
      <c r="O1" s="54" t="s">
        <v>1261</v>
      </c>
      <c r="P1" s="54" t="s">
        <v>1262</v>
      </c>
    </row>
    <row r="2" spans="1:16" ht="21.6" customHeight="1" x14ac:dyDescent="0.3">
      <c r="A2" s="54" t="s">
        <v>1249</v>
      </c>
      <c r="B2" s="65">
        <v>0</v>
      </c>
      <c r="C2" s="65">
        <v>0</v>
      </c>
      <c r="D2" s="65">
        <v>0</v>
      </c>
      <c r="E2" s="65">
        <v>0</v>
      </c>
      <c r="F2" s="65">
        <v>0</v>
      </c>
      <c r="G2" s="65">
        <v>0</v>
      </c>
      <c r="H2" s="65">
        <v>0</v>
      </c>
      <c r="I2" s="65">
        <v>0</v>
      </c>
      <c r="J2" s="65">
        <v>0</v>
      </c>
      <c r="K2" s="65">
        <v>0</v>
      </c>
      <c r="L2" s="65">
        <v>0</v>
      </c>
      <c r="M2" s="65">
        <v>0</v>
      </c>
      <c r="N2" s="65">
        <v>0</v>
      </c>
      <c r="O2" s="65">
        <v>0</v>
      </c>
      <c r="P2" s="65"/>
    </row>
    <row r="3" spans="1:16" ht="21.6" customHeight="1" x14ac:dyDescent="0.3">
      <c r="A3" s="54" t="s">
        <v>1233</v>
      </c>
      <c r="B3" s="65">
        <v>13000000</v>
      </c>
      <c r="C3" s="65">
        <v>13000000</v>
      </c>
      <c r="D3" s="65">
        <v>13000000</v>
      </c>
      <c r="E3" s="65">
        <v>13000000</v>
      </c>
      <c r="F3" s="65">
        <v>13000000</v>
      </c>
      <c r="G3" s="65">
        <v>13000000</v>
      </c>
      <c r="H3" s="65">
        <v>13000000</v>
      </c>
      <c r="I3" s="65">
        <v>13000000</v>
      </c>
      <c r="J3" s="65">
        <v>13000000</v>
      </c>
      <c r="K3" s="65">
        <v>13000000</v>
      </c>
      <c r="L3" s="65">
        <v>13000000</v>
      </c>
      <c r="M3" s="65">
        <v>13000000</v>
      </c>
      <c r="N3" s="65">
        <v>13000000</v>
      </c>
      <c r="O3" s="65">
        <v>13000000</v>
      </c>
      <c r="P3" s="65"/>
    </row>
    <row r="4" spans="1:16" ht="21.6" customHeight="1" x14ac:dyDescent="0.3">
      <c r="A4" s="54" t="s">
        <v>1250</v>
      </c>
      <c r="B4" s="65">
        <v>0</v>
      </c>
      <c r="C4" s="65">
        <v>0</v>
      </c>
      <c r="D4" s="65">
        <v>0</v>
      </c>
      <c r="E4" s="65">
        <v>0</v>
      </c>
      <c r="F4" s="65">
        <v>0</v>
      </c>
      <c r="G4" s="65">
        <v>0</v>
      </c>
      <c r="H4" s="65">
        <v>0</v>
      </c>
      <c r="I4" s="65">
        <v>0</v>
      </c>
      <c r="J4" s="65">
        <v>0</v>
      </c>
      <c r="K4" s="65">
        <v>0</v>
      </c>
      <c r="L4" s="65">
        <v>0</v>
      </c>
      <c r="M4" s="65">
        <v>0</v>
      </c>
      <c r="N4" s="65">
        <v>0</v>
      </c>
      <c r="O4" s="65">
        <v>0</v>
      </c>
      <c r="P4" s="65"/>
    </row>
    <row r="5" spans="1:16" ht="21.6" customHeight="1" x14ac:dyDescent="0.3">
      <c r="A5" s="54" t="s">
        <v>1227</v>
      </c>
      <c r="B5" s="65">
        <v>75000000</v>
      </c>
      <c r="C5" s="65">
        <v>75000000</v>
      </c>
      <c r="D5" s="65">
        <v>75000000</v>
      </c>
      <c r="E5" s="65">
        <v>75000000</v>
      </c>
      <c r="F5" s="65">
        <v>75000000</v>
      </c>
      <c r="G5" s="65">
        <v>75000000</v>
      </c>
      <c r="H5" s="65">
        <v>75000000</v>
      </c>
      <c r="I5" s="65">
        <v>75000000</v>
      </c>
      <c r="J5" s="65">
        <v>75000000</v>
      </c>
      <c r="K5" s="65">
        <v>75000000</v>
      </c>
      <c r="L5" s="65">
        <v>75000000</v>
      </c>
      <c r="M5" s="65">
        <v>75000000</v>
      </c>
      <c r="N5" s="65">
        <v>75000000</v>
      </c>
      <c r="O5" s="65">
        <v>75000000</v>
      </c>
      <c r="P5" s="65"/>
    </row>
    <row r="6" spans="1:16" ht="21.6" customHeight="1" x14ac:dyDescent="0.3">
      <c r="A6" s="54" t="s">
        <v>1237</v>
      </c>
      <c r="B6" s="65">
        <v>0</v>
      </c>
      <c r="C6" s="65">
        <v>0</v>
      </c>
      <c r="D6" s="65">
        <v>0</v>
      </c>
      <c r="E6" s="65">
        <v>0</v>
      </c>
      <c r="F6" s="65">
        <v>0</v>
      </c>
      <c r="G6" s="65">
        <v>0</v>
      </c>
      <c r="H6" s="65">
        <v>0</v>
      </c>
      <c r="I6" s="65">
        <v>40000000</v>
      </c>
      <c r="J6" s="65">
        <v>40000000</v>
      </c>
      <c r="K6" s="65">
        <v>40000000</v>
      </c>
      <c r="L6" s="65">
        <v>40000000</v>
      </c>
      <c r="M6" s="65">
        <v>40000000</v>
      </c>
      <c r="N6" s="65">
        <v>40000000</v>
      </c>
      <c r="O6" s="65">
        <v>40000000</v>
      </c>
      <c r="P6" s="65"/>
    </row>
    <row r="7" spans="1:16" ht="21.6" customHeight="1" x14ac:dyDescent="0.3">
      <c r="A7" s="54" t="s">
        <v>1222</v>
      </c>
      <c r="B7" s="65">
        <v>87690173.1567</v>
      </c>
      <c r="C7" s="65">
        <v>86017897.643399999</v>
      </c>
      <c r="D7" s="65">
        <v>84312176.619834006</v>
      </c>
      <c r="E7" s="65">
        <v>82589398.386032343</v>
      </c>
      <c r="F7" s="65">
        <v>82589398.386032343</v>
      </c>
      <c r="G7" s="65">
        <v>80737892.369892672</v>
      </c>
      <c r="H7" s="65">
        <v>78877893.293591604</v>
      </c>
      <c r="I7" s="65">
        <v>76999294.226527512</v>
      </c>
      <c r="J7" s="65">
        <v>75091909.168792784</v>
      </c>
      <c r="K7" s="65">
        <v>73165450.260480717</v>
      </c>
      <c r="L7" s="65">
        <v>71219726.763085529</v>
      </c>
      <c r="M7" s="65">
        <v>69254546.030716389</v>
      </c>
      <c r="N7" s="65">
        <v>65265032.625933789</v>
      </c>
      <c r="O7" s="65">
        <v>63240304.952193126</v>
      </c>
      <c r="P7" s="65"/>
    </row>
    <row r="8" spans="1:16" ht="21.6" customHeight="1" x14ac:dyDescent="0.3">
      <c r="A8" s="54" t="s">
        <v>1239</v>
      </c>
      <c r="B8" s="65">
        <v>0</v>
      </c>
      <c r="C8" s="65">
        <v>0</v>
      </c>
      <c r="D8" s="65">
        <v>0</v>
      </c>
      <c r="E8" s="65">
        <v>0</v>
      </c>
      <c r="F8" s="65">
        <v>0</v>
      </c>
      <c r="G8" s="65">
        <v>0</v>
      </c>
      <c r="H8" s="65">
        <v>0</v>
      </c>
      <c r="I8" s="65">
        <v>0</v>
      </c>
      <c r="J8" s="65">
        <v>0</v>
      </c>
      <c r="K8" s="65">
        <v>0</v>
      </c>
      <c r="L8" s="65">
        <v>0</v>
      </c>
      <c r="M8" s="65">
        <v>30000000</v>
      </c>
      <c r="N8" s="65">
        <v>0</v>
      </c>
      <c r="O8" s="65">
        <v>30120000</v>
      </c>
      <c r="P8" s="65"/>
    </row>
    <row r="9" spans="1:16" ht="21.6" customHeight="1" x14ac:dyDescent="0.3">
      <c r="A9" s="54" t="s">
        <v>1190</v>
      </c>
      <c r="B9" s="65">
        <v>0</v>
      </c>
      <c r="C9" s="65">
        <v>0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0</v>
      </c>
      <c r="J9" s="65">
        <v>0</v>
      </c>
      <c r="K9" s="65">
        <v>0</v>
      </c>
      <c r="L9" s="65">
        <v>4500000</v>
      </c>
      <c r="M9" s="65">
        <v>4500000</v>
      </c>
      <c r="N9" s="65">
        <v>0</v>
      </c>
      <c r="O9" s="65">
        <v>0</v>
      </c>
      <c r="P9" s="65"/>
    </row>
    <row r="10" spans="1:16" ht="21.6" customHeight="1" x14ac:dyDescent="0.3">
      <c r="A10" s="54" t="s">
        <v>1251</v>
      </c>
      <c r="B10" s="65">
        <v>0</v>
      </c>
      <c r="C10" s="65">
        <v>0</v>
      </c>
      <c r="D10" s="65">
        <v>0</v>
      </c>
      <c r="E10" s="65">
        <v>0</v>
      </c>
      <c r="F10" s="65">
        <v>0</v>
      </c>
      <c r="G10" s="65">
        <v>0</v>
      </c>
      <c r="H10" s="65">
        <v>0</v>
      </c>
      <c r="I10" s="65">
        <v>0</v>
      </c>
      <c r="J10" s="65">
        <v>0</v>
      </c>
      <c r="K10" s="65">
        <v>0</v>
      </c>
      <c r="L10" s="65">
        <v>0</v>
      </c>
      <c r="M10" s="65">
        <v>0</v>
      </c>
      <c r="N10" s="65">
        <v>0</v>
      </c>
      <c r="O10" s="65">
        <v>0</v>
      </c>
      <c r="P10" s="65"/>
    </row>
    <row r="11" spans="1:16" ht="21.6" customHeight="1" x14ac:dyDescent="0.3">
      <c r="A11" s="54" t="s">
        <v>1226</v>
      </c>
      <c r="B11" s="65">
        <v>11548659.15</v>
      </c>
      <c r="C11" s="65">
        <v>60672903.299999997</v>
      </c>
      <c r="D11" s="65">
        <v>60080000</v>
      </c>
      <c r="E11" s="65">
        <v>59380800</v>
      </c>
      <c r="F11" s="65">
        <v>58674608</v>
      </c>
      <c r="G11" s="65">
        <v>57961354.079999998</v>
      </c>
      <c r="H11" s="65">
        <v>57240967.620799996</v>
      </c>
      <c r="I11" s="65">
        <v>56513377.297007993</v>
      </c>
      <c r="J11" s="65">
        <v>55778511.069978073</v>
      </c>
      <c r="K11" s="65">
        <v>55036296.180677854</v>
      </c>
      <c r="L11" s="65">
        <v>54286659.180677854</v>
      </c>
      <c r="M11" s="65">
        <v>53529525.772102699</v>
      </c>
      <c r="N11" s="65">
        <v>51992469.240121968</v>
      </c>
      <c r="O11" s="65">
        <v>51212393.932523191</v>
      </c>
      <c r="P11" s="65"/>
    </row>
    <row r="12" spans="1:16" ht="21.6" customHeight="1" x14ac:dyDescent="0.3">
      <c r="A12" s="54" t="s">
        <v>1223</v>
      </c>
      <c r="B12" s="65">
        <v>66411592.128007002</v>
      </c>
      <c r="C12" s="65">
        <v>74731214</v>
      </c>
      <c r="D12" s="65">
        <v>74178526.140000001</v>
      </c>
      <c r="E12" s="65">
        <v>74178526.140000001</v>
      </c>
      <c r="F12" s="65">
        <v>73720311.4014</v>
      </c>
      <c r="G12" s="65">
        <v>76257514.515414</v>
      </c>
      <c r="H12" s="65">
        <v>72790089.660568133</v>
      </c>
      <c r="I12" s="65">
        <v>72317990.557173818</v>
      </c>
      <c r="J12" s="65">
        <v>71841170.462745562</v>
      </c>
      <c r="K12" s="65">
        <v>71359582.167373016</v>
      </c>
      <c r="L12" s="65">
        <v>70968073.707373023</v>
      </c>
      <c r="M12" s="65">
        <v>70476805.487263486</v>
      </c>
      <c r="N12" s="65">
        <v>69481389.277557477</v>
      </c>
      <c r="O12" s="65">
        <v>68976203.170333058</v>
      </c>
      <c r="P12" s="65"/>
    </row>
    <row r="13" spans="1:16" ht="21.6" customHeight="1" x14ac:dyDescent="0.3">
      <c r="A13" s="54" t="s">
        <v>1252</v>
      </c>
      <c r="B13" s="65">
        <v>0</v>
      </c>
      <c r="C13" s="65">
        <v>0</v>
      </c>
      <c r="D13" s="65">
        <v>0</v>
      </c>
      <c r="E13" s="65">
        <v>0</v>
      </c>
      <c r="F13" s="65">
        <v>0</v>
      </c>
      <c r="G13" s="65">
        <v>0</v>
      </c>
      <c r="H13" s="65">
        <v>0</v>
      </c>
      <c r="I13" s="65">
        <v>0</v>
      </c>
      <c r="J13" s="65">
        <v>0</v>
      </c>
      <c r="K13" s="65">
        <v>0</v>
      </c>
      <c r="L13" s="65">
        <v>0</v>
      </c>
      <c r="M13" s="65">
        <v>0</v>
      </c>
      <c r="N13" s="65">
        <v>0</v>
      </c>
      <c r="O13" s="65">
        <v>0</v>
      </c>
      <c r="P13" s="65"/>
    </row>
    <row r="14" spans="1:16" ht="21.6" customHeight="1" x14ac:dyDescent="0.3">
      <c r="A14" s="54" t="s">
        <v>1253</v>
      </c>
      <c r="B14" s="65">
        <v>0</v>
      </c>
      <c r="C14" s="65">
        <v>0</v>
      </c>
      <c r="D14" s="65">
        <v>0</v>
      </c>
      <c r="E14" s="65">
        <v>0</v>
      </c>
      <c r="F14" s="65">
        <v>0</v>
      </c>
      <c r="G14" s="65">
        <v>0</v>
      </c>
      <c r="H14" s="65">
        <v>0</v>
      </c>
      <c r="I14" s="65">
        <v>0</v>
      </c>
      <c r="J14" s="65">
        <v>0</v>
      </c>
      <c r="K14" s="65">
        <v>0</v>
      </c>
      <c r="L14" s="65">
        <v>0</v>
      </c>
      <c r="M14" s="65">
        <v>0</v>
      </c>
      <c r="N14" s="65">
        <v>0</v>
      </c>
      <c r="O14" s="65">
        <v>0</v>
      </c>
      <c r="P14" s="65"/>
    </row>
    <row r="15" spans="1:16" ht="21.6" customHeight="1" x14ac:dyDescent="0.3">
      <c r="A15" s="54" t="s">
        <v>1254</v>
      </c>
      <c r="B15" s="65">
        <v>0</v>
      </c>
      <c r="C15" s="65">
        <v>0</v>
      </c>
      <c r="D15" s="65">
        <v>0</v>
      </c>
      <c r="E15" s="65">
        <v>0</v>
      </c>
      <c r="F15" s="65">
        <v>0</v>
      </c>
      <c r="G15" s="65">
        <v>0</v>
      </c>
      <c r="H15" s="65">
        <v>0</v>
      </c>
      <c r="I15" s="65">
        <v>0</v>
      </c>
      <c r="J15" s="65">
        <v>0</v>
      </c>
      <c r="K15" s="65">
        <v>0</v>
      </c>
      <c r="L15" s="65">
        <v>0</v>
      </c>
      <c r="M15" s="65">
        <v>0</v>
      </c>
      <c r="N15" s="65">
        <v>0</v>
      </c>
      <c r="O15" s="65">
        <v>0</v>
      </c>
      <c r="P15" s="65"/>
    </row>
    <row r="16" spans="1:16" ht="21.6" customHeight="1" x14ac:dyDescent="0.3">
      <c r="A16" s="54" t="s">
        <v>1240</v>
      </c>
      <c r="B16" s="65">
        <v>0</v>
      </c>
      <c r="C16" s="65">
        <v>0</v>
      </c>
      <c r="D16" s="65">
        <v>0</v>
      </c>
      <c r="E16" s="65">
        <v>0</v>
      </c>
      <c r="F16" s="65">
        <v>0</v>
      </c>
      <c r="G16" s="65">
        <v>0</v>
      </c>
      <c r="H16" s="65">
        <v>0</v>
      </c>
      <c r="I16" s="65">
        <v>0</v>
      </c>
      <c r="J16" s="65">
        <v>0</v>
      </c>
      <c r="K16" s="65">
        <v>0</v>
      </c>
      <c r="L16" s="65">
        <v>0</v>
      </c>
      <c r="M16" s="65">
        <v>0</v>
      </c>
      <c r="N16" s="65">
        <v>33517032.5</v>
      </c>
      <c r="O16" s="65">
        <v>778532.5</v>
      </c>
      <c r="P16" s="65"/>
    </row>
    <row r="17" spans="1:16" ht="21.6" customHeight="1" x14ac:dyDescent="0.3">
      <c r="A17" s="54" t="s">
        <v>1231</v>
      </c>
      <c r="B17" s="65">
        <v>8000000</v>
      </c>
      <c r="C17" s="65">
        <v>8000000</v>
      </c>
      <c r="D17" s="65">
        <v>8000000</v>
      </c>
      <c r="E17" s="65">
        <v>8000000</v>
      </c>
      <c r="F17" s="65">
        <v>8000000</v>
      </c>
      <c r="G17" s="65">
        <v>8000000</v>
      </c>
      <c r="H17" s="65">
        <v>8000000</v>
      </c>
      <c r="I17" s="65">
        <v>8000000</v>
      </c>
      <c r="J17" s="65">
        <v>8000000</v>
      </c>
      <c r="K17" s="65">
        <v>8000000</v>
      </c>
      <c r="L17" s="65">
        <v>8000000</v>
      </c>
      <c r="M17" s="65">
        <v>8000000</v>
      </c>
      <c r="N17" s="65">
        <v>8000000</v>
      </c>
      <c r="O17" s="65">
        <v>8000000</v>
      </c>
      <c r="P17" s="65"/>
    </row>
    <row r="18" spans="1:16" ht="21.6" customHeight="1" x14ac:dyDescent="0.3">
      <c r="A18" s="54" t="s">
        <v>1235</v>
      </c>
      <c r="B18" s="65">
        <v>0</v>
      </c>
      <c r="C18" s="65">
        <v>0</v>
      </c>
      <c r="D18" s="65">
        <v>0</v>
      </c>
      <c r="E18" s="65">
        <v>12000000</v>
      </c>
      <c r="F18" s="65">
        <v>12000000</v>
      </c>
      <c r="G18" s="65">
        <v>12000000</v>
      </c>
      <c r="H18" s="65">
        <v>12000000</v>
      </c>
      <c r="I18" s="65">
        <v>12000000</v>
      </c>
      <c r="J18" s="65">
        <v>12000000</v>
      </c>
      <c r="K18" s="65">
        <v>12000000</v>
      </c>
      <c r="L18" s="65">
        <v>12000000</v>
      </c>
      <c r="M18" s="65">
        <v>12000000</v>
      </c>
      <c r="N18" s="65">
        <v>12000000</v>
      </c>
      <c r="O18" s="65">
        <v>12000000</v>
      </c>
      <c r="P18" s="65"/>
    </row>
    <row r="19" spans="1:16" ht="21.6" customHeight="1" x14ac:dyDescent="0.3">
      <c r="A19" s="54" t="s">
        <v>194</v>
      </c>
      <c r="B19" s="65">
        <v>0</v>
      </c>
      <c r="C19" s="65">
        <v>0</v>
      </c>
      <c r="D19" s="65">
        <v>0</v>
      </c>
      <c r="E19" s="65">
        <v>0</v>
      </c>
      <c r="F19" s="65">
        <v>0</v>
      </c>
      <c r="G19" s="65">
        <v>0</v>
      </c>
      <c r="H19" s="65">
        <v>0</v>
      </c>
      <c r="I19" s="65">
        <v>0</v>
      </c>
      <c r="J19" s="65">
        <v>0</v>
      </c>
      <c r="K19" s="65">
        <v>0</v>
      </c>
      <c r="L19" s="65">
        <v>0</v>
      </c>
      <c r="M19" s="65">
        <v>0</v>
      </c>
      <c r="N19" s="65">
        <v>0</v>
      </c>
      <c r="O19" s="65">
        <v>0</v>
      </c>
      <c r="P19" s="65"/>
    </row>
    <row r="20" spans="1:16" ht="21.6" customHeight="1" x14ac:dyDescent="0.3">
      <c r="A20" s="54" t="s">
        <v>195</v>
      </c>
      <c r="B20" s="65">
        <v>54330833</v>
      </c>
      <c r="C20" s="65">
        <v>54330833</v>
      </c>
      <c r="D20" s="65">
        <v>52862433</v>
      </c>
      <c r="E20" s="65">
        <v>51394000</v>
      </c>
      <c r="F20" s="65">
        <v>49925600</v>
      </c>
      <c r="G20" s="65">
        <v>48457200</v>
      </c>
      <c r="H20" s="65">
        <v>48457200</v>
      </c>
      <c r="I20" s="65">
        <v>45520400</v>
      </c>
      <c r="J20" s="65">
        <v>44052000</v>
      </c>
      <c r="K20" s="65">
        <v>44052000</v>
      </c>
      <c r="L20" s="65">
        <v>41115200</v>
      </c>
      <c r="M20" s="65">
        <v>41115200</v>
      </c>
      <c r="N20" s="65">
        <v>36710000</v>
      </c>
      <c r="O20" s="65">
        <v>35241600</v>
      </c>
      <c r="P20" s="65" t="s">
        <v>1255</v>
      </c>
    </row>
    <row r="21" spans="1:16" ht="21.6" customHeight="1" x14ac:dyDescent="0.3">
      <c r="A21" s="54" t="s">
        <v>196</v>
      </c>
      <c r="B21" s="65">
        <v>3071640</v>
      </c>
      <c r="C21" s="65">
        <v>2841267</v>
      </c>
      <c r="D21" s="65">
        <v>2841267</v>
      </c>
      <c r="E21" s="65">
        <v>2687685</v>
      </c>
      <c r="F21" s="65">
        <v>2610894</v>
      </c>
      <c r="G21" s="65">
        <v>2534103</v>
      </c>
      <c r="H21" s="65">
        <v>2534103</v>
      </c>
      <c r="I21" s="65">
        <v>2380521</v>
      </c>
      <c r="J21" s="65">
        <v>2303730</v>
      </c>
      <c r="K21" s="65">
        <v>2303730</v>
      </c>
      <c r="L21" s="65">
        <v>2150148</v>
      </c>
      <c r="M21" s="65">
        <v>2150148</v>
      </c>
      <c r="N21" s="65">
        <v>1919775</v>
      </c>
      <c r="O21" s="65">
        <v>1842984</v>
      </c>
      <c r="P21" s="65" t="s">
        <v>1256</v>
      </c>
    </row>
    <row r="22" spans="1:16" ht="21.6" customHeight="1" x14ac:dyDescent="0.3">
      <c r="A22" s="54" t="s">
        <v>1242</v>
      </c>
      <c r="B22" s="65">
        <v>0</v>
      </c>
      <c r="C22" s="65">
        <v>0</v>
      </c>
      <c r="D22" s="65">
        <v>0</v>
      </c>
      <c r="E22" s="65">
        <v>0</v>
      </c>
      <c r="F22" s="65">
        <v>0</v>
      </c>
      <c r="G22" s="65">
        <v>0</v>
      </c>
      <c r="H22" s="65">
        <v>0</v>
      </c>
      <c r="I22" s="65">
        <v>0</v>
      </c>
      <c r="J22" s="65">
        <v>0</v>
      </c>
      <c r="K22" s="65">
        <v>0</v>
      </c>
      <c r="L22" s="65">
        <v>0</v>
      </c>
      <c r="M22" s="65">
        <v>0</v>
      </c>
      <c r="N22" s="65">
        <v>20939506</v>
      </c>
      <c r="O22" s="65">
        <v>19194548</v>
      </c>
      <c r="P22" s="65" t="s">
        <v>1257</v>
      </c>
    </row>
    <row r="23" spans="1:16" ht="21.6" customHeight="1" x14ac:dyDescent="0.3">
      <c r="A23" s="54" t="s">
        <v>197</v>
      </c>
      <c r="B23" s="65">
        <v>0</v>
      </c>
      <c r="C23" s="65">
        <v>0</v>
      </c>
      <c r="D23" s="65">
        <v>0</v>
      </c>
      <c r="E23" s="65">
        <v>0</v>
      </c>
      <c r="F23" s="65">
        <v>0</v>
      </c>
      <c r="G23" s="65">
        <v>0</v>
      </c>
      <c r="H23" s="65">
        <v>0</v>
      </c>
      <c r="I23" s="65">
        <v>0</v>
      </c>
      <c r="J23" s="65">
        <v>0</v>
      </c>
      <c r="K23" s="65">
        <v>0</v>
      </c>
      <c r="L23" s="65">
        <v>0</v>
      </c>
      <c r="M23" s="65">
        <v>0</v>
      </c>
      <c r="N23" s="65">
        <v>0</v>
      </c>
      <c r="O23" s="65">
        <v>0</v>
      </c>
      <c r="P23" s="65"/>
    </row>
    <row r="24" spans="1:16" ht="21.6" customHeight="1" x14ac:dyDescent="0.3">
      <c r="A24" s="54" t="s">
        <v>213</v>
      </c>
      <c r="B24" s="65">
        <v>0</v>
      </c>
      <c r="C24" s="65">
        <v>0</v>
      </c>
      <c r="D24" s="65">
        <v>0</v>
      </c>
      <c r="E24" s="65">
        <v>0</v>
      </c>
      <c r="F24" s="65">
        <v>0</v>
      </c>
      <c r="G24" s="65">
        <v>0</v>
      </c>
      <c r="H24" s="65">
        <v>0</v>
      </c>
      <c r="I24" s="65">
        <v>0</v>
      </c>
      <c r="J24" s="65">
        <v>0</v>
      </c>
      <c r="K24" s="65">
        <v>0</v>
      </c>
      <c r="L24" s="65">
        <v>0</v>
      </c>
      <c r="M24" s="65">
        <v>0</v>
      </c>
      <c r="N24" s="65">
        <v>0</v>
      </c>
      <c r="O24" s="65">
        <v>0</v>
      </c>
      <c r="P24" s="65"/>
    </row>
    <row r="25" spans="1:16" ht="21.6" customHeight="1" x14ac:dyDescent="0.3">
      <c r="A25" s="54" t="s">
        <v>214</v>
      </c>
      <c r="B25" s="65">
        <v>0</v>
      </c>
      <c r="C25" s="65">
        <v>0</v>
      </c>
      <c r="D25" s="65">
        <v>0</v>
      </c>
      <c r="E25" s="65">
        <v>0</v>
      </c>
      <c r="F25" s="65">
        <v>0</v>
      </c>
      <c r="G25" s="65">
        <v>0</v>
      </c>
      <c r="H25" s="65">
        <v>0</v>
      </c>
      <c r="I25" s="65">
        <v>0</v>
      </c>
      <c r="J25" s="65">
        <v>0</v>
      </c>
      <c r="K25" s="65">
        <v>0</v>
      </c>
      <c r="L25" s="65">
        <v>0</v>
      </c>
      <c r="M25" s="65">
        <v>0</v>
      </c>
      <c r="N25" s="65">
        <v>0</v>
      </c>
      <c r="O25" s="65">
        <v>0</v>
      </c>
      <c r="P25" s="65"/>
    </row>
    <row r="26" spans="1:16" ht="21.6" customHeight="1" x14ac:dyDescent="0.3">
      <c r="A26" s="54" t="s">
        <v>215</v>
      </c>
      <c r="B26" s="65">
        <v>0</v>
      </c>
      <c r="C26" s="65">
        <v>0</v>
      </c>
      <c r="D26" s="65">
        <v>0</v>
      </c>
      <c r="E26" s="65">
        <v>0</v>
      </c>
      <c r="F26" s="65">
        <v>0</v>
      </c>
      <c r="G26" s="65">
        <v>0</v>
      </c>
      <c r="H26" s="65">
        <v>0</v>
      </c>
      <c r="I26" s="65">
        <v>0</v>
      </c>
      <c r="J26" s="65">
        <v>0</v>
      </c>
      <c r="K26" s="65">
        <v>0</v>
      </c>
      <c r="L26" s="65">
        <v>0</v>
      </c>
      <c r="M26" s="65">
        <v>0</v>
      </c>
      <c r="N26" s="65">
        <v>0</v>
      </c>
      <c r="O26" s="65">
        <v>0</v>
      </c>
      <c r="P26" s="65"/>
    </row>
    <row r="27" spans="1:16" ht="21.6" customHeight="1" x14ac:dyDescent="0.3">
      <c r="A27" s="54" t="s">
        <v>216</v>
      </c>
      <c r="B27" s="65">
        <v>0</v>
      </c>
      <c r="C27" s="65">
        <v>0</v>
      </c>
      <c r="D27" s="65">
        <v>0</v>
      </c>
      <c r="E27" s="65">
        <v>0</v>
      </c>
      <c r="F27" s="65">
        <v>0</v>
      </c>
      <c r="G27" s="65">
        <v>0</v>
      </c>
      <c r="H27" s="65">
        <v>0</v>
      </c>
      <c r="I27" s="65">
        <v>0</v>
      </c>
      <c r="J27" s="65">
        <v>0</v>
      </c>
      <c r="K27" s="65">
        <v>0</v>
      </c>
      <c r="L27" s="65">
        <v>0</v>
      </c>
      <c r="M27" s="65">
        <v>0</v>
      </c>
      <c r="N27" s="65">
        <v>0</v>
      </c>
      <c r="O27" s="65">
        <v>0</v>
      </c>
      <c r="P27" s="65"/>
    </row>
    <row r="28" spans="1:16" ht="21.6" customHeight="1" x14ac:dyDescent="0.3">
      <c r="A28" s="54" t="s">
        <v>198</v>
      </c>
      <c r="B28" s="65">
        <v>90130880</v>
      </c>
      <c r="C28" s="65">
        <v>92706048</v>
      </c>
      <c r="D28" s="65">
        <v>92706048</v>
      </c>
      <c r="E28" s="65">
        <v>97856384</v>
      </c>
      <c r="F28" s="65">
        <v>97856384</v>
      </c>
      <c r="G28" s="65">
        <v>97856384</v>
      </c>
      <c r="H28" s="65">
        <v>100431552</v>
      </c>
      <c r="I28" s="65">
        <v>100431552</v>
      </c>
      <c r="J28" s="65">
        <v>96453395.5</v>
      </c>
      <c r="K28" s="65">
        <v>65636342.670000009</v>
      </c>
      <c r="L28" s="65">
        <v>67273414.350000009</v>
      </c>
      <c r="M28" s="65">
        <v>0</v>
      </c>
      <c r="N28" s="65">
        <v>0</v>
      </c>
      <c r="O28" s="65">
        <v>0</v>
      </c>
      <c r="P28" s="65"/>
    </row>
    <row r="29" spans="1:16" ht="21.6" customHeight="1" x14ac:dyDescent="0.3">
      <c r="A29" s="54" t="s">
        <v>297</v>
      </c>
      <c r="B29" s="65">
        <v>0</v>
      </c>
      <c r="C29" s="65">
        <v>0</v>
      </c>
      <c r="D29" s="65">
        <v>55440541</v>
      </c>
      <c r="E29" s="65">
        <v>56938934</v>
      </c>
      <c r="F29" s="65">
        <v>56938934</v>
      </c>
      <c r="G29" s="65">
        <v>56938934</v>
      </c>
      <c r="H29" s="65">
        <v>58437327</v>
      </c>
      <c r="I29" s="65">
        <v>58437327</v>
      </c>
      <c r="J29" s="65">
        <v>57688130.5</v>
      </c>
      <c r="K29" s="65">
        <v>57673146.57</v>
      </c>
      <c r="L29" s="65">
        <v>59111603.850000001</v>
      </c>
      <c r="M29" s="65">
        <v>61434113</v>
      </c>
      <c r="N29" s="65">
        <v>58437327</v>
      </c>
      <c r="O29" s="65">
        <v>0</v>
      </c>
      <c r="P29" s="65"/>
    </row>
    <row r="30" spans="1:16" ht="21.6" customHeight="1" x14ac:dyDescent="0.3">
      <c r="A30" s="54" t="s">
        <v>421</v>
      </c>
      <c r="B30" s="65">
        <v>0</v>
      </c>
      <c r="C30" s="65">
        <v>0</v>
      </c>
      <c r="D30" s="65">
        <v>0</v>
      </c>
      <c r="E30" s="65">
        <v>0</v>
      </c>
      <c r="F30" s="65">
        <v>0</v>
      </c>
      <c r="G30" s="65">
        <v>22522714</v>
      </c>
      <c r="H30" s="65">
        <v>23115417</v>
      </c>
      <c r="I30" s="65">
        <v>23115417</v>
      </c>
      <c r="J30" s="65">
        <v>22819065.5</v>
      </c>
      <c r="K30" s="65">
        <v>22813138.469999999</v>
      </c>
      <c r="L30" s="65">
        <v>23382133.349999998</v>
      </c>
      <c r="M30" s="65">
        <v>24300823</v>
      </c>
      <c r="N30" s="65">
        <v>23115417</v>
      </c>
      <c r="O30" s="65">
        <v>23115417</v>
      </c>
      <c r="P30" s="65" t="s">
        <v>1258</v>
      </c>
    </row>
    <row r="31" spans="1:16" ht="21.6" customHeight="1" x14ac:dyDescent="0.3">
      <c r="A31" s="54" t="s">
        <v>543</v>
      </c>
      <c r="B31" s="65">
        <v>0</v>
      </c>
      <c r="C31" s="65">
        <v>0</v>
      </c>
      <c r="D31" s="65">
        <v>0</v>
      </c>
      <c r="E31" s="65">
        <v>0</v>
      </c>
      <c r="F31" s="65">
        <v>0</v>
      </c>
      <c r="G31" s="65">
        <v>0</v>
      </c>
      <c r="H31" s="65">
        <v>0</v>
      </c>
      <c r="I31" s="65">
        <v>0</v>
      </c>
      <c r="J31" s="65">
        <v>0</v>
      </c>
      <c r="K31" s="65">
        <v>52683918.810000002</v>
      </c>
      <c r="L31" s="65">
        <v>53997937.050000004</v>
      </c>
      <c r="M31" s="65">
        <v>56119529</v>
      </c>
      <c r="N31" s="65">
        <v>53381991</v>
      </c>
      <c r="O31" s="65">
        <v>53381991</v>
      </c>
      <c r="P31" s="65" t="s">
        <v>1259</v>
      </c>
    </row>
    <row r="32" spans="1:16" ht="21.6" customHeight="1" x14ac:dyDescent="0.3">
      <c r="A32" s="54" t="s">
        <v>962</v>
      </c>
      <c r="B32" s="65">
        <v>0</v>
      </c>
      <c r="C32" s="65">
        <v>0</v>
      </c>
      <c r="D32" s="65">
        <v>0</v>
      </c>
      <c r="E32" s="65">
        <v>0</v>
      </c>
      <c r="F32" s="65">
        <v>0</v>
      </c>
      <c r="G32" s="65">
        <v>0</v>
      </c>
      <c r="H32" s="65">
        <v>0</v>
      </c>
      <c r="I32" s="65">
        <v>0</v>
      </c>
      <c r="J32" s="65">
        <v>0</v>
      </c>
      <c r="K32" s="65">
        <v>0</v>
      </c>
      <c r="L32" s="65">
        <v>0</v>
      </c>
      <c r="M32" s="65">
        <v>0</v>
      </c>
      <c r="N32" s="65">
        <v>56294004</v>
      </c>
      <c r="O32" s="65">
        <v>56294004</v>
      </c>
      <c r="P32" s="65" t="s">
        <v>1260</v>
      </c>
    </row>
    <row r="33" spans="1:16" ht="21.6" customHeight="1" x14ac:dyDescent="0.3">
      <c r="A33" s="54" t="s">
        <v>199</v>
      </c>
      <c r="B33" s="65">
        <v>85669126</v>
      </c>
      <c r="C33" s="65">
        <v>79343126</v>
      </c>
      <c r="D33" s="65">
        <v>73017126</v>
      </c>
      <c r="E33" s="65">
        <v>66691126</v>
      </c>
      <c r="F33" s="65">
        <v>54039126</v>
      </c>
      <c r="G33" s="65">
        <v>54039126</v>
      </c>
      <c r="H33" s="65">
        <v>47713126</v>
      </c>
      <c r="I33" s="65">
        <v>41387126</v>
      </c>
      <c r="J33" s="65">
        <v>35061126</v>
      </c>
      <c r="K33" s="65">
        <v>28693821.449999999</v>
      </c>
      <c r="L33" s="65">
        <v>22409126</v>
      </c>
      <c r="M33" s="65">
        <v>16083126</v>
      </c>
      <c r="N33" s="65">
        <v>3431126</v>
      </c>
      <c r="O33" s="65">
        <v>0</v>
      </c>
      <c r="P33" s="65"/>
    </row>
    <row r="34" spans="1:16" ht="21.6" customHeight="1" x14ac:dyDescent="0.3">
      <c r="A34" s="54" t="s">
        <v>200</v>
      </c>
      <c r="B34" s="65">
        <v>0</v>
      </c>
      <c r="C34" s="65">
        <v>0</v>
      </c>
      <c r="D34" s="65">
        <v>0</v>
      </c>
      <c r="E34" s="65">
        <v>0</v>
      </c>
      <c r="F34" s="65">
        <v>0</v>
      </c>
      <c r="G34" s="65">
        <v>0</v>
      </c>
      <c r="H34" s="65">
        <v>0</v>
      </c>
      <c r="I34" s="65">
        <v>0</v>
      </c>
      <c r="J34" s="65">
        <v>0</v>
      </c>
      <c r="K34" s="65">
        <v>0</v>
      </c>
      <c r="L34" s="65">
        <v>0</v>
      </c>
      <c r="M34" s="65">
        <v>0</v>
      </c>
      <c r="N34" s="65">
        <v>0</v>
      </c>
      <c r="O34" s="65">
        <v>0</v>
      </c>
      <c r="P34" s="65"/>
    </row>
    <row r="35" spans="1:16" ht="21.6" customHeight="1" x14ac:dyDescent="0.3">
      <c r="A35" s="54" t="s">
        <v>201</v>
      </c>
      <c r="B35" s="65">
        <v>0</v>
      </c>
      <c r="C35" s="65">
        <v>0</v>
      </c>
      <c r="D35" s="65">
        <v>0</v>
      </c>
      <c r="E35" s="65">
        <v>0</v>
      </c>
      <c r="F35" s="65">
        <v>0</v>
      </c>
      <c r="G35" s="65">
        <v>0</v>
      </c>
      <c r="H35" s="65">
        <v>0</v>
      </c>
      <c r="I35" s="65">
        <v>0</v>
      </c>
      <c r="J35" s="65">
        <v>0</v>
      </c>
      <c r="K35" s="65">
        <v>0</v>
      </c>
      <c r="L35" s="65">
        <v>0</v>
      </c>
      <c r="M35" s="65">
        <v>0</v>
      </c>
      <c r="N35" s="65">
        <v>0</v>
      </c>
      <c r="O35" s="65">
        <v>0</v>
      </c>
      <c r="P35" s="65"/>
    </row>
    <row r="36" spans="1:16" ht="21.6" customHeight="1" x14ac:dyDescent="0.3">
      <c r="A36" s="54" t="s">
        <v>1236</v>
      </c>
      <c r="B36" s="65">
        <v>0</v>
      </c>
      <c r="C36" s="65">
        <v>0</v>
      </c>
      <c r="D36" s="65">
        <v>0</v>
      </c>
      <c r="E36" s="65">
        <v>0</v>
      </c>
      <c r="F36" s="65">
        <v>26031901.309999999</v>
      </c>
      <c r="G36" s="65">
        <v>24790595.739999998</v>
      </c>
      <c r="H36" s="65">
        <v>23719778.41</v>
      </c>
      <c r="I36" s="65">
        <v>22486676.970000003</v>
      </c>
      <c r="J36" s="65">
        <v>21267871.290000003</v>
      </c>
      <c r="K36" s="65">
        <v>20060494.380000003</v>
      </c>
      <c r="L36" s="65">
        <v>18880535.100000001</v>
      </c>
      <c r="M36" s="65">
        <v>17706924.239999998</v>
      </c>
      <c r="N36" s="65">
        <v>15430152.789999997</v>
      </c>
      <c r="O36" s="65">
        <v>14235097.409999998</v>
      </c>
      <c r="P36" s="65"/>
    </row>
    <row r="37" spans="1:16" ht="21.6" customHeight="1" x14ac:dyDescent="0.3">
      <c r="A37" s="54" t="s">
        <v>1230</v>
      </c>
      <c r="B37" s="65">
        <v>25582703.219999999</v>
      </c>
      <c r="C37" s="65">
        <v>24706333.149999999</v>
      </c>
      <c r="D37" s="65">
        <v>23868447.079999998</v>
      </c>
      <c r="E37" s="65">
        <v>24020998.199999999</v>
      </c>
      <c r="F37" s="65">
        <v>22282101.91</v>
      </c>
      <c r="G37" s="65">
        <v>21288613.34</v>
      </c>
      <c r="H37" s="65">
        <v>20437835.670000002</v>
      </c>
      <c r="I37" s="65">
        <v>19449106.430000003</v>
      </c>
      <c r="J37" s="65">
        <v>18474834.260000005</v>
      </c>
      <c r="K37" s="65">
        <v>17508544.630000006</v>
      </c>
      <c r="L37" s="65">
        <v>16565250.450000007</v>
      </c>
      <c r="M37" s="65">
        <v>15625187.190000009</v>
      </c>
      <c r="N37" s="65">
        <v>13807832.670000009</v>
      </c>
      <c r="O37" s="65">
        <v>12843884.940000011</v>
      </c>
      <c r="P37" s="65"/>
    </row>
    <row r="38" spans="1:16" ht="21.6" customHeight="1" x14ac:dyDescent="0.3">
      <c r="A38" s="54" t="s">
        <v>1238</v>
      </c>
      <c r="B38" s="65">
        <v>0</v>
      </c>
      <c r="C38" s="65">
        <v>0</v>
      </c>
      <c r="D38" s="65">
        <v>0</v>
      </c>
      <c r="E38" s="65">
        <v>0</v>
      </c>
      <c r="F38" s="65">
        <v>0</v>
      </c>
      <c r="G38" s="65">
        <v>0</v>
      </c>
      <c r="H38" s="65">
        <v>0</v>
      </c>
      <c r="I38" s="65">
        <v>0</v>
      </c>
      <c r="J38" s="65">
        <v>0</v>
      </c>
      <c r="K38" s="65">
        <v>0</v>
      </c>
      <c r="L38" s="65">
        <v>80206729.879999995</v>
      </c>
      <c r="M38" s="65">
        <v>79861078.480000004</v>
      </c>
      <c r="N38" s="65">
        <v>79370302.150000006</v>
      </c>
      <c r="O38" s="65">
        <v>78851265.210000008</v>
      </c>
      <c r="P38" s="65"/>
    </row>
    <row r="39" spans="1:16" ht="21.6" customHeight="1" x14ac:dyDescent="0.3">
      <c r="A39" s="54" t="s">
        <v>1232</v>
      </c>
      <c r="B39" s="65">
        <v>26810607.579999998</v>
      </c>
      <c r="C39" s="65">
        <v>26991160.550000001</v>
      </c>
      <c r="D39" s="65">
        <v>25913149.530000001</v>
      </c>
      <c r="E39" s="65">
        <v>26084498.899999999</v>
      </c>
      <c r="F39" s="65">
        <v>24272072.600000001</v>
      </c>
      <c r="G39" s="65">
        <v>23225449.379999999</v>
      </c>
      <c r="H39" s="65">
        <v>22328751.640000001</v>
      </c>
      <c r="I39" s="65">
        <v>21288390.120000001</v>
      </c>
      <c r="J39" s="65">
        <v>20261351.320000004</v>
      </c>
      <c r="K39" s="65">
        <v>19242659.020000003</v>
      </c>
      <c r="L39" s="65">
        <v>18250128.500000004</v>
      </c>
      <c r="M39" s="65">
        <v>17261167.520000003</v>
      </c>
      <c r="N39" s="65">
        <v>15351100.940000005</v>
      </c>
      <c r="O39" s="65">
        <v>14334896.010000005</v>
      </c>
      <c r="P39" s="65"/>
    </row>
    <row r="40" spans="1:16" ht="21.6" customHeight="1" x14ac:dyDescent="0.3">
      <c r="A40" s="54" t="s">
        <v>1228</v>
      </c>
      <c r="B40" s="65">
        <v>65865540.649999999</v>
      </c>
      <c r="C40" s="65">
        <v>60995747.579999998</v>
      </c>
      <c r="D40" s="65">
        <v>58902640.799999997</v>
      </c>
      <c r="E40" s="65">
        <v>56682393.969999999</v>
      </c>
      <c r="F40" s="65">
        <v>54818487.120000005</v>
      </c>
      <c r="G40" s="65">
        <v>52299048.060000002</v>
      </c>
      <c r="H40" s="65">
        <v>50136013.609999999</v>
      </c>
      <c r="I40" s="65">
        <v>47631389.68</v>
      </c>
      <c r="J40" s="65">
        <v>45157527.289999999</v>
      </c>
      <c r="K40" s="65">
        <v>42697257.329999998</v>
      </c>
      <c r="L40" s="65">
        <v>40306835</v>
      </c>
      <c r="M40" s="65">
        <v>37926967.32</v>
      </c>
      <c r="N40" s="65">
        <v>33314760.919999994</v>
      </c>
      <c r="O40" s="65">
        <v>30884673.449999996</v>
      </c>
      <c r="P40" s="65"/>
    </row>
    <row r="41" spans="1:16" ht="21.6" customHeight="1" x14ac:dyDescent="0.3">
      <c r="A41" s="54" t="s">
        <v>1229</v>
      </c>
      <c r="B41" s="65">
        <v>94944546.189999998</v>
      </c>
      <c r="C41" s="65">
        <v>88476889.230000004</v>
      </c>
      <c r="D41" s="65">
        <v>84262864.439999998</v>
      </c>
      <c r="E41" s="65">
        <v>82222974.680000007</v>
      </c>
      <c r="F41" s="65">
        <v>79567204.679999992</v>
      </c>
      <c r="G41" s="65">
        <v>75853658.510000005</v>
      </c>
      <c r="H41" s="65">
        <v>72716430.010000005</v>
      </c>
      <c r="I41" s="65">
        <v>69028183.840000004</v>
      </c>
      <c r="J41" s="65">
        <v>65388773.829999998</v>
      </c>
      <c r="K41" s="65">
        <v>61771693.030000001</v>
      </c>
      <c r="L41" s="65">
        <v>58266664.57</v>
      </c>
      <c r="M41" s="65">
        <v>54781379.420000002</v>
      </c>
      <c r="N41" s="65">
        <v>48051033.019999996</v>
      </c>
      <c r="O41" s="65">
        <v>44491473.409999996</v>
      </c>
      <c r="P41" s="65"/>
    </row>
    <row r="42" spans="1:16" ht="21.6" customHeight="1" x14ac:dyDescent="0.3">
      <c r="A42" s="54" t="s">
        <v>1224</v>
      </c>
      <c r="B42" s="65">
        <v>349958312</v>
      </c>
      <c r="C42" s="65">
        <v>355279704</v>
      </c>
      <c r="D42" s="65">
        <v>351122469</v>
      </c>
      <c r="E42" s="65">
        <v>354844809</v>
      </c>
      <c r="F42" s="65">
        <v>356058032</v>
      </c>
      <c r="G42" s="65">
        <v>344444698</v>
      </c>
      <c r="H42" s="65">
        <v>344444698</v>
      </c>
      <c r="I42" s="65">
        <v>338735212</v>
      </c>
      <c r="J42" s="65">
        <v>333497178</v>
      </c>
      <c r="K42" s="65">
        <v>328259144</v>
      </c>
      <c r="L42" s="65">
        <v>323115759</v>
      </c>
      <c r="M42" s="65">
        <v>337123027</v>
      </c>
      <c r="N42" s="65">
        <v>330806810</v>
      </c>
      <c r="O42" s="65">
        <v>325308853</v>
      </c>
      <c r="P42" s="65"/>
    </row>
    <row r="43" spans="1:16" ht="21.6" customHeight="1" x14ac:dyDescent="0.3">
      <c r="A43" s="54" t="s">
        <v>1225</v>
      </c>
      <c r="B43" s="65">
        <v>58432943.620000035</v>
      </c>
      <c r="C43" s="65">
        <v>72197464.860000014</v>
      </c>
      <c r="D43" s="65">
        <v>70787902.990000024</v>
      </c>
      <c r="E43" s="65">
        <v>71741402.340000033</v>
      </c>
      <c r="F43" s="65">
        <v>43888850.962125674</v>
      </c>
      <c r="G43" s="65">
        <v>28396816.509999998</v>
      </c>
      <c r="H43" s="65">
        <v>27093375.809999991</v>
      </c>
      <c r="I43" s="65">
        <v>25606060.169999991</v>
      </c>
      <c r="J43" s="65">
        <v>24137884.089999989</v>
      </c>
      <c r="K43" s="65">
        <v>22682493.509999987</v>
      </c>
      <c r="L43" s="65">
        <v>21258869.339999985</v>
      </c>
      <c r="M43" s="65">
        <v>19839681.689999986</v>
      </c>
      <c r="N43" s="65">
        <v>17084714.229999982</v>
      </c>
      <c r="O43" s="65">
        <v>15639422.649999984</v>
      </c>
      <c r="P43" s="65"/>
    </row>
    <row r="44" spans="1:16" ht="21.6" customHeight="1" x14ac:dyDescent="0.3">
      <c r="A44" s="54" t="s">
        <v>1248</v>
      </c>
      <c r="B44" s="65">
        <v>0</v>
      </c>
      <c r="C44" s="65">
        <v>0</v>
      </c>
      <c r="D44" s="65">
        <v>0</v>
      </c>
      <c r="E44" s="65">
        <v>0</v>
      </c>
      <c r="F44" s="65">
        <v>0</v>
      </c>
      <c r="G44" s="65">
        <v>0</v>
      </c>
      <c r="H44" s="65">
        <v>0</v>
      </c>
      <c r="I44" s="65">
        <v>0</v>
      </c>
      <c r="J44" s="65">
        <v>0</v>
      </c>
      <c r="K44" s="65">
        <v>0</v>
      </c>
      <c r="L44" s="65">
        <v>0</v>
      </c>
      <c r="M44" s="65">
        <v>0</v>
      </c>
      <c r="N44" s="65">
        <v>0</v>
      </c>
      <c r="O44" s="65">
        <v>60000000</v>
      </c>
      <c r="P44" s="65"/>
    </row>
    <row r="45" spans="1:16" ht="21.6" customHeight="1" x14ac:dyDescent="0.3">
      <c r="A45" s="54" t="s">
        <v>443</v>
      </c>
      <c r="B45" s="65">
        <v>0</v>
      </c>
      <c r="C45" s="65">
        <v>0</v>
      </c>
      <c r="D45" s="65">
        <v>0</v>
      </c>
      <c r="E45" s="65">
        <v>0</v>
      </c>
      <c r="F45" s="65">
        <v>0</v>
      </c>
      <c r="G45" s="65">
        <v>0</v>
      </c>
      <c r="H45" s="65">
        <v>0</v>
      </c>
      <c r="I45" s="65">
        <v>0</v>
      </c>
      <c r="J45" s="65">
        <v>0</v>
      </c>
      <c r="K45" s="65">
        <v>0</v>
      </c>
      <c r="L45" s="65">
        <v>0</v>
      </c>
      <c r="M45" s="65">
        <v>0</v>
      </c>
      <c r="N45" s="65">
        <v>0</v>
      </c>
      <c r="O45" s="65">
        <v>0</v>
      </c>
      <c r="P45" s="65"/>
    </row>
    <row r="46" spans="1:16" ht="21.6" customHeight="1" x14ac:dyDescent="0.3">
      <c r="A46" s="54" t="s">
        <v>202</v>
      </c>
      <c r="B46" s="65">
        <v>0</v>
      </c>
      <c r="C46" s="65">
        <v>0</v>
      </c>
      <c r="D46" s="65">
        <v>0</v>
      </c>
      <c r="E46" s="65">
        <v>0</v>
      </c>
      <c r="F46" s="65">
        <v>35000000</v>
      </c>
      <c r="G46" s="65">
        <v>35000000</v>
      </c>
      <c r="H46" s="65">
        <v>35000000</v>
      </c>
      <c r="I46" s="65">
        <v>35000000</v>
      </c>
      <c r="J46" s="65">
        <v>35000000</v>
      </c>
      <c r="K46" s="65">
        <v>35000000</v>
      </c>
      <c r="L46" s="65">
        <v>35000000</v>
      </c>
      <c r="M46" s="65">
        <v>33055556</v>
      </c>
      <c r="N46" s="65">
        <v>29166668</v>
      </c>
      <c r="O46" s="65">
        <v>27222224</v>
      </c>
      <c r="P46" s="65"/>
    </row>
    <row r="47" spans="1:16" ht="21.6" customHeight="1" x14ac:dyDescent="0.3">
      <c r="A47" s="54" t="s">
        <v>203</v>
      </c>
      <c r="B47" s="65">
        <v>0</v>
      </c>
      <c r="C47" s="65">
        <v>0</v>
      </c>
      <c r="D47" s="65">
        <v>0</v>
      </c>
      <c r="E47" s="65">
        <v>0</v>
      </c>
      <c r="F47" s="65">
        <v>0</v>
      </c>
      <c r="G47" s="65">
        <v>1409465</v>
      </c>
      <c r="H47" s="65">
        <v>1273328</v>
      </c>
      <c r="I47" s="65">
        <v>-63580</v>
      </c>
      <c r="J47" s="65">
        <v>629103</v>
      </c>
      <c r="K47" s="65">
        <v>0</v>
      </c>
      <c r="L47" s="65">
        <v>0</v>
      </c>
      <c r="M47" s="65">
        <v>602400</v>
      </c>
      <c r="N47" s="65">
        <v>4227096</v>
      </c>
      <c r="O47" s="65">
        <v>4227096</v>
      </c>
      <c r="P47" s="65">
        <v>1310705</v>
      </c>
    </row>
    <row r="48" spans="1:16" ht="21.6" customHeight="1" x14ac:dyDescent="0.3">
      <c r="A48" s="54" t="s">
        <v>204</v>
      </c>
      <c r="B48" s="65">
        <v>7016439</v>
      </c>
      <c r="C48" s="65">
        <v>27453600</v>
      </c>
      <c r="D48" s="65">
        <v>26384700</v>
      </c>
      <c r="E48" s="65">
        <v>34302600</v>
      </c>
      <c r="F48" s="65">
        <v>33366600</v>
      </c>
      <c r="G48" s="65">
        <v>23753800</v>
      </c>
      <c r="H48" s="65">
        <v>27693900</v>
      </c>
      <c r="I48" s="65">
        <v>31683600</v>
      </c>
      <c r="J48" s="65">
        <v>33806850</v>
      </c>
      <c r="K48" s="65">
        <v>1421</v>
      </c>
      <c r="L48" s="65">
        <v>28691985</v>
      </c>
      <c r="M48" s="65">
        <v>20561500</v>
      </c>
      <c r="N48" s="65">
        <v>31609500</v>
      </c>
      <c r="O48" s="65">
        <v>31609500</v>
      </c>
      <c r="P48" s="65">
        <v>8252</v>
      </c>
    </row>
    <row r="49" spans="1:16" ht="21.6" customHeight="1" x14ac:dyDescent="0.3">
      <c r="A49" s="54" t="s">
        <v>205</v>
      </c>
      <c r="B49" s="65">
        <v>0</v>
      </c>
      <c r="C49" s="65">
        <v>0</v>
      </c>
      <c r="D49" s="65">
        <v>0</v>
      </c>
      <c r="E49" s="65">
        <v>0</v>
      </c>
      <c r="F49" s="65">
        <v>0</v>
      </c>
      <c r="G49" s="65">
        <v>5919563</v>
      </c>
      <c r="H49" s="65">
        <v>3911800</v>
      </c>
      <c r="I49" s="65">
        <v>417434</v>
      </c>
      <c r="J49" s="65">
        <v>4108939</v>
      </c>
      <c r="K49" s="65">
        <v>967140</v>
      </c>
      <c r="L49" s="65">
        <v>454357</v>
      </c>
      <c r="M49" s="65">
        <v>357536</v>
      </c>
      <c r="N49" s="65">
        <v>770850</v>
      </c>
      <c r="O49" s="65">
        <v>770850</v>
      </c>
      <c r="P49" s="65">
        <v>11043186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6ACA-6084-4CD6-B691-3C5102800CEA}">
  <sheetPr codeName="Hoja10"/>
  <dimension ref="A1:AC40"/>
  <sheetViews>
    <sheetView tabSelected="1" zoomScaleNormal="100" workbookViewId="0">
      <selection activeCell="AD16" sqref="AD16"/>
    </sheetView>
  </sheetViews>
  <sheetFormatPr baseColWidth="10" defaultColWidth="14.44140625" defaultRowHeight="14.4" x14ac:dyDescent="0.3"/>
  <cols>
    <col min="1" max="1" width="31.5546875" style="54" customWidth="1"/>
    <col min="2" max="6" width="12.5546875" style="54" hidden="1" customWidth="1"/>
    <col min="7" max="13" width="14.109375" style="54" hidden="1" customWidth="1"/>
    <col min="14" max="14" width="14.88671875" style="54" hidden="1" customWidth="1"/>
    <col min="15" max="16" width="14.109375" style="54" hidden="1" customWidth="1"/>
    <col min="17" max="18" width="14.88671875" style="54" hidden="1" customWidth="1"/>
    <col min="19" max="25" width="14.109375" style="54" hidden="1" customWidth="1"/>
    <col min="26" max="16384" width="14.44140625" style="54"/>
  </cols>
  <sheetData>
    <row r="1" spans="1:29" x14ac:dyDescent="0.3">
      <c r="A1" s="143" t="s">
        <v>162</v>
      </c>
      <c r="B1" s="143">
        <v>43831</v>
      </c>
      <c r="C1" s="143">
        <v>43862</v>
      </c>
      <c r="D1" s="143">
        <v>43891</v>
      </c>
      <c r="E1" s="143">
        <v>43922</v>
      </c>
      <c r="F1" s="143">
        <v>43952</v>
      </c>
      <c r="G1" s="143">
        <v>43983</v>
      </c>
      <c r="H1" s="143">
        <v>44013</v>
      </c>
      <c r="I1" s="143">
        <v>44044</v>
      </c>
      <c r="J1" s="143">
        <v>44075</v>
      </c>
      <c r="K1" s="143">
        <v>44105</v>
      </c>
      <c r="L1" s="143">
        <v>44136</v>
      </c>
      <c r="M1" s="143">
        <v>44166</v>
      </c>
      <c r="N1" s="143">
        <v>44197</v>
      </c>
      <c r="O1" s="143">
        <v>44228</v>
      </c>
      <c r="P1" s="69">
        <v>44256</v>
      </c>
      <c r="Q1" s="69">
        <v>44287</v>
      </c>
      <c r="R1" s="69">
        <v>44317</v>
      </c>
      <c r="S1" s="69">
        <v>44348</v>
      </c>
      <c r="T1" s="69">
        <v>44378</v>
      </c>
      <c r="U1" s="69">
        <v>44409</v>
      </c>
      <c r="V1" s="69">
        <v>44440</v>
      </c>
      <c r="W1" s="69">
        <v>44470</v>
      </c>
      <c r="X1" s="69">
        <v>44501</v>
      </c>
      <c r="Y1" s="69">
        <v>44531</v>
      </c>
      <c r="Z1" s="69">
        <v>44197</v>
      </c>
      <c r="AA1" s="69">
        <v>44228</v>
      </c>
      <c r="AB1" s="69">
        <v>44256</v>
      </c>
      <c r="AC1" s="69">
        <v>44287</v>
      </c>
    </row>
    <row r="2" spans="1:29" x14ac:dyDescent="0.3">
      <c r="A2" s="57" t="s">
        <v>208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</row>
    <row r="3" spans="1:29" x14ac:dyDescent="0.3">
      <c r="A3" s="58" t="s">
        <v>209</v>
      </c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</row>
    <row r="4" spans="1:29" x14ac:dyDescent="0.3">
      <c r="A4" s="57" t="s">
        <v>210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</row>
    <row r="5" spans="1:29" ht="26.4" x14ac:dyDescent="0.3">
      <c r="A5" s="52" t="s">
        <v>170</v>
      </c>
      <c r="B5" s="61">
        <f>SUMIFS(PROVEEDORES[[#All],[Total]],
PROVEEDORES[[#All],[FECHA DE PAGO]],"&gt;="&amp;B$1,
PROVEEDORES[[#All],[FECHA DE PAGO]],"&lt;="&amp;EOMONTH(B$1,0))
+
SUMIFS(FINANCIACION[[#All],[PAGO]],
FINANCIACION[[#All],[Fecha]],"&gt;="&amp;B$1,
FINANCIACION[[#All],[Fecha]],"&lt;="&amp;EOMONTH(B$1,0))</f>
        <v>37526227.099999987</v>
      </c>
      <c r="C5" s="61">
        <f>SUMIFS(PROVEEDORES[[#All],[Total]],
PROVEEDORES[[#All],[FECHA DE PAGO]],"&gt;="&amp;C$1,
PROVEEDORES[[#All],[FECHA DE PAGO]],"&lt;="&amp;EOMONTH(C$1,0))
+
SUMIFS(FINANCIACION[[#All],[PAGO]],
FINANCIACION[[#All],[Fecha]],"&gt;="&amp;C$1,
FINANCIACION[[#All],[Fecha]],"&lt;="&amp;EOMONTH(C$1,0))</f>
        <v>34123238.859999999</v>
      </c>
      <c r="D5" s="61">
        <f>SUMIFS(PROVEEDORES[[#All],[Total]],
PROVEEDORES[[#All],[FECHA DE PAGO]],"&gt;="&amp;D$1,
PROVEEDORES[[#All],[FECHA DE PAGO]],"&lt;="&amp;EOMONTH(D$1,0))
+
SUMIFS(FINANCIACION[[#All],[PAGO]],
FINANCIACION[[#All],[Fecha]],"&gt;="&amp;D$1,
FINANCIACION[[#All],[Fecha]],"&lt;="&amp;EOMONTH(D$1,0))</f>
        <v>29913623.84</v>
      </c>
      <c r="E5" s="61">
        <f>SUMIFS(PROVEEDORES[[#All],[Total]],
PROVEEDORES[[#All],[FECHA DE PAGO]],"&gt;="&amp;E$1,
PROVEEDORES[[#All],[FECHA DE PAGO]],"&lt;="&amp;EOMONTH(E$1,0))
+
SUMIFS(FINANCIACION[[#All],[PAGO]],
FINANCIACION[[#All],[Fecha]],"&gt;="&amp;E$1,
FINANCIACION[[#All],[Fecha]],"&lt;="&amp;EOMONTH(E$1,0))</f>
        <v>2288856</v>
      </c>
      <c r="F5" s="61">
        <f>SUMIFS(PROVEEDORES[[#All],[Total]],
PROVEEDORES[[#All],[FECHA DE PAGO]],"&gt;="&amp;F$1,
PROVEEDORES[[#All],[FECHA DE PAGO]],"&lt;="&amp;EOMONTH(F$1,0))
+
SUMIFS(FINANCIACION[[#All],[PAGO]],
FINANCIACION[[#All],[Fecha]],"&gt;="&amp;F$1,
FINANCIACION[[#All],[Fecha]],"&lt;="&amp;EOMONTH(F$1,0))</f>
        <v>18664737.210000001</v>
      </c>
      <c r="G5" s="61">
        <f>SUMIFS(PROVEEDORES[[#All],[Total]],
PROVEEDORES[[#All],[FECHA DE PAGO]],"&gt;="&amp;G$1,
PROVEEDORES[[#All],[FECHA DE PAGO]],"&lt;="&amp;EOMONTH(G$1,0))
+
SUMIFS(FINANCIACION[[#All],[PAGO]],
FINANCIACION[[#All],[Fecha]],"&gt;="&amp;G$1,
FINANCIACION[[#All],[Fecha]],"&lt;="&amp;EOMONTH(G$1,0))</f>
        <v>23063156.02</v>
      </c>
      <c r="H5" s="61">
        <f>SUMIFS(PROVEEDORES[[#All],[Total]],
PROVEEDORES[[#All],[FECHA DE PAGO]],"&gt;="&amp;H$1,
PROVEEDORES[[#All],[FECHA DE PAGO]],"&lt;="&amp;EOMONTH(H$1,0))
+
SUMIFS(FINANCIACION[[#All],[PAGO]],
FINANCIACION[[#All],[Fecha]],"&gt;="&amp;H$1,
FINANCIACION[[#All],[Fecha]],"&lt;="&amp;EOMONTH(H$1,0))</f>
        <v>304425051.12</v>
      </c>
      <c r="I5" s="61">
        <f>SUMIFS(PROVEEDORES[[#All],[Total]],
PROVEEDORES[[#All],[FECHA DE PAGO]],"&gt;="&amp;I$1,
PROVEEDORES[[#All],[FECHA DE PAGO]],"&lt;="&amp;EOMONTH(I$1,0))
+
SUMIFS(FINANCIACION[[#All],[PAGO]],
FINANCIACION[[#All],[Fecha]],"&gt;="&amp;I$1,
FINANCIACION[[#All],[Fecha]],"&lt;="&amp;EOMONTH(I$1,0))</f>
        <v>19013831.890000001</v>
      </c>
      <c r="J5" s="61">
        <f>SUMIFS(PROVEEDORES[[#All],[Total]],
PROVEEDORES[[#All],[FECHA DE PAGO]],"&gt;="&amp;J$1,
PROVEEDORES[[#All],[FECHA DE PAGO]],"&lt;="&amp;EOMONTH(J$1,0))
+
SUMIFS(FINANCIACION[[#All],[PAGO]],
FINANCIACION[[#All],[Fecha]],"&gt;="&amp;J$1,
FINANCIACION[[#All],[Fecha]],"&lt;="&amp;EOMONTH(J$1,0))</f>
        <v>87022684</v>
      </c>
      <c r="K5" s="61">
        <f>SUMIFS(PROVEEDORES[[#All],[Total]],
PROVEEDORES[[#All],[FECHA DE PAGO]],"&gt;="&amp;K$1,
PROVEEDORES[[#All],[FECHA DE PAGO]],"&lt;="&amp;EOMONTH(K$1,0))
+
SUMIFS(FINANCIACION[[#All],[PAGO]],
FINANCIACION[[#All],[Fecha]],"&gt;="&amp;K$1,
FINANCIACION[[#All],[Fecha]],"&lt;="&amp;EOMONTH(K$1,0))</f>
        <v>41076733.32</v>
      </c>
      <c r="L5" s="61">
        <f>SUMIFS(PROVEEDORES[[#All],[Total]],
PROVEEDORES[[#All],[FECHA DE PAGO]],"&gt;="&amp;L$1,
PROVEEDORES[[#All],[FECHA DE PAGO]],"&lt;="&amp;EOMONTH(L$1,0))
+
SUMIFS(FINANCIACION[[#All],[PAGO]],
FINANCIACION[[#All],[Fecha]],"&gt;="&amp;L$1,
FINANCIACION[[#All],[Fecha]],"&lt;="&amp;EOMONTH(L$1,0))</f>
        <v>61346912.229999989</v>
      </c>
      <c r="M5" s="61">
        <f>SUMIFS(PROVEEDORES[[#All],[Total]],
PROVEEDORES[[#All],[FECHA DE PAGO]],"&gt;="&amp;M$1,
PROVEEDORES[[#All],[FECHA DE PAGO]],"&lt;="&amp;EOMONTH(M$1,0))
+
SUMIFS(FINANCIACION[[#All],[PAGO]],
FINANCIACION[[#All],[Fecha]],"&gt;="&amp;M$1,
FINANCIACION[[#All],[Fecha]],"&lt;="&amp;EOMONTH(M$1,0))</f>
        <v>115050948.56999999</v>
      </c>
      <c r="N5" s="61">
        <f>SUMIFS(PROVEEDORES[[#All],[Total]],
PROVEEDORES[[#All],[FECHA DE PAGO]],"&gt;="&amp;N$1,
PROVEEDORES[[#All],[FECHA DE PAGO]],"&lt;="&amp;EOMONTH(N$1,0))
+
SUMIFS(FINANCIACION[[#All],[PAGO]],
FINANCIACION[[#All],[Fecha]],"&gt;="&amp;N$1,
FINANCIACION[[#All],[Fecha]],"&lt;="&amp;EOMONTH(N$1,0))</f>
        <v>107097321.54939915</v>
      </c>
      <c r="O5" s="61">
        <f>SUMIFS(PROVEEDORES[[#All],[Total]],
PROVEEDORES[[#All],[FECHA DE PAGO]],"&gt;="&amp;O$1,
PROVEEDORES[[#All],[FECHA DE PAGO]],"&lt;="&amp;EOMONTH(O$1,0))
+
SUMIFS(FINANCIACION[[#All],[PAGO]],
FINANCIACION[[#All],[Fecha]],"&gt;="&amp;O$1,
FINANCIACION[[#All],[Fecha]],"&lt;="&amp;EOMONTH(O$1,0))</f>
        <v>146368890.2328479</v>
      </c>
      <c r="P5" s="61">
        <f>SUMIFS(PROVEEDORES[[#All],[Total]],
PROVEEDORES[[#All],[FECHA DE PAGO]],"&gt;="&amp;P$1,
PROVEEDORES[[#All],[FECHA DE PAGO]],"&lt;="&amp;EOMONTH(P$1,0))
+
SUMIFS(FINANCIACION[[#All],[PAGO]],
FINANCIACION[[#All],[Fecha]],"&gt;="&amp;P$1,
FINANCIACION[[#All],[Fecha]],"&lt;="&amp;EOMONTH(P$1,0))</f>
        <v>233132535.1905044</v>
      </c>
      <c r="Q5" s="61">
        <f>SUMIFS(PROVEEDORES[[#All],[Total]],
PROVEEDORES[[#All],[FECHA DE PAGO]],"&gt;="&amp;Q$1,
PROVEEDORES[[#All],[FECHA DE PAGO]],"&lt;="&amp;EOMONTH(Q$1,0))
+
SUMIFS(FINANCIACION[[#All],[PAGO]],
FINANCIACION[[#All],[Fecha]],"&gt;="&amp;Q$1,
FINANCIACION[[#All],[Fecha]],"&lt;="&amp;EOMONTH(Q$1,0))</f>
        <v>111554709.18292773</v>
      </c>
      <c r="R5" s="61">
        <f>SUMIFS(PROVEEDORES[[#All],[Total]],
PROVEEDORES[[#All],[FECHA DE PAGO]],"&gt;="&amp;R$1,
PROVEEDORES[[#All],[FECHA DE PAGO]],"&lt;="&amp;EOMONTH(R$1,0))
+
SUMIFS(FINANCIACION[[#All],[PAGO]],
FINANCIACION[[#All],[Fecha]],"&gt;="&amp;R$1,
FINANCIACION[[#All],[Fecha]],"&lt;="&amp;EOMONTH(R$1,0))</f>
        <v>278302796.3914144</v>
      </c>
      <c r="S5" s="61">
        <f>SUMIFS(PROVEEDORES[[#All],[Total]],
PROVEEDORES[[#All],[FECHA DE PAGO]],"&gt;="&amp;S$1,
PROVEEDORES[[#All],[FECHA DE PAGO]],"&lt;="&amp;EOMONTH(S$1,0))
+
SUMIFS(FINANCIACION[[#All],[PAGO]],
FINANCIACION[[#All],[Fecha]],"&gt;="&amp;S$1,
FINANCIACION[[#All],[Fecha]],"&lt;="&amp;EOMONTH(S$1,0))</f>
        <v>265359047.19387227</v>
      </c>
      <c r="T5" s="61">
        <f>SUMIFS(PROVEEDORES[[#All],[Total]],
PROVEEDORES[[#All],[FECHA DE PAGO]],"&gt;="&amp;T$1,
PROVEEDORES[[#All],[FECHA DE PAGO]],"&lt;="&amp;EOMONTH(T$1,0))
+
SUMIFS(FINANCIACION[[#All],[PAGO]],
FINANCIACION[[#All],[Fecha]],"&gt;="&amp;T$1,
FINANCIACION[[#All],[Fecha]],"&lt;="&amp;EOMONTH(T$1,0))</f>
        <v>183589402.74439999</v>
      </c>
      <c r="U5" s="61">
        <f>SUMIFS(PROVEEDORES[[#All],[Total]],
PROVEEDORES[[#All],[FECHA DE PAGO]],"&gt;="&amp;U$1,
PROVEEDORES[[#All],[FECHA DE PAGO]],"&lt;="&amp;EOMONTH(U$1,0))
+
SUMIFS(FINANCIACION[[#All],[PAGO]],
FINANCIACION[[#All],[Fecha]],"&gt;="&amp;U$1,
FINANCIACION[[#All],[Fecha]],"&lt;="&amp;EOMONTH(U$1,0))</f>
        <v>231261038.94120002</v>
      </c>
      <c r="V5" s="61">
        <f>SUMIFS(PROVEEDORES[[#All],[Total]],
PROVEEDORES[[#All],[FECHA DE PAGO]],"&gt;="&amp;V$1,
PROVEEDORES[[#All],[FECHA DE PAGO]],"&lt;="&amp;EOMONTH(V$1,0))
+
SUMIFS(FINANCIACION[[#All],[PAGO]],
FINANCIACION[[#All],[Fecha]],"&gt;="&amp;V$1,
FINANCIACION[[#All],[Fecha]],"&lt;="&amp;EOMONTH(V$1,0))</f>
        <v>182920691.66595</v>
      </c>
      <c r="W5" s="61">
        <f>SUMIFS(PROVEEDORES[[#All],[Total]],
PROVEEDORES[[#All],[FECHA DE PAGO]],"&gt;="&amp;W$1,
PROVEEDORES[[#All],[FECHA DE PAGO]],"&lt;="&amp;EOMONTH(W$1,0))
+
SUMIFS(FINANCIACION[[#All],[PAGO]],
FINANCIACION[[#All],[Fecha]],"&gt;="&amp;W$1,
FINANCIACION[[#All],[Fecha]],"&lt;="&amp;EOMONTH(W$1,0))</f>
        <v>362696443.64814997</v>
      </c>
      <c r="X5" s="61">
        <f>SUMIFS(PROVEEDORES[[#All],[Total]],
PROVEEDORES[[#All],[FECHA DE PAGO]],"&gt;="&amp;X$1,
PROVEEDORES[[#All],[FECHA DE PAGO]],"&lt;="&amp;EOMONTH(X$1,0))
+
SUMIFS(FINANCIACION[[#All],[PAGO]],
FINANCIACION[[#All],[Fecha]],"&gt;="&amp;X$1,
FINANCIACION[[#All],[Fecha]],"&lt;="&amp;EOMONTH(X$1,0))</f>
        <v>201623387.89250004</v>
      </c>
      <c r="Y5" s="61">
        <f>SUMIFS(PROVEEDORES[[#All],[Total]],
PROVEEDORES[[#All],[FECHA DE PAGO]],"&gt;="&amp;Y$1,
PROVEEDORES[[#All],[FECHA DE PAGO]],"&lt;="&amp;EOMONTH(Y$1,0))
+
SUMIFS(FINANCIACION[[#All],[PAGO]],
FINANCIACION[[#All],[Fecha]],"&gt;="&amp;Y$1,
FINANCIACION[[#All],[Fecha]],"&lt;="&amp;EOMONTH(Y$1,0))</f>
        <v>423401682.18674999</v>
      </c>
      <c r="Z5" s="61">
        <f>SUMIFS(PROVEEDORES[[#All],[Total]],
PROVEEDORES[[#All],[FECHA DE PAGO]],"&gt;="&amp;Z$1,
PROVEEDORES[[#All],[FECHA DE PAGO]],"&lt;="&amp;EOMONTH(Z$1,0))
+
SUMIFS(FINANCIACION[[#All],[PAGO]],
FINANCIACION[[#All],[Fecha]],"&gt;="&amp;Z$1,
FINANCIACION[[#All],[Fecha]],"&lt;="&amp;EOMONTH(Z$1,0))</f>
        <v>107097321.54939915</v>
      </c>
      <c r="AA5" s="61">
        <f>SUMIFS(PROVEEDORES[[#All],[Total]],
PROVEEDORES[[#All],[FECHA DE PAGO]],"&gt;="&amp;AA$1,
PROVEEDORES[[#All],[FECHA DE PAGO]],"&lt;="&amp;EOMONTH(AA$1,0))
+
SUMIFS(FINANCIACION[[#All],[PAGO]],
FINANCIACION[[#All],[Fecha]],"&gt;="&amp;AA$1,
FINANCIACION[[#All],[Fecha]],"&lt;="&amp;EOMONTH(AA$1,0))</f>
        <v>146368890.2328479</v>
      </c>
      <c r="AB5" s="61">
        <f>SUMIFS(PROVEEDORES[[#All],[Total]],
PROVEEDORES[[#All],[FECHA DE PAGO]],"&gt;="&amp;AB$1,
PROVEEDORES[[#All],[FECHA DE PAGO]],"&lt;="&amp;EOMONTH(AB$1,0))
+
SUMIFS(FINANCIACION[[#All],[PAGO]],
FINANCIACION[[#All],[Fecha]],"&gt;="&amp;AB$1,
FINANCIACION[[#All],[Fecha]],"&lt;="&amp;EOMONTH(AB$1,0))</f>
        <v>233132535.1905044</v>
      </c>
      <c r="AC5" s="61">
        <f>SUMIFS(PROVEEDORES[[#All],[Total]],
PROVEEDORES[[#All],[FECHA DE PAGO]],"&gt;="&amp;AC$1,
PROVEEDORES[[#All],[FECHA DE PAGO]],"&lt;="&amp;EOMONTH(AC$1,0))
+
SUMIFS(FINANCIACION[[#All],[PAGO]],
FINANCIACION[[#All],[Fecha]],"&gt;="&amp;AC$1,
FINANCIACION[[#All],[Fecha]],"&lt;="&amp;EOMONTH(AC$1,0))</f>
        <v>111554709.18292773</v>
      </c>
    </row>
    <row r="6" spans="1:29" x14ac:dyDescent="0.3">
      <c r="A6" s="53" t="s">
        <v>149</v>
      </c>
      <c r="B6" s="62">
        <f>SUMIFS(PROVEEDORES[[#All],[Total]],
PROVEEDORES[[#All],[Total]],"&gt;0",
PROVEEDORES[[#All],[FECHA DE FACTURACIÓN]],"&gt;="&amp;B$1,
PROVEEDORES[[#All],[FECHA DE FACTURACIÓN]],"&lt;="&amp;EOMONTH(B$1,0),
PROVEEDORES[[#All],[Crédito / Contado]],"De Contado")</f>
        <v>0</v>
      </c>
      <c r="C6" s="62">
        <f>SUMIFS(PROVEEDORES[[#All],[Total]],
PROVEEDORES[[#All],[Total]],"&gt;0",
PROVEEDORES[[#All],[FECHA DE FACTURACIÓN]],"&gt;="&amp;C$1,
PROVEEDORES[[#All],[FECHA DE FACTURACIÓN]],"&lt;="&amp;EOMONTH(C$1,0),
PROVEEDORES[[#All],[Crédito / Contado]],"De Contado")</f>
        <v>0</v>
      </c>
      <c r="D6" s="62">
        <f>SUMIFS(PROVEEDORES[[#All],[Total]],
PROVEEDORES[[#All],[Total]],"&gt;0",
PROVEEDORES[[#All],[FECHA DE FACTURACIÓN]],"&gt;="&amp;D$1,
PROVEEDORES[[#All],[FECHA DE FACTURACIÓN]],"&lt;="&amp;EOMONTH(D$1,0),
PROVEEDORES[[#All],[Crédito / Contado]],"De Contado")</f>
        <v>0</v>
      </c>
      <c r="E6" s="62">
        <f>SUMIFS(PROVEEDORES[[#All],[Total]],
PROVEEDORES[[#All],[Total]],"&gt;0",
PROVEEDORES[[#All],[FECHA DE FACTURACIÓN]],"&gt;="&amp;E$1,
PROVEEDORES[[#All],[FECHA DE FACTURACIÓN]],"&lt;="&amp;EOMONTH(E$1,0),
PROVEEDORES[[#All],[Crédito / Contado]],"De Contado")</f>
        <v>0</v>
      </c>
      <c r="F6" s="62">
        <f>SUMIFS(PROVEEDORES[[#All],[Total]],
PROVEEDORES[[#All],[Total]],"&gt;0",
PROVEEDORES[[#All],[FECHA DE FACTURACIÓN]],"&gt;="&amp;F$1,
PROVEEDORES[[#All],[FECHA DE FACTURACIÓN]],"&lt;="&amp;EOMONTH(F$1,0),
PROVEEDORES[[#All],[Crédito / Contado]],"De Contado")</f>
        <v>0</v>
      </c>
      <c r="G6" s="62">
        <f>SUMIFS(PROVEEDORES[[#All],[Total]],
PROVEEDORES[[#All],[Total]],"&gt;0",
PROVEEDORES[[#All],[FECHA DE FACTURACIÓN]],"&gt;="&amp;G$1,
PROVEEDORES[[#All],[FECHA DE FACTURACIÓN]],"&lt;="&amp;EOMONTH(G$1,0),
PROVEEDORES[[#All],[Crédito / Contado]],"De Contado")</f>
        <v>0</v>
      </c>
      <c r="H6" s="62">
        <f>SUMIFS(PROVEEDORES[[#All],[Total]],
PROVEEDORES[[#All],[Total]],"&gt;0",
PROVEEDORES[[#All],[FECHA DE FACTURACIÓN]],"&gt;="&amp;H$1,
PROVEEDORES[[#All],[FECHA DE FACTURACIÓN]],"&lt;="&amp;EOMONTH(H$1,0),
PROVEEDORES[[#All],[Crédito / Contado]],"De Contado")</f>
        <v>0</v>
      </c>
      <c r="I6" s="62">
        <f>SUMIFS(PROVEEDORES[[#All],[Total]],
PROVEEDORES[[#All],[Total]],"&gt;0",
PROVEEDORES[[#All],[FECHA DE FACTURACIÓN]],"&gt;="&amp;I$1,
PROVEEDORES[[#All],[FECHA DE FACTURACIÓN]],"&lt;="&amp;EOMONTH(I$1,0),
PROVEEDORES[[#All],[Crédito / Contado]],"De Contado")</f>
        <v>0</v>
      </c>
      <c r="J6" s="62">
        <f>SUMIFS(PROVEEDORES[[#All],[Total]],
PROVEEDORES[[#All],[Total]],"&gt;0",
PROVEEDORES[[#All],[FECHA DE FACTURACIÓN]],"&gt;="&amp;J$1,
PROVEEDORES[[#All],[FECHA DE FACTURACIÓN]],"&lt;="&amp;EOMONTH(J$1,0),
PROVEEDORES[[#All],[Crédito / Contado]],"De Contado")</f>
        <v>0</v>
      </c>
      <c r="K6" s="62">
        <f>SUMIFS(PROVEEDORES[[#All],[Total]],
PROVEEDORES[[#All],[Total]],"&gt;0",
PROVEEDORES[[#All],[FECHA DE FACTURACIÓN]],"&gt;="&amp;K$1,
PROVEEDORES[[#All],[FECHA DE FACTURACIÓN]],"&lt;="&amp;EOMONTH(K$1,0),
PROVEEDORES[[#All],[Crédito / Contado]],"De Contado")</f>
        <v>0</v>
      </c>
      <c r="L6" s="62">
        <f>SUMIFS(PROVEEDORES[[#All],[Total]],
PROVEEDORES[[#All],[Total]],"&gt;0",
PROVEEDORES[[#All],[FECHA DE FACTURACIÓN]],"&gt;="&amp;L$1,
PROVEEDORES[[#All],[FECHA DE FACTURACIÓN]],"&lt;="&amp;EOMONTH(L$1,0),
PROVEEDORES[[#All],[Crédito / Contado]],"De Contado")</f>
        <v>0</v>
      </c>
      <c r="M6" s="62">
        <f>SUMIFS(PROVEEDORES[[#All],[Total]],
PROVEEDORES[[#All],[Total]],"&gt;0",
PROVEEDORES[[#All],[FECHA DE FACTURACIÓN]],"&gt;="&amp;M$1,
PROVEEDORES[[#All],[FECHA DE FACTURACIÓN]],"&lt;="&amp;EOMONTH(M$1,0),
PROVEEDORES[[#All],[Crédito / Contado]],"De Contado")</f>
        <v>0</v>
      </c>
      <c r="N6" s="62">
        <f>SUMIFS(PROVEEDORES[[#All],[Total]],
PROVEEDORES[[#All],[Total]],"&gt;0",
PROVEEDORES[[#All],[FECHA DE FACTURACIÓN]],"&gt;="&amp;N$1,
PROVEEDORES[[#All],[FECHA DE FACTURACIÓN]],"&lt;="&amp;EOMONTH(N$1,0),
PROVEEDORES[[#All],[Crédito / Contado]],"De Contado")</f>
        <v>37470765.909999996</v>
      </c>
      <c r="O6" s="62">
        <f>SUMIFS(PROVEEDORES[[#All],[Total]],
PROVEEDORES[[#All],[Total]],"&gt;0",
PROVEEDORES[[#All],[FECHA DE FACTURACIÓN]],"&gt;="&amp;O$1,
PROVEEDORES[[#All],[FECHA DE FACTURACIÓN]],"&lt;="&amp;EOMONTH(O$1,0),
PROVEEDORES[[#All],[Crédito / Contado]],"De Contado")</f>
        <v>8081000</v>
      </c>
      <c r="P6" s="62">
        <f>SUMIFS(PROVEEDORES[[#All],[Total]],
PROVEEDORES[[#All],[Total]],"&gt;0",
PROVEEDORES[[#All],[FECHA DE FACTURACIÓN]],"&gt;="&amp;P$1,
PROVEEDORES[[#All],[FECHA DE FACTURACIÓN]],"&lt;="&amp;EOMONTH(P$1,0),
PROVEEDORES[[#All],[Crédito / Contado]],"De Contado")</f>
        <v>11922560.76</v>
      </c>
      <c r="Q6" s="62">
        <f>SUMIFS(PROVEEDORES[[#All],[Total]],
PROVEEDORES[[#All],[Total]],"&gt;0",
PROVEEDORES[[#All],[FECHA DE FACTURACIÓN]],"&gt;="&amp;Q$1,
PROVEEDORES[[#All],[FECHA DE FACTURACIÓN]],"&lt;="&amp;EOMONTH(Q$1,0),
PROVEEDORES[[#All],[Crédito / Contado]],"De Contado")</f>
        <v>4616460.24</v>
      </c>
      <c r="R6" s="62">
        <f>SUMIFS(PROVEEDORES[[#All],[Total]],
PROVEEDORES[[#All],[Total]],"&gt;0",
PROVEEDORES[[#All],[FECHA DE FACTURACIÓN]],"&gt;="&amp;R$1,
PROVEEDORES[[#All],[FECHA DE FACTURACIÓN]],"&lt;="&amp;EOMONTH(R$1,0),
PROVEEDORES[[#All],[Crédito / Contado]],"De Contado")</f>
        <v>24181323.02</v>
      </c>
      <c r="S6" s="62">
        <f>SUMIFS(PROVEEDORES[[#All],[Total]],
PROVEEDORES[[#All],[Total]],"&gt;0",
PROVEEDORES[[#All],[FECHA DE FACTURACIÓN]],"&gt;="&amp;S$1,
PROVEEDORES[[#All],[FECHA DE FACTURACIÓN]],"&lt;="&amp;EOMONTH(S$1,0),
PROVEEDORES[[#All],[Crédito / Contado]],"De Contado")</f>
        <v>21282920.039999999</v>
      </c>
      <c r="T6" s="62">
        <f>SUMIFS(PROVEEDORES[[#All],[Total]],
PROVEEDORES[[#All],[Total]],"&gt;0",
PROVEEDORES[[#All],[FECHA DE FACTURACIÓN]],"&gt;="&amp;T$1,
PROVEEDORES[[#All],[FECHA DE FACTURACIÓN]],"&lt;="&amp;EOMONTH(T$1,0),
PROVEEDORES[[#All],[Crédito / Contado]],"De Contado")</f>
        <v>13780600</v>
      </c>
      <c r="U6" s="62">
        <f>SUMIFS(PROVEEDORES[[#All],[Total]],
PROVEEDORES[[#All],[Total]],"&gt;0",
PROVEEDORES[[#All],[FECHA DE FACTURACIÓN]],"&gt;="&amp;U$1,
PROVEEDORES[[#All],[FECHA DE FACTURACIÓN]],"&lt;="&amp;EOMONTH(U$1,0),
PROVEEDORES[[#All],[Crédito / Contado]],"De Contado")</f>
        <v>34456843.524999999</v>
      </c>
      <c r="V6" s="62">
        <f>SUMIFS(PROVEEDORES[[#All],[Total]],
PROVEEDORES[[#All],[Total]],"&gt;0",
PROVEEDORES[[#All],[FECHA DE FACTURACIÓN]],"&gt;="&amp;V$1,
PROVEEDORES[[#All],[FECHA DE FACTURACIÓN]],"&lt;="&amp;EOMONTH(V$1,0),
PROVEEDORES[[#All],[Crédito / Contado]],"De Contado")</f>
        <v>14354003.734999999</v>
      </c>
      <c r="W6" s="62">
        <f>SUMIFS(PROVEEDORES[[#All],[Total]],
PROVEEDORES[[#All],[Total]],"&gt;0",
PROVEEDORES[[#All],[FECHA DE FACTURACIÓN]],"&gt;="&amp;W$1,
PROVEEDORES[[#All],[FECHA DE FACTURACIÓN]],"&lt;="&amp;EOMONTH(W$1,0),
PROVEEDORES[[#All],[Crédito / Contado]],"De Contado")</f>
        <v>11395850</v>
      </c>
      <c r="X6" s="62">
        <f>SUMIFS(PROVEEDORES[[#All],[Total]],
PROVEEDORES[[#All],[Total]],"&gt;0",
PROVEEDORES[[#All],[FECHA DE FACTURACIÓN]],"&gt;="&amp;X$1,
PROVEEDORES[[#All],[FECHA DE FACTURACIÓN]],"&lt;="&amp;EOMONTH(X$1,0),
PROVEEDORES[[#All],[Crédito / Contado]],"De Contado")</f>
        <v>15803039.800000001</v>
      </c>
      <c r="Y6" s="62">
        <f>SUMIFS(PROVEEDORES[[#All],[Total]],
PROVEEDORES[[#All],[Total]],"&gt;0",
PROVEEDORES[[#All],[FECHA DE FACTURACIÓN]],"&gt;="&amp;Y$1,
PROVEEDORES[[#All],[FECHA DE FACTURACIÓN]],"&lt;="&amp;EOMONTH(Y$1,0),
PROVEEDORES[[#All],[Crédito / Contado]],"De Contado")</f>
        <v>23171302.879999999</v>
      </c>
      <c r="Z6" s="62">
        <f>SUMIFS(PROVEEDORES[[#All],[Total]],
PROVEEDORES[[#All],[Total]],"&gt;0",
PROVEEDORES[[#All],[FECHA DE FACTURACIÓN]],"&gt;="&amp;Z$1,
PROVEEDORES[[#All],[FECHA DE FACTURACIÓN]],"&lt;="&amp;EOMONTH(Z$1,0),
PROVEEDORES[[#All],[Crédito / Contado]],"De Contado")</f>
        <v>37470765.909999996</v>
      </c>
      <c r="AA6" s="62">
        <f>SUMIFS(PROVEEDORES[[#All],[Total]],
PROVEEDORES[[#All],[Total]],"&gt;0",
PROVEEDORES[[#All],[FECHA DE FACTURACIÓN]],"&gt;="&amp;AA$1,
PROVEEDORES[[#All],[FECHA DE FACTURACIÓN]],"&lt;="&amp;EOMONTH(AA$1,0),
PROVEEDORES[[#All],[Crédito / Contado]],"De Contado")</f>
        <v>8081000</v>
      </c>
      <c r="AB6" s="62">
        <f>SUMIFS(PROVEEDORES[[#All],[Total]],
PROVEEDORES[[#All],[Total]],"&gt;0",
PROVEEDORES[[#All],[FECHA DE FACTURACIÓN]],"&gt;="&amp;AB$1,
PROVEEDORES[[#All],[FECHA DE FACTURACIÓN]],"&lt;="&amp;EOMONTH(AB$1,0),
PROVEEDORES[[#All],[Crédito / Contado]],"De Contado")</f>
        <v>11922560.76</v>
      </c>
      <c r="AC6" s="62">
        <f>SUMIFS(PROVEEDORES[[#All],[Total]],
PROVEEDORES[[#All],[Total]],"&gt;0",
PROVEEDORES[[#All],[FECHA DE FACTURACIÓN]],"&gt;="&amp;AC$1,
PROVEEDORES[[#All],[FECHA DE FACTURACIÓN]],"&lt;="&amp;EOMONTH(AC$1,0),
PROVEEDORES[[#All],[Crédito / Contado]],"De Contado")</f>
        <v>4616460.24</v>
      </c>
    </row>
    <row r="7" spans="1:29" x14ac:dyDescent="0.3">
      <c r="A7" s="52" t="s">
        <v>152</v>
      </c>
      <c r="B7" s="61">
        <f>SUMIFS(PROVEEDORES[[#All],[Total]],
PROVEEDORES[[#All],[Total]],"&gt;0",
PROVEEDORES[[#All],[FECHA DE FACTURACIÓN]],"&gt;="&amp;B$1,
PROVEEDORES[[#All],[FECHA DE FACTURACIÓN]],"&lt;="&amp;EOMONTH(B$1,0),
PROVEEDORES[[#All],[Crédito / Contado]],"Crédito")</f>
        <v>0</v>
      </c>
      <c r="C7" s="61">
        <f>SUMIFS(PROVEEDORES[[#All],[Total]],
PROVEEDORES[[#All],[Total]],"&gt;0",
PROVEEDORES[[#All],[FECHA DE FACTURACIÓN]],"&gt;="&amp;C$1,
PROVEEDORES[[#All],[FECHA DE FACTURACIÓN]],"&lt;="&amp;EOMONTH(C$1,0),
PROVEEDORES[[#All],[Crédito / Contado]],"Crédito")</f>
        <v>0</v>
      </c>
      <c r="D7" s="61">
        <f>SUMIFS(PROVEEDORES[[#All],[Total]],
PROVEEDORES[[#All],[Total]],"&gt;0",
PROVEEDORES[[#All],[FECHA DE FACTURACIÓN]],"&gt;="&amp;D$1,
PROVEEDORES[[#All],[FECHA DE FACTURACIÓN]],"&lt;="&amp;EOMONTH(D$1,0),
PROVEEDORES[[#All],[Crédito / Contado]],"Crédito")</f>
        <v>0</v>
      </c>
      <c r="E7" s="61">
        <f>SUMIFS(PROVEEDORES[[#All],[Total]],
PROVEEDORES[[#All],[Total]],"&gt;0",
PROVEEDORES[[#All],[FECHA DE FACTURACIÓN]],"&gt;="&amp;E$1,
PROVEEDORES[[#All],[FECHA DE FACTURACIÓN]],"&lt;="&amp;EOMONTH(E$1,0),
PROVEEDORES[[#All],[Crédito / Contado]],"Crédito")</f>
        <v>0</v>
      </c>
      <c r="F7" s="61">
        <f>SUMIFS(PROVEEDORES[[#All],[Total]],
PROVEEDORES[[#All],[Total]],"&gt;0",
PROVEEDORES[[#All],[FECHA DE FACTURACIÓN]],"&gt;="&amp;F$1,
PROVEEDORES[[#All],[FECHA DE FACTURACIÓN]],"&lt;="&amp;EOMONTH(F$1,0),
PROVEEDORES[[#All],[Crédito / Contado]],"Crédito")</f>
        <v>0</v>
      </c>
      <c r="G7" s="61">
        <f>SUMIFS(PROVEEDORES[[#All],[Total]],
PROVEEDORES[[#All],[Total]],"&gt;0",
PROVEEDORES[[#All],[FECHA DE FACTURACIÓN]],"&gt;="&amp;G$1,
PROVEEDORES[[#All],[FECHA DE FACTURACIÓN]],"&lt;="&amp;EOMONTH(G$1,0),
PROVEEDORES[[#All],[Crédito / Contado]],"Crédito")</f>
        <v>0</v>
      </c>
      <c r="H7" s="61">
        <f>SUMIFS(PROVEEDORES[[#All],[Total]],
PROVEEDORES[[#All],[Total]],"&gt;0",
PROVEEDORES[[#All],[FECHA DE FACTURACIÓN]],"&gt;="&amp;H$1,
PROVEEDORES[[#All],[FECHA DE FACTURACIÓN]],"&lt;="&amp;EOMONTH(H$1,0),
PROVEEDORES[[#All],[Crédito / Contado]],"Crédito")</f>
        <v>0</v>
      </c>
      <c r="I7" s="61">
        <f>SUMIFS(PROVEEDORES[[#All],[Total]],
PROVEEDORES[[#All],[Total]],"&gt;0",
PROVEEDORES[[#All],[FECHA DE FACTURACIÓN]],"&gt;="&amp;I$1,
PROVEEDORES[[#All],[FECHA DE FACTURACIÓN]],"&lt;="&amp;EOMONTH(I$1,0),
PROVEEDORES[[#All],[Crédito / Contado]],"Crédito")</f>
        <v>0</v>
      </c>
      <c r="J7" s="61">
        <f>SUMIFS(PROVEEDORES[[#All],[Total]],
PROVEEDORES[[#All],[Total]],"&gt;0",
PROVEEDORES[[#All],[FECHA DE FACTURACIÓN]],"&gt;="&amp;J$1,
PROVEEDORES[[#All],[FECHA DE FACTURACIÓN]],"&lt;="&amp;EOMONTH(J$1,0),
PROVEEDORES[[#All],[Crédito / Contado]],"Crédito")</f>
        <v>0</v>
      </c>
      <c r="K7" s="61">
        <f>SUMIFS(PROVEEDORES[[#All],[Total]],
PROVEEDORES[[#All],[Total]],"&gt;0",
PROVEEDORES[[#All],[FECHA DE FACTURACIÓN]],"&gt;="&amp;K$1,
PROVEEDORES[[#All],[FECHA DE FACTURACIÓN]],"&lt;="&amp;EOMONTH(K$1,0),
PROVEEDORES[[#All],[Crédito / Contado]],"Crédito")</f>
        <v>0</v>
      </c>
      <c r="L7" s="61">
        <f>SUMIFS(PROVEEDORES[[#All],[Total]],
PROVEEDORES[[#All],[Total]],"&gt;0",
PROVEEDORES[[#All],[FECHA DE FACTURACIÓN]],"&gt;="&amp;L$1,
PROVEEDORES[[#All],[FECHA DE FACTURACIÓN]],"&lt;="&amp;EOMONTH(L$1,0),
PROVEEDORES[[#All],[Crédito / Contado]],"Crédito")</f>
        <v>23629977.225491602</v>
      </c>
      <c r="M7" s="61">
        <f>SUMIFS(PROVEEDORES[[#All],[Total]],
PROVEEDORES[[#All],[Total]],"&gt;0",
PROVEEDORES[[#All],[FECHA DE FACTURACIÓN]],"&gt;="&amp;M$1,
PROVEEDORES[[#All],[FECHA DE FACTURACIÓN]],"&lt;="&amp;EOMONTH(M$1,0),
PROVEEDORES[[#All],[Crédito / Contado]],"Crédito")</f>
        <v>235600444.90659663</v>
      </c>
      <c r="N7" s="61">
        <f>SUMIFS(PROVEEDORES[[#All],[Total]],
PROVEEDORES[[#All],[Total]],"&gt;0",
PROVEEDORES[[#All],[FECHA DE FACTURACIÓN]],"&gt;="&amp;N$1,
PROVEEDORES[[#All],[FECHA DE FACTURACIÓN]],"&lt;="&amp;EOMONTH(N$1,0),
PROVEEDORES[[#All],[Crédito / Contado]],"Crédito")</f>
        <v>58603588.971138239</v>
      </c>
      <c r="O7" s="61">
        <f>SUMIFS(PROVEEDORES[[#All],[Total]],
PROVEEDORES[[#All],[Total]],"&gt;0",
PROVEEDORES[[#All],[FECHA DE FACTURACIÓN]],"&gt;="&amp;O$1,
PROVEEDORES[[#All],[FECHA DE FACTURACIÓN]],"&lt;="&amp;EOMONTH(O$1,0),
PROVEEDORES[[#All],[Crédito / Contado]],"Crédito")</f>
        <v>82142385.291599989</v>
      </c>
      <c r="P7" s="61">
        <f>SUMIFS(PROVEEDORES[[#All],[Total]],
PROVEEDORES[[#All],[Total]],"&gt;0",
PROVEEDORES[[#All],[FECHA DE FACTURACIÓN]],"&gt;="&amp;P$1,
PROVEEDORES[[#All],[FECHA DE FACTURACIÓN]],"&lt;="&amp;EOMONTH(P$1,0),
PROVEEDORES[[#All],[Crédito / Contado]],"Crédito")</f>
        <v>130933973.984975</v>
      </c>
      <c r="Q7" s="61">
        <f>SUMIFS(PROVEEDORES[[#All],[Total]],
PROVEEDORES[[#All],[Total]],"&gt;0",
PROVEEDORES[[#All],[FECHA DE FACTURACIÓN]],"&gt;="&amp;Q$1,
PROVEEDORES[[#All],[FECHA DE FACTURACIÓN]],"&lt;="&amp;EOMONTH(Q$1,0),
PROVEEDORES[[#All],[Crédito / Contado]],"Crédito")</f>
        <v>112761336.51569</v>
      </c>
      <c r="R7" s="61">
        <f>SUMIFS(PROVEEDORES[[#All],[Total]],
PROVEEDORES[[#All],[Total]],"&gt;0",
PROVEEDORES[[#All],[FECHA DE FACTURACIÓN]],"&gt;="&amp;R$1,
PROVEEDORES[[#All],[FECHA DE FACTURACIÓN]],"&lt;="&amp;EOMONTH(R$1,0),
PROVEEDORES[[#All],[Crédito / Contado]],"Crédito")</f>
        <v>117526652.32390003</v>
      </c>
      <c r="S7" s="61">
        <f>SUMIFS(PROVEEDORES[[#All],[Total]],
PROVEEDORES[[#All],[Total]],"&gt;0",
PROVEEDORES[[#All],[FECHA DE FACTURACIÓN]],"&gt;="&amp;S$1,
PROVEEDORES[[#All],[FECHA DE FACTURACIÓN]],"&lt;="&amp;EOMONTH(S$1,0),
PROVEEDORES[[#All],[Crédito / Contado]],"Crédito")</f>
        <v>159602617.70680004</v>
      </c>
      <c r="T7" s="61">
        <f>SUMIFS(PROVEEDORES[[#All],[Total]],
PROVEEDORES[[#All],[Total]],"&gt;0",
PROVEEDORES[[#All],[FECHA DE FACTURACIÓN]],"&gt;="&amp;T$1,
PROVEEDORES[[#All],[FECHA DE FACTURACIÓN]],"&lt;="&amp;EOMONTH(T$1,0),
PROVEEDORES[[#All],[Crédito / Contado]],"Crédito")</f>
        <v>180316431.31759995</v>
      </c>
      <c r="U7" s="61">
        <f>SUMIFS(PROVEEDORES[[#All],[Total]],
PROVEEDORES[[#All],[Total]],"&gt;0",
PROVEEDORES[[#All],[FECHA DE FACTURACIÓN]],"&gt;="&amp;U$1,
PROVEEDORES[[#All],[FECHA DE FACTURACIÓN]],"&lt;="&amp;EOMONTH(U$1,0),
PROVEEDORES[[#All],[Crédito / Contado]],"Crédito")</f>
        <v>200119656.52379996</v>
      </c>
      <c r="V7" s="61">
        <f>SUMIFS(PROVEEDORES[[#All],[Total]],
PROVEEDORES[[#All],[Total]],"&gt;0",
PROVEEDORES[[#All],[FECHA DE FACTURACIÓN]],"&gt;="&amp;V$1,
PROVEEDORES[[#All],[FECHA DE FACTURACIÓN]],"&lt;="&amp;EOMONTH(V$1,0),
PROVEEDORES[[#All],[Crédito / Contado]],"Crédito")</f>
        <v>126356277.48950002</v>
      </c>
      <c r="W7" s="61">
        <f>SUMIFS(PROVEEDORES[[#All],[Total]],
PROVEEDORES[[#All],[Total]],"&gt;0",
PROVEEDORES[[#All],[FECHA DE FACTURACIÓN]],"&gt;="&amp;W$1,
PROVEEDORES[[#All],[FECHA DE FACTURACIÓN]],"&lt;="&amp;EOMONTH(W$1,0),
PROVEEDORES[[#All],[Crédito / Contado]],"Crédito")</f>
        <v>189714276.97640005</v>
      </c>
      <c r="X7" s="61">
        <f>SUMIFS(PROVEEDORES[[#All],[Total]],
PROVEEDORES[[#All],[Total]],"&gt;0",
PROVEEDORES[[#All],[FECHA DE FACTURACIÓN]],"&gt;="&amp;X$1,
PROVEEDORES[[#All],[FECHA DE FACTURACIÓN]],"&lt;="&amp;EOMONTH(X$1,0),
PROVEEDORES[[#All],[Crédito / Contado]],"Crédito")</f>
        <v>198476095.39635003</v>
      </c>
      <c r="Y7" s="61">
        <f>SUMIFS(PROVEEDORES[[#All],[Total]],
PROVEEDORES[[#All],[Total]],"&gt;0",
PROVEEDORES[[#All],[FECHA DE FACTURACIÓN]],"&gt;="&amp;Y$1,
PROVEEDORES[[#All],[FECHA DE FACTURACIÓN]],"&lt;="&amp;EOMONTH(Y$1,0),
PROVEEDORES[[#All],[Crédito / Contado]],"Crédito")</f>
        <v>339161396.96225011</v>
      </c>
      <c r="Z7" s="61">
        <f>SUMIFS(PROVEEDORES[[#All],[Total]],
PROVEEDORES[[#All],[Total]],"&gt;0",
PROVEEDORES[[#All],[FECHA DE FACTURACIÓN]],"&gt;="&amp;Z$1,
PROVEEDORES[[#All],[FECHA DE FACTURACIÓN]],"&lt;="&amp;EOMONTH(Z$1,0),
PROVEEDORES[[#All],[Crédito / Contado]],"Crédito")</f>
        <v>58603588.971138239</v>
      </c>
      <c r="AA7" s="61">
        <f>SUMIFS(PROVEEDORES[[#All],[Total]],
PROVEEDORES[[#All],[Total]],"&gt;0",
PROVEEDORES[[#All],[FECHA DE FACTURACIÓN]],"&gt;="&amp;AA$1,
PROVEEDORES[[#All],[FECHA DE FACTURACIÓN]],"&lt;="&amp;EOMONTH(AA$1,0),
PROVEEDORES[[#All],[Crédito / Contado]],"Crédito")</f>
        <v>82142385.291599989</v>
      </c>
      <c r="AB7" s="61">
        <f>SUMIFS(PROVEEDORES[[#All],[Total]],
PROVEEDORES[[#All],[Total]],"&gt;0",
PROVEEDORES[[#All],[FECHA DE FACTURACIÓN]],"&gt;="&amp;AB$1,
PROVEEDORES[[#All],[FECHA DE FACTURACIÓN]],"&lt;="&amp;EOMONTH(AB$1,0),
PROVEEDORES[[#All],[Crédito / Contado]],"Crédito")</f>
        <v>130933973.984975</v>
      </c>
      <c r="AC7" s="61">
        <f>SUMIFS(PROVEEDORES[[#All],[Total]],
PROVEEDORES[[#All],[Total]],"&gt;0",
PROVEEDORES[[#All],[FECHA DE FACTURACIÓN]],"&gt;="&amp;AC$1,
PROVEEDORES[[#All],[FECHA DE FACTURACIÓN]],"&lt;="&amp;EOMONTH(AC$1,0),
PROVEEDORES[[#All],[Crédito / Contado]],"Crédito")</f>
        <v>112761336.51569</v>
      </c>
    </row>
    <row r="8" spans="1:29" x14ac:dyDescent="0.3">
      <c r="A8" s="53" t="s">
        <v>153</v>
      </c>
      <c r="B8" s="62">
        <f t="shared" ref="B8:AC8" si="0">B6+B7</f>
        <v>0</v>
      </c>
      <c r="C8" s="62">
        <f t="shared" si="0"/>
        <v>0</v>
      </c>
      <c r="D8" s="62">
        <f t="shared" si="0"/>
        <v>0</v>
      </c>
      <c r="E8" s="62">
        <f t="shared" si="0"/>
        <v>0</v>
      </c>
      <c r="F8" s="62">
        <f t="shared" si="0"/>
        <v>0</v>
      </c>
      <c r="G8" s="62">
        <f t="shared" si="0"/>
        <v>0</v>
      </c>
      <c r="H8" s="62">
        <f t="shared" si="0"/>
        <v>0</v>
      </c>
      <c r="I8" s="62">
        <f t="shared" si="0"/>
        <v>0</v>
      </c>
      <c r="J8" s="62">
        <f t="shared" si="0"/>
        <v>0</v>
      </c>
      <c r="K8" s="62">
        <f t="shared" si="0"/>
        <v>0</v>
      </c>
      <c r="L8" s="62">
        <f t="shared" si="0"/>
        <v>23629977.225491602</v>
      </c>
      <c r="M8" s="62">
        <f t="shared" si="0"/>
        <v>235600444.90659663</v>
      </c>
      <c r="N8" s="62">
        <f t="shared" si="0"/>
        <v>96074354.881138235</v>
      </c>
      <c r="O8" s="62">
        <f t="shared" si="0"/>
        <v>90223385.291599989</v>
      </c>
      <c r="P8" s="62">
        <f t="shared" si="0"/>
        <v>142856534.744975</v>
      </c>
      <c r="Q8" s="62">
        <f t="shared" si="0"/>
        <v>117377796.75568999</v>
      </c>
      <c r="R8" s="62">
        <f t="shared" si="0"/>
        <v>141707975.34390002</v>
      </c>
      <c r="S8" s="62">
        <f t="shared" si="0"/>
        <v>180885537.74680004</v>
      </c>
      <c r="T8" s="62">
        <f t="shared" si="0"/>
        <v>194097031.31759995</v>
      </c>
      <c r="U8" s="62">
        <f t="shared" si="0"/>
        <v>234576500.04879996</v>
      </c>
      <c r="V8" s="62">
        <f t="shared" si="0"/>
        <v>140710281.2245</v>
      </c>
      <c r="W8" s="62">
        <f t="shared" si="0"/>
        <v>201110126.97640005</v>
      </c>
      <c r="X8" s="62">
        <f t="shared" si="0"/>
        <v>214279135.19635004</v>
      </c>
      <c r="Y8" s="62">
        <f t="shared" si="0"/>
        <v>362332699.84225011</v>
      </c>
      <c r="Z8" s="62">
        <f t="shared" si="0"/>
        <v>96074354.881138235</v>
      </c>
      <c r="AA8" s="62">
        <f t="shared" si="0"/>
        <v>90223385.291599989</v>
      </c>
      <c r="AB8" s="62">
        <f t="shared" si="0"/>
        <v>142856534.744975</v>
      </c>
      <c r="AC8" s="62">
        <f t="shared" si="0"/>
        <v>117377796.75568999</v>
      </c>
    </row>
    <row r="9" spans="1:29" ht="26.4" x14ac:dyDescent="0.3">
      <c r="A9" s="52" t="s">
        <v>180</v>
      </c>
      <c r="B9" s="61">
        <f t="shared" ref="B9:AC9" si="1">B10+B11</f>
        <v>837377564.85488355</v>
      </c>
      <c r="C9" s="61">
        <f t="shared" si="1"/>
        <v>828371667.09314048</v>
      </c>
      <c r="D9" s="61">
        <f t="shared" si="1"/>
        <v>882385808.94999993</v>
      </c>
      <c r="E9" s="61">
        <f t="shared" si="1"/>
        <v>883621757.94999993</v>
      </c>
      <c r="F9" s="61">
        <f t="shared" si="1"/>
        <v>936094623.94999993</v>
      </c>
      <c r="G9" s="61">
        <f t="shared" si="1"/>
        <v>1130051299.6999998</v>
      </c>
      <c r="H9" s="61">
        <f t="shared" si="1"/>
        <v>1064803357.1499999</v>
      </c>
      <c r="I9" s="61">
        <f t="shared" si="1"/>
        <v>1095295893.8199999</v>
      </c>
      <c r="J9" s="61">
        <f t="shared" si="1"/>
        <v>1147392333.7699997</v>
      </c>
      <c r="K9" s="61">
        <f t="shared" si="1"/>
        <v>1112196058.8099997</v>
      </c>
      <c r="L9" s="61">
        <f t="shared" si="1"/>
        <v>1127365577.3054914</v>
      </c>
      <c r="M9" s="61">
        <f t="shared" si="1"/>
        <v>1355636354.910795</v>
      </c>
      <c r="N9" s="61">
        <f t="shared" si="1"/>
        <v>1362938628.7785342</v>
      </c>
      <c r="O9" s="61">
        <f t="shared" si="1"/>
        <v>1435336889.4531796</v>
      </c>
      <c r="P9" s="61">
        <f t="shared" si="1"/>
        <v>1439879924.7059844</v>
      </c>
      <c r="Q9" s="61">
        <f t="shared" si="1"/>
        <v>1499641699.4349451</v>
      </c>
      <c r="R9" s="61">
        <f t="shared" si="1"/>
        <v>1483954224.86023</v>
      </c>
      <c r="S9" s="61">
        <f t="shared" si="1"/>
        <v>1438446312.1859062</v>
      </c>
      <c r="T9" s="61">
        <f t="shared" si="1"/>
        <v>1461950934.3487592</v>
      </c>
      <c r="U9" s="61">
        <f t="shared" si="1"/>
        <v>1518843235.0336084</v>
      </c>
      <c r="V9" s="61">
        <f t="shared" si="1"/>
        <v>1498328443.2729654</v>
      </c>
      <c r="W9" s="61">
        <f t="shared" si="1"/>
        <v>1391137299.8782306</v>
      </c>
      <c r="X9" s="61">
        <f t="shared" si="1"/>
        <v>1520497346.4046855</v>
      </c>
      <c r="Y9" s="61">
        <f t="shared" si="1"/>
        <v>1507579068.8191316</v>
      </c>
      <c r="Z9" s="61">
        <f t="shared" si="1"/>
        <v>1362938628.7785342</v>
      </c>
      <c r="AA9" s="61">
        <f t="shared" si="1"/>
        <v>1435336889.4531796</v>
      </c>
      <c r="AB9" s="61">
        <f t="shared" si="1"/>
        <v>1439879924.7059844</v>
      </c>
      <c r="AC9" s="61">
        <f t="shared" si="1"/>
        <v>1499641699.4349451</v>
      </c>
    </row>
    <row r="10" spans="1:29" x14ac:dyDescent="0.3">
      <c r="A10" s="53" t="s">
        <v>154</v>
      </c>
      <c r="B10" s="62">
        <f xml:space="preserve">
SUMIFS(PROVEEDORES[[#All],[Total]],
PROVEEDORES[[#All],[FECHA DE FACTURACIÓN]],"&lt;="&amp;EOMONTH(B$1,0),
PROVEEDORES[[#All],[FECHA DE PAGO]],"")
+
SUMIFS(PROVEEDORES[[#All],[Total]],
PROVEEDORES[[#All],[FECHA DE FACTURACIÓN]],"&lt;="&amp;EOMONTH(B$1,0),
PROVEEDORES[[#All],[FECHA DE PAGO]],"&gt;"&amp;EOMONTH(B$1,0))</f>
        <v>0</v>
      </c>
      <c r="C10" s="62">
        <f xml:space="preserve">
SUMIFS(PROVEEDORES[[#All],[Total]],
PROVEEDORES[[#All],[FECHA DE FACTURACIÓN]],"&lt;="&amp;EOMONTH(C$1,0),
PROVEEDORES[[#All],[FECHA DE PAGO]],"")
+
SUMIFS(PROVEEDORES[[#All],[Total]],
PROVEEDORES[[#All],[FECHA DE FACTURACIÓN]],"&lt;="&amp;EOMONTH(C$1,0),
PROVEEDORES[[#All],[FECHA DE PAGO]],"&gt;"&amp;EOMONTH(C$1,0))</f>
        <v>0</v>
      </c>
      <c r="D10" s="62">
        <f xml:space="preserve">
SUMIFS(PROVEEDORES[[#All],[Total]],
PROVEEDORES[[#All],[FECHA DE FACTURACIÓN]],"&lt;="&amp;EOMONTH(D$1,0),
PROVEEDORES[[#All],[FECHA DE PAGO]],"")
+
SUMIFS(PROVEEDORES[[#All],[Total]],
PROVEEDORES[[#All],[FECHA DE FACTURACIÓN]],"&lt;="&amp;EOMONTH(D$1,0),
PROVEEDORES[[#All],[FECHA DE PAGO]],"&gt;"&amp;EOMONTH(D$1,0))</f>
        <v>0</v>
      </c>
      <c r="E10" s="62">
        <f xml:space="preserve">
SUMIFS(PROVEEDORES[[#All],[Total]],
PROVEEDORES[[#All],[FECHA DE FACTURACIÓN]],"&lt;="&amp;EOMONTH(E$1,0),
PROVEEDORES[[#All],[FECHA DE PAGO]],"")
+
SUMIFS(PROVEEDORES[[#All],[Total]],
PROVEEDORES[[#All],[FECHA DE FACTURACIÓN]],"&lt;="&amp;EOMONTH(E$1,0),
PROVEEDORES[[#All],[FECHA DE PAGO]],"&gt;"&amp;EOMONTH(E$1,0))</f>
        <v>0</v>
      </c>
      <c r="F10" s="62">
        <f xml:space="preserve">
SUMIFS(PROVEEDORES[[#All],[Total]],
PROVEEDORES[[#All],[FECHA DE FACTURACIÓN]],"&lt;="&amp;EOMONTH(F$1,0),
PROVEEDORES[[#All],[FECHA DE PAGO]],"")
+
SUMIFS(PROVEEDORES[[#All],[Total]],
PROVEEDORES[[#All],[FECHA DE FACTURACIÓN]],"&lt;="&amp;EOMONTH(F$1,0),
PROVEEDORES[[#All],[FECHA DE PAGO]],"&gt;"&amp;EOMONTH(F$1,0))</f>
        <v>0</v>
      </c>
      <c r="G10" s="62">
        <f xml:space="preserve">
SUMIFS(PROVEEDORES[[#All],[Total]],
PROVEEDORES[[#All],[FECHA DE FACTURACIÓN]],"&lt;="&amp;EOMONTH(G$1,0),
PROVEEDORES[[#All],[FECHA DE PAGO]],"")
+
SUMIFS(PROVEEDORES[[#All],[Total]],
PROVEEDORES[[#All],[FECHA DE FACTURACIÓN]],"&lt;="&amp;EOMONTH(G$1,0),
PROVEEDORES[[#All],[FECHA DE PAGO]],"&gt;"&amp;EOMONTH(G$1,0))</f>
        <v>0</v>
      </c>
      <c r="H10" s="62">
        <f xml:space="preserve">
SUMIFS(PROVEEDORES[[#All],[Total]],
PROVEEDORES[[#All],[FECHA DE FACTURACIÓN]],"&lt;="&amp;EOMONTH(H$1,0),
PROVEEDORES[[#All],[FECHA DE PAGO]],"")
+
SUMIFS(PROVEEDORES[[#All],[Total]],
PROVEEDORES[[#All],[FECHA DE FACTURACIÓN]],"&lt;="&amp;EOMONTH(H$1,0),
PROVEEDORES[[#All],[FECHA DE PAGO]],"&gt;"&amp;EOMONTH(H$1,0))</f>
        <v>0</v>
      </c>
      <c r="I10" s="62">
        <f xml:space="preserve">
SUMIFS(PROVEEDORES[[#All],[Total]],
PROVEEDORES[[#All],[FECHA DE FACTURACIÓN]],"&lt;="&amp;EOMONTH(I$1,0),
PROVEEDORES[[#All],[FECHA DE PAGO]],"")
+
SUMIFS(PROVEEDORES[[#All],[Total]],
PROVEEDORES[[#All],[FECHA DE FACTURACIÓN]],"&lt;="&amp;EOMONTH(I$1,0),
PROVEEDORES[[#All],[FECHA DE PAGO]],"&gt;"&amp;EOMONTH(I$1,0))</f>
        <v>0</v>
      </c>
      <c r="J10" s="62">
        <f xml:space="preserve">
SUMIFS(PROVEEDORES[[#All],[Total]],
PROVEEDORES[[#All],[FECHA DE FACTURACIÓN]],"&lt;="&amp;EOMONTH(J$1,0),
PROVEEDORES[[#All],[FECHA DE PAGO]],"")
+
SUMIFS(PROVEEDORES[[#All],[Total]],
PROVEEDORES[[#All],[FECHA DE FACTURACIÓN]],"&lt;="&amp;EOMONTH(J$1,0),
PROVEEDORES[[#All],[FECHA DE PAGO]],"&gt;"&amp;EOMONTH(J$1,0))</f>
        <v>0</v>
      </c>
      <c r="K10" s="62">
        <f xml:space="preserve">
SUMIFS(PROVEEDORES[[#All],[Total]],
PROVEEDORES[[#All],[FECHA DE FACTURACIÓN]],"&lt;="&amp;EOMONTH(K$1,0),
PROVEEDORES[[#All],[FECHA DE PAGO]],"")
+
SUMIFS(PROVEEDORES[[#All],[Total]],
PROVEEDORES[[#All],[FECHA DE FACTURACIÓN]],"&lt;="&amp;EOMONTH(K$1,0),
PROVEEDORES[[#All],[FECHA DE PAGO]],"&gt;"&amp;EOMONTH(K$1,0))</f>
        <v>0</v>
      </c>
      <c r="L10" s="62">
        <f xml:space="preserve">
SUMIFS(PROVEEDORES[[#All],[Total]],
PROVEEDORES[[#All],[FECHA DE FACTURACIÓN]],"&lt;="&amp;EOMONTH(L$1,0),
PROVEEDORES[[#All],[FECHA DE PAGO]],"")
+
SUMIFS(PROVEEDORES[[#All],[Total]],
PROVEEDORES[[#All],[FECHA DE FACTURACIÓN]],"&lt;="&amp;EOMONTH(L$1,0),
PROVEEDORES[[#All],[FECHA DE PAGO]],"&gt;"&amp;EOMONTH(L$1,0))</f>
        <v>23210156.225491602</v>
      </c>
      <c r="M10" s="62">
        <f xml:space="preserve">
SUMIFS(PROVEEDORES[[#All],[Total]],
PROVEEDORES[[#All],[FECHA DE FACTURACIÓN]],"&lt;="&amp;EOMONTH(M$1,0),
PROVEEDORES[[#All],[FECHA DE PAGO]],"")
+
SUMIFS(PROVEEDORES[[#All],[Total]],
PROVEEDORES[[#All],[FECHA DE FACTURACIÓN]],"&lt;="&amp;EOMONTH(M$1,0),
PROVEEDORES[[#All],[FECHA DE PAGO]],"&gt;"&amp;EOMONTH(M$1,0))</f>
        <v>237686299.59208822</v>
      </c>
      <c r="N10" s="62">
        <f xml:space="preserve">
SUMIFS(PROVEEDORES[[#All],[Total]],
PROVEEDORES[[#All],[FECHA DE FACTURACIÓN]],"&lt;="&amp;EOMONTH(N$1,0),
PROVEEDORES[[#All],[FECHA DE PAGO]],"")
+
SUMIFS(PROVEEDORES[[#All],[Total]],
PROVEEDORES[[#All],[FECHA DE FACTURACIÓN]],"&lt;="&amp;EOMONTH(N$1,0),
PROVEEDORES[[#All],[FECHA DE PAGO]],"&gt;"&amp;EOMONTH(N$1,0))</f>
        <v>239474633.08382729</v>
      </c>
      <c r="O10" s="62">
        <f xml:space="preserve">
SUMIFS(PROVEEDORES[[#All],[Total]],
PROVEEDORES[[#All],[FECHA DE FACTURACIÓN]],"&lt;="&amp;EOMONTH(O$1,0),
PROVEEDORES[[#All],[FECHA DE PAGO]],"")
+
SUMIFS(PROVEEDORES[[#All],[Total]],
PROVEEDORES[[#All],[FECHA DE FACTURACIÓN]],"&lt;="&amp;EOMONTH(O$1,0),
PROVEEDORES[[#All],[FECHA DE PAGO]],"&gt;"&amp;EOMONTH(O$1,0))</f>
        <v>232592701.13977942</v>
      </c>
      <c r="P10" s="62">
        <f xml:space="preserve">
SUMIFS(PROVEEDORES[[#All],[Total]],
PROVEEDORES[[#All],[FECHA DE FACTURACIÓN]],"&lt;="&amp;EOMONTH(P$1,0),
PROVEEDORES[[#All],[FECHA DE PAGO]],"")
+
SUMIFS(PROVEEDORES[[#All],[Total]],
PROVEEDORES[[#All],[FECHA DE FACTURACIÓN]],"&lt;="&amp;EOMONTH(P$1,0),
PROVEEDORES[[#All],[FECHA DE PAGO]],"&gt;"&amp;EOMONTH(P$1,0))</f>
        <v>207199633.10614997</v>
      </c>
      <c r="Q10" s="62">
        <f xml:space="preserve">
SUMIFS(PROVEEDORES[[#All],[Total]],
PROVEEDORES[[#All],[FECHA DE FACTURACIÓN]],"&lt;="&amp;EOMONTH(Q$1,0),
PROVEEDORES[[#All],[FECHA DE PAGO]],"")
+
SUMIFS(PROVEEDORES[[#All],[Total]],
PROVEEDORES[[#All],[FECHA DE FACTURACIÓN]],"&lt;="&amp;EOMONTH(Q$1,0),
PROVEEDORES[[#All],[FECHA DE PAGO]],"&gt;"&amp;EOMONTH(Q$1,0))</f>
        <v>250025168.81891227</v>
      </c>
      <c r="R10" s="62">
        <f xml:space="preserve">
SUMIFS(PROVEEDORES[[#All],[Total]],
PROVEEDORES[[#All],[FECHA DE FACTURACIÓN]],"&lt;="&amp;EOMONTH(R$1,0),
PROVEEDORES[[#All],[FECHA DE PAGO]],"")
+
SUMIFS(PROVEEDORES[[#All],[Total]],
PROVEEDORES[[#All],[FECHA DE FACTURACIÓN]],"&lt;="&amp;EOMONTH(R$1,0),
PROVEEDORES[[#All],[FECHA DE PAGO]],"&gt;"&amp;EOMONTH(R$1,0))</f>
        <v>224313718.49067223</v>
      </c>
      <c r="S10" s="62">
        <f xml:space="preserve">
SUMIFS(PROVEEDORES[[#All],[Total]],
PROVEEDORES[[#All],[FECHA DE FACTURACIÓN]],"&lt;="&amp;EOMONTH(S$1,0),
PROVEEDORES[[#All],[FECHA DE PAGO]],"")
+
SUMIFS(PROVEEDORES[[#All],[Total]],
PROVEEDORES[[#All],[FECHA DE FACTURACIÓN]],"&lt;="&amp;EOMONTH(S$1,0),
PROVEEDORES[[#All],[FECHA DE PAGO]],"&gt;"&amp;EOMONTH(S$1,0))</f>
        <v>196759382.68060008</v>
      </c>
      <c r="T10" s="62">
        <f xml:space="preserve">
SUMIFS(PROVEEDORES[[#All],[Total]],
PROVEEDORES[[#All],[FECHA DE FACTURACIÓN]],"&lt;="&amp;EOMONTH(T$1,0),
PROVEEDORES[[#All],[FECHA DE PAGO]],"")
+
SUMIFS(PROVEEDORES[[#All],[Total]],
PROVEEDORES[[#All],[FECHA DE FACTURACIÓN]],"&lt;="&amp;EOMONTH(T$1,0),
PROVEEDORES[[#All],[FECHA DE PAGO]],"&gt;"&amp;EOMONTH(T$1,0))</f>
        <v>235597347.62379998</v>
      </c>
      <c r="U10" s="62">
        <f xml:space="preserve">
SUMIFS(PROVEEDORES[[#All],[Total]],
PROVEEDORES[[#All],[FECHA DE FACTURACIÓN]],"&lt;="&amp;EOMONTH(U$1,0),
PROVEEDORES[[#All],[FECHA DE PAGO]],"")
+
SUMIFS(PROVEEDORES[[#All],[Total]],
PROVEEDORES[[#All],[FECHA DE FACTURACIÓN]],"&lt;="&amp;EOMONTH(U$1,0),
PROVEEDORES[[#All],[FECHA DE PAGO]],"&gt;"&amp;EOMONTH(U$1,0))</f>
        <v>282477756.74289995</v>
      </c>
      <c r="V10" s="62">
        <f xml:space="preserve">
SUMIFS(PROVEEDORES[[#All],[Total]],
PROVEEDORES[[#All],[FECHA DE FACTURACIÓN]],"&lt;="&amp;EOMONTH(V$1,0),
PROVEEDORES[[#All],[FECHA DE PAGO]],"")
+
SUMIFS(PROVEEDORES[[#All],[Total]],
PROVEEDORES[[#All],[FECHA DE FACTURACIÓN]],"&lt;="&amp;EOMONTH(V$1,0),
PROVEEDORES[[#All],[FECHA DE PAGO]],"&gt;"&amp;EOMONTH(V$1,0))</f>
        <v>287509092.99145007</v>
      </c>
      <c r="W10" s="62">
        <f xml:space="preserve">
SUMIFS(PROVEEDORES[[#All],[Total]],
PROVEEDORES[[#All],[FECHA DE FACTURACIÓN]],"&lt;="&amp;EOMONTH(W$1,0),
PROVEEDORES[[#All],[FECHA DE PAGO]],"")
+
SUMIFS(PROVEEDORES[[#All],[Total]],
PROVEEDORES[[#All],[FECHA DE FACTURACIÓN]],"&lt;="&amp;EOMONTH(W$1,0),
PROVEEDORES[[#All],[FECHA DE PAGO]],"&gt;"&amp;EOMONTH(W$1,0))</f>
        <v>221529026.39970005</v>
      </c>
      <c r="X10" s="62">
        <f xml:space="preserve">
SUMIFS(PROVEEDORES[[#All],[Total]],
PROVEEDORES[[#All],[FECHA DE FACTURACIÓN]],"&lt;="&amp;EOMONTH(X$1,0),
PROVEEDORES[[#All],[FECHA DE PAGO]],"")
+
SUMIFS(PROVEEDORES[[#All],[Total]],
PROVEEDORES[[#All],[FECHA DE FACTURACIÓN]],"&lt;="&amp;EOMONTH(X$1,0),
PROVEEDORES[[#All],[FECHA DE PAGO]],"&gt;"&amp;EOMONTH(X$1,0))</f>
        <v>261086210.31355003</v>
      </c>
      <c r="Y10" s="62">
        <f xml:space="preserve">
SUMIFS(PROVEEDORES[[#All],[Total]],
PROVEEDORES[[#All],[FECHA DE FACTURACIÓN]],"&lt;="&amp;EOMONTH(Y$1,0),
PROVEEDORES[[#All],[FECHA DE PAGO]],"")
+
SUMIFS(PROVEEDORES[[#All],[Total]],
PROVEEDORES[[#All],[FECHA DE FACTURACIÓN]],"&lt;="&amp;EOMONTH(Y$1,0),
PROVEEDORES[[#All],[FECHA DE PAGO]],"&gt;"&amp;EOMONTH(Y$1,0))</f>
        <v>295912847.66905004</v>
      </c>
      <c r="Z10" s="62">
        <f xml:space="preserve">
SUMIFS(PROVEEDORES[[#All],[Total]],
PROVEEDORES[[#All],[FECHA DE FACTURACIÓN]],"&lt;="&amp;EOMONTH(Z$1,0),
PROVEEDORES[[#All],[FECHA DE PAGO]],"")
+
SUMIFS(PROVEEDORES[[#All],[Total]],
PROVEEDORES[[#All],[FECHA DE FACTURACIÓN]],"&lt;="&amp;EOMONTH(Z$1,0),
PROVEEDORES[[#All],[FECHA DE PAGO]],"&gt;"&amp;EOMONTH(Z$1,0))</f>
        <v>239474633.08382729</v>
      </c>
      <c r="AA10" s="62">
        <f xml:space="preserve">
SUMIFS(PROVEEDORES[[#All],[Total]],
PROVEEDORES[[#All],[FECHA DE FACTURACIÓN]],"&lt;="&amp;EOMONTH(AA$1,0),
PROVEEDORES[[#All],[FECHA DE PAGO]],"")
+
SUMIFS(PROVEEDORES[[#All],[Total]],
PROVEEDORES[[#All],[FECHA DE FACTURACIÓN]],"&lt;="&amp;EOMONTH(AA$1,0),
PROVEEDORES[[#All],[FECHA DE PAGO]],"&gt;"&amp;EOMONTH(AA$1,0))</f>
        <v>232592701.13977942</v>
      </c>
      <c r="AB10" s="62">
        <f xml:space="preserve">
SUMIFS(PROVEEDORES[[#All],[Total]],
PROVEEDORES[[#All],[FECHA DE FACTURACIÓN]],"&lt;="&amp;EOMONTH(AB$1,0),
PROVEEDORES[[#All],[FECHA DE PAGO]],"")
+
SUMIFS(PROVEEDORES[[#All],[Total]],
PROVEEDORES[[#All],[FECHA DE FACTURACIÓN]],"&lt;="&amp;EOMONTH(AB$1,0),
PROVEEDORES[[#All],[FECHA DE PAGO]],"&gt;"&amp;EOMONTH(AB$1,0))</f>
        <v>207199633.10614997</v>
      </c>
      <c r="AC10" s="62">
        <f xml:space="preserve">
SUMIFS(PROVEEDORES[[#All],[Total]],
PROVEEDORES[[#All],[FECHA DE FACTURACIÓN]],"&lt;="&amp;EOMONTH(AC$1,0),
PROVEEDORES[[#All],[FECHA DE PAGO]],"")
+
SUMIFS(PROVEEDORES[[#All],[Total]],
PROVEEDORES[[#All],[FECHA DE FACTURACIÓN]],"&lt;="&amp;EOMONTH(AC$1,0),
PROVEEDORES[[#All],[FECHA DE PAGO]],"&gt;"&amp;EOMONTH(AC$1,0))</f>
        <v>250025168.81891227</v>
      </c>
    </row>
    <row r="11" spans="1:29" x14ac:dyDescent="0.3">
      <c r="A11" s="52" t="s">
        <v>155</v>
      </c>
      <c r="B11" s="61">
        <f>ABS(SUMIFS(FINANCIACION[$ CAPITAL],
FINANCIACION[Fecha],"&lt;="&amp;EOMONTH(B$1,0)))</f>
        <v>837377564.85488355</v>
      </c>
      <c r="C11" s="61">
        <f>ABS(SUMIFS(FINANCIACION[$ CAPITAL],
FINANCIACION[Fecha],"&lt;="&amp;EOMONTH(C$1,0)))</f>
        <v>828371667.09314048</v>
      </c>
      <c r="D11" s="61">
        <f>ABS(SUMIFS(FINANCIACION[$ CAPITAL],
FINANCIACION[Fecha],"&lt;="&amp;EOMONTH(D$1,0)))</f>
        <v>882385808.94999993</v>
      </c>
      <c r="E11" s="61">
        <f>ABS(SUMIFS(FINANCIACION[$ CAPITAL],
FINANCIACION[Fecha],"&lt;="&amp;EOMONTH(E$1,0)))</f>
        <v>883621757.94999993</v>
      </c>
      <c r="F11" s="61">
        <f>ABS(SUMIFS(FINANCIACION[$ CAPITAL],
FINANCIACION[Fecha],"&lt;="&amp;EOMONTH(F$1,0)))</f>
        <v>936094623.94999993</v>
      </c>
      <c r="G11" s="61">
        <f>ABS(SUMIFS(FINANCIACION[$ CAPITAL],
FINANCIACION[Fecha],"&lt;="&amp;EOMONTH(G$1,0)))</f>
        <v>1130051299.6999998</v>
      </c>
      <c r="H11" s="61">
        <f>ABS(SUMIFS(FINANCIACION[$ CAPITAL],
FINANCIACION[Fecha],"&lt;="&amp;EOMONTH(H$1,0)))</f>
        <v>1064803357.1499999</v>
      </c>
      <c r="I11" s="61">
        <f>ABS(SUMIFS(FINANCIACION[$ CAPITAL],
FINANCIACION[Fecha],"&lt;="&amp;EOMONTH(I$1,0)))</f>
        <v>1095295893.8199999</v>
      </c>
      <c r="J11" s="61">
        <f>ABS(SUMIFS(FINANCIACION[$ CAPITAL],
FINANCIACION[Fecha],"&lt;="&amp;EOMONTH(J$1,0)))</f>
        <v>1147392333.7699997</v>
      </c>
      <c r="K11" s="61">
        <f>ABS(SUMIFS(FINANCIACION[$ CAPITAL],
FINANCIACION[Fecha],"&lt;="&amp;EOMONTH(K$1,0)))</f>
        <v>1112196058.8099997</v>
      </c>
      <c r="L11" s="61">
        <f>ABS(SUMIFS(FINANCIACION[$ CAPITAL],
FINANCIACION[Fecha],"&lt;="&amp;EOMONTH(L$1,0)))</f>
        <v>1104155421.0799999</v>
      </c>
      <c r="M11" s="61">
        <f>ABS(SUMIFS(FINANCIACION[$ CAPITAL],
FINANCIACION[Fecha],"&lt;="&amp;EOMONTH(M$1,0)))</f>
        <v>1117950055.3187068</v>
      </c>
      <c r="N11" s="61">
        <f>ABS(SUMIFS(FINANCIACION[$ CAPITAL],
FINANCIACION[Fecha],"&lt;="&amp;EOMONTH(N$1,0)))</f>
        <v>1123463995.6947069</v>
      </c>
      <c r="O11" s="61">
        <f>ABS(SUMIFS(FINANCIACION[$ CAPITAL],
FINANCIACION[Fecha],"&lt;="&amp;EOMONTH(O$1,0)))</f>
        <v>1202744188.3134003</v>
      </c>
      <c r="P11" s="61">
        <f>ABS(SUMIFS(FINANCIACION[$ CAPITAL],
FINANCIACION[Fecha],"&lt;="&amp;EOMONTH(P$1,0)))</f>
        <v>1232680291.5998344</v>
      </c>
      <c r="Q11" s="61">
        <f>ABS(SUMIFS(FINANCIACION[$ CAPITAL],
FINANCIACION[Fecha],"&lt;="&amp;EOMONTH(Q$1,0)))</f>
        <v>1249616530.6160328</v>
      </c>
      <c r="R11" s="61">
        <f>ABS(SUMIFS(FINANCIACION[$ CAPITAL],
FINANCIACION[Fecha],"&lt;="&amp;EOMONTH(R$1,0)))</f>
        <v>1259640506.3695579</v>
      </c>
      <c r="S11" s="61">
        <f>ABS(SUMIFS(FINANCIACION[$ CAPITAL],
FINANCIACION[Fecha],"&lt;="&amp;EOMONTH(S$1,0)))</f>
        <v>1241686929.505306</v>
      </c>
      <c r="T11" s="61">
        <f>ABS(SUMIFS(FINANCIACION[$ CAPITAL],
FINANCIACION[Fecha],"&lt;="&amp;EOMONTH(T$1,0)))</f>
        <v>1226353586.7249591</v>
      </c>
      <c r="U11" s="61">
        <f>ABS(SUMIFS(FINANCIACION[$ CAPITAL],
FINANCIACION[Fecha],"&lt;="&amp;EOMONTH(U$1,0)))</f>
        <v>1236365478.2907085</v>
      </c>
      <c r="V11" s="61">
        <f>ABS(SUMIFS(FINANCIACION[$ CAPITAL],
FINANCIACION[Fecha],"&lt;="&amp;EOMONTH(V$1,0)))</f>
        <v>1210819350.2815154</v>
      </c>
      <c r="W11" s="61">
        <f>ABS(SUMIFS(FINANCIACION[$ CAPITAL],
FINANCIACION[Fecha],"&lt;="&amp;EOMONTH(W$1,0)))</f>
        <v>1169608273.4785306</v>
      </c>
      <c r="X11" s="61">
        <f>ABS(SUMIFS(FINANCIACION[$ CAPITAL],
FINANCIACION[Fecha],"&lt;="&amp;EOMONTH(X$1,0)))</f>
        <v>1259411136.0911355</v>
      </c>
      <c r="Y11" s="61">
        <f>ABS(SUMIFS(FINANCIACION[$ CAPITAL],
FINANCIACION[Fecha],"&lt;="&amp;EOMONTH(Y$1,0)))</f>
        <v>1211666221.1500816</v>
      </c>
      <c r="Z11" s="61">
        <f>ABS(SUMIFS(FINANCIACION[$ CAPITAL],
FINANCIACION[Fecha],"&lt;="&amp;EOMONTH(Z$1,0)))</f>
        <v>1123463995.6947069</v>
      </c>
      <c r="AA11" s="61">
        <f>ABS(SUMIFS(FINANCIACION[$ CAPITAL],
FINANCIACION[Fecha],"&lt;="&amp;EOMONTH(AA$1,0)))</f>
        <v>1202744188.3134003</v>
      </c>
      <c r="AB11" s="61">
        <f>ABS(SUMIFS(FINANCIACION[$ CAPITAL],
FINANCIACION[Fecha],"&lt;="&amp;EOMONTH(AB$1,0)))</f>
        <v>1232680291.5998344</v>
      </c>
      <c r="AC11" s="61">
        <f>ABS(SUMIFS(FINANCIACION[$ CAPITAL],
FINANCIACION[Fecha],"&lt;="&amp;EOMONTH(AC$1,0)))</f>
        <v>1249616530.6160328</v>
      </c>
    </row>
    <row r="12" spans="1:29" x14ac:dyDescent="0.3">
      <c r="A12" s="53" t="s">
        <v>156</v>
      </c>
      <c r="B12" s="62">
        <f t="shared" ref="B12:AC12" si="2">SUM(B20:B25)</f>
        <v>0</v>
      </c>
      <c r="C12" s="62">
        <f t="shared" si="2"/>
        <v>0</v>
      </c>
      <c r="D12" s="62">
        <f t="shared" si="2"/>
        <v>0</v>
      </c>
      <c r="E12" s="62">
        <f t="shared" si="2"/>
        <v>0</v>
      </c>
      <c r="F12" s="62">
        <f t="shared" si="2"/>
        <v>0</v>
      </c>
      <c r="G12" s="62">
        <f t="shared" si="2"/>
        <v>0</v>
      </c>
      <c r="H12" s="62">
        <f t="shared" si="2"/>
        <v>0</v>
      </c>
      <c r="I12" s="62">
        <f t="shared" si="2"/>
        <v>0</v>
      </c>
      <c r="J12" s="62">
        <f t="shared" si="2"/>
        <v>0</v>
      </c>
      <c r="K12" s="62">
        <f t="shared" si="2"/>
        <v>0</v>
      </c>
      <c r="L12" s="62">
        <f t="shared" si="2"/>
        <v>0</v>
      </c>
      <c r="M12" s="62">
        <f t="shared" si="2"/>
        <v>0</v>
      </c>
      <c r="N12" s="62">
        <f t="shared" si="2"/>
        <v>16130516.710000003</v>
      </c>
      <c r="O12" s="62">
        <f t="shared" si="2"/>
        <v>31295149.129999999</v>
      </c>
      <c r="P12" s="62">
        <f t="shared" si="2"/>
        <v>-7095403.9099999992</v>
      </c>
      <c r="Q12" s="62">
        <f t="shared" si="2"/>
        <v>13223260.26</v>
      </c>
      <c r="R12" s="62">
        <f t="shared" si="2"/>
        <v>13564187.379999999</v>
      </c>
      <c r="S12" s="62">
        <f t="shared" si="2"/>
        <v>2097486.7599999998</v>
      </c>
      <c r="T12" s="62">
        <f t="shared" si="2"/>
        <v>5063939.5599999996</v>
      </c>
      <c r="U12" s="62">
        <f t="shared" si="2"/>
        <v>18165497.169999998</v>
      </c>
      <c r="V12" s="62">
        <f t="shared" si="2"/>
        <v>5767101.4399999995</v>
      </c>
      <c r="W12" s="62">
        <f t="shared" si="2"/>
        <v>8248131.7599999998</v>
      </c>
      <c r="X12" s="62">
        <f t="shared" si="2"/>
        <v>76976155.230000004</v>
      </c>
      <c r="Y12" s="62">
        <f t="shared" si="2"/>
        <v>59937241.790000007</v>
      </c>
      <c r="Z12" s="62">
        <f t="shared" si="2"/>
        <v>59937241.790000007</v>
      </c>
      <c r="AA12" s="62">
        <f t="shared" si="2"/>
        <v>3835756.7000000007</v>
      </c>
      <c r="AB12" s="62">
        <f t="shared" si="2"/>
        <v>623916.10000000056</v>
      </c>
      <c r="AC12" s="62">
        <f t="shared" si="2"/>
        <v>0</v>
      </c>
    </row>
    <row r="13" spans="1:29" x14ac:dyDescent="0.3">
      <c r="A13" s="52" t="s">
        <v>157</v>
      </c>
      <c r="B13" s="61">
        <f t="shared" ref="B13:AC13" si="3">SUM(B20:B27)</f>
        <v>0</v>
      </c>
      <c r="C13" s="61">
        <f t="shared" si="3"/>
        <v>0</v>
      </c>
      <c r="D13" s="61">
        <f t="shared" si="3"/>
        <v>0</v>
      </c>
      <c r="E13" s="61">
        <f t="shared" si="3"/>
        <v>0</v>
      </c>
      <c r="F13" s="61">
        <f t="shared" si="3"/>
        <v>0</v>
      </c>
      <c r="G13" s="61">
        <f t="shared" si="3"/>
        <v>0</v>
      </c>
      <c r="H13" s="61">
        <f t="shared" si="3"/>
        <v>0</v>
      </c>
      <c r="I13" s="61">
        <f t="shared" si="3"/>
        <v>0</v>
      </c>
      <c r="J13" s="61">
        <f t="shared" si="3"/>
        <v>0</v>
      </c>
      <c r="K13" s="61">
        <f t="shared" si="3"/>
        <v>0</v>
      </c>
      <c r="L13" s="61">
        <f t="shared" si="3"/>
        <v>0</v>
      </c>
      <c r="M13" s="61">
        <f t="shared" si="3"/>
        <v>0</v>
      </c>
      <c r="N13" s="61">
        <f t="shared" si="3"/>
        <v>34960056.5</v>
      </c>
      <c r="O13" s="61">
        <f t="shared" si="3"/>
        <v>44502842.549999997</v>
      </c>
      <c r="P13" s="61">
        <f t="shared" si="3"/>
        <v>3632796.0900000008</v>
      </c>
      <c r="Q13" s="61">
        <f t="shared" si="3"/>
        <v>13325447.279999999</v>
      </c>
      <c r="R13" s="61">
        <f t="shared" si="3"/>
        <v>24355059.559999999</v>
      </c>
      <c r="S13" s="61">
        <f t="shared" si="3"/>
        <v>8389609.6699999999</v>
      </c>
      <c r="T13" s="61">
        <f t="shared" si="3"/>
        <v>13815785.92</v>
      </c>
      <c r="U13" s="61">
        <f t="shared" si="3"/>
        <v>26673509.119999997</v>
      </c>
      <c r="V13" s="61">
        <f t="shared" si="3"/>
        <v>23882286.719999999</v>
      </c>
      <c r="W13" s="61">
        <f t="shared" si="3"/>
        <v>22564178.699999999</v>
      </c>
      <c r="X13" s="61">
        <f t="shared" si="3"/>
        <v>90725734.730000004</v>
      </c>
      <c r="Y13" s="61">
        <f t="shared" si="3"/>
        <v>104524152.60000001</v>
      </c>
      <c r="Z13" s="61">
        <f t="shared" si="3"/>
        <v>104524152.60000001</v>
      </c>
      <c r="AA13" s="61">
        <f t="shared" si="3"/>
        <v>12127469.700000001</v>
      </c>
      <c r="AB13" s="61">
        <f t="shared" si="3"/>
        <v>14816629.98</v>
      </c>
      <c r="AC13" s="61">
        <f t="shared" si="3"/>
        <v>0</v>
      </c>
    </row>
    <row r="14" spans="1:29" x14ac:dyDescent="0.3">
      <c r="A14" s="53" t="s">
        <v>158</v>
      </c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80"/>
      <c r="V14" s="80"/>
      <c r="W14" s="80"/>
      <c r="X14" s="80"/>
      <c r="Y14" s="80"/>
      <c r="Z14" s="80"/>
      <c r="AA14" s="80"/>
      <c r="AB14" s="80"/>
      <c r="AC14" s="80"/>
    </row>
    <row r="15" spans="1:29" x14ac:dyDescent="0.3">
      <c r="A15" s="52" t="s">
        <v>159</v>
      </c>
      <c r="B15" s="61">
        <f xml:space="preserve">
SUMIFS(PROVEEDORES[[#All],[Descuento sobre subtotal $]],
PROVEEDORES[[#All],[FECHA DE PAGO]],"&gt;="&amp;B$1,
PROVEEDORES[[#All],[FECHA DE PAGO]],"&lt;="&amp;EOMONTH(B$1,0))</f>
        <v>0</v>
      </c>
      <c r="C15" s="61">
        <f xml:space="preserve">
SUMIFS(PROVEEDORES[[#All],[Descuento sobre subtotal $]],
PROVEEDORES[[#All],[FECHA DE PAGO]],"&gt;="&amp;C$1,
PROVEEDORES[[#All],[FECHA DE PAGO]],"&lt;="&amp;EOMONTH(C$1,0))</f>
        <v>0</v>
      </c>
      <c r="D15" s="61">
        <f xml:space="preserve">
SUMIFS(PROVEEDORES[[#All],[Descuento sobre subtotal $]],
PROVEEDORES[[#All],[FECHA DE PAGO]],"&gt;="&amp;D$1,
PROVEEDORES[[#All],[FECHA DE PAGO]],"&lt;="&amp;EOMONTH(D$1,0))</f>
        <v>0</v>
      </c>
      <c r="E15" s="61">
        <f xml:space="preserve">
SUMIFS(PROVEEDORES[[#All],[Descuento sobre subtotal $]],
PROVEEDORES[[#All],[FECHA DE PAGO]],"&gt;="&amp;E$1,
PROVEEDORES[[#All],[FECHA DE PAGO]],"&lt;="&amp;EOMONTH(E$1,0))</f>
        <v>0</v>
      </c>
      <c r="F15" s="61">
        <f xml:space="preserve">
SUMIFS(PROVEEDORES[[#All],[Descuento sobre subtotal $]],
PROVEEDORES[[#All],[FECHA DE PAGO]],"&gt;="&amp;F$1,
PROVEEDORES[[#All],[FECHA DE PAGO]],"&lt;="&amp;EOMONTH(F$1,0))</f>
        <v>0</v>
      </c>
      <c r="G15" s="61">
        <f xml:space="preserve">
SUMIFS(PROVEEDORES[[#All],[Descuento sobre subtotal $]],
PROVEEDORES[[#All],[FECHA DE PAGO]],"&gt;="&amp;G$1,
PROVEEDORES[[#All],[FECHA DE PAGO]],"&lt;="&amp;EOMONTH(G$1,0))</f>
        <v>0</v>
      </c>
      <c r="H15" s="61">
        <f xml:space="preserve">
SUMIFS(PROVEEDORES[[#All],[Descuento sobre subtotal $]],
PROVEEDORES[[#All],[FECHA DE PAGO]],"&gt;="&amp;H$1,
PROVEEDORES[[#All],[FECHA DE PAGO]],"&lt;="&amp;EOMONTH(H$1,0))</f>
        <v>0</v>
      </c>
      <c r="I15" s="61">
        <f xml:space="preserve">
SUMIFS(PROVEEDORES[[#All],[Descuento sobre subtotal $]],
PROVEEDORES[[#All],[FECHA DE PAGO]],"&gt;="&amp;I$1,
PROVEEDORES[[#All],[FECHA DE PAGO]],"&lt;="&amp;EOMONTH(I$1,0))</f>
        <v>0</v>
      </c>
      <c r="J15" s="61">
        <f xml:space="preserve">
SUMIFS(PROVEEDORES[[#All],[Descuento sobre subtotal $]],
PROVEEDORES[[#All],[FECHA DE PAGO]],"&gt;="&amp;J$1,
PROVEEDORES[[#All],[FECHA DE PAGO]],"&lt;="&amp;EOMONTH(J$1,0))</f>
        <v>0</v>
      </c>
      <c r="K15" s="61">
        <f xml:space="preserve">
SUMIFS(PROVEEDORES[[#All],[Descuento sobre subtotal $]],
PROVEEDORES[[#All],[FECHA DE PAGO]],"&gt;="&amp;K$1,
PROVEEDORES[[#All],[FECHA DE PAGO]],"&lt;="&amp;EOMONTH(K$1,0))</f>
        <v>0</v>
      </c>
      <c r="L15" s="61">
        <f xml:space="preserve">
SUMIFS(PROVEEDORES[[#All],[Descuento sobre subtotal $]],
PROVEEDORES[[#All],[FECHA DE PAGO]],"&gt;="&amp;L$1,
PROVEEDORES[[#All],[FECHA DE PAGO]],"&lt;="&amp;EOMONTH(L$1,0))</f>
        <v>0</v>
      </c>
      <c r="M15" s="61">
        <f xml:space="preserve">
SUMIFS(PROVEEDORES[[#All],[Descuento sobre subtotal $]],
PROVEEDORES[[#All],[FECHA DE PAGO]],"&gt;="&amp;M$1,
PROVEEDORES[[#All],[FECHA DE PAGO]],"&lt;="&amp;EOMONTH(M$1,0))</f>
        <v>0</v>
      </c>
      <c r="N15" s="61">
        <f xml:space="preserve">
SUMIFS(PROVEEDORES[[#All],[Descuento sobre subtotal $]],
PROVEEDORES[[#All],[FECHA DE PAGO]],"&gt;="&amp;N$1,
PROVEEDORES[[#All],[FECHA DE PAGO]],"&lt;="&amp;EOMONTH(N$1,0))</f>
        <v>0</v>
      </c>
      <c r="O15" s="61">
        <f xml:space="preserve">
SUMIFS(PROVEEDORES[[#All],[Descuento sobre subtotal $]],
PROVEEDORES[[#All],[FECHA DE PAGO]],"&gt;="&amp;O$1,
PROVEEDORES[[#All],[FECHA DE PAGO]],"&lt;="&amp;EOMONTH(O$1,0))</f>
        <v>553534.17999999993</v>
      </c>
      <c r="P15" s="61">
        <f xml:space="preserve">
SUMIFS(PROVEEDORES[[#All],[Descuento sobre subtotal $]],
PROVEEDORES[[#All],[FECHA DE PAGO]],"&gt;="&amp;P$1,
PROVEEDORES[[#All],[FECHA DE PAGO]],"&lt;="&amp;EOMONTH(P$1,0))</f>
        <v>358154</v>
      </c>
      <c r="Q15" s="61">
        <f xml:space="preserve">
SUMIFS(PROVEEDORES[[#All],[Descuento sobre subtotal $]],
PROVEEDORES[[#All],[FECHA DE PAGO]],"&gt;="&amp;Q$1,
PROVEEDORES[[#All],[FECHA DE PAGO]],"&lt;="&amp;EOMONTH(Q$1,0))</f>
        <v>408643.55</v>
      </c>
      <c r="R15" s="61">
        <f xml:space="preserve">
SUMIFS(PROVEEDORES[[#All],[Descuento sobre subtotal $]],
PROVEEDORES[[#All],[FECHA DE PAGO]],"&gt;="&amp;R$1,
PROVEEDORES[[#All],[FECHA DE PAGO]],"&lt;="&amp;EOMONTH(R$1,0))</f>
        <v>219730.05</v>
      </c>
      <c r="S15" s="61">
        <f xml:space="preserve">
SUMIFS(PROVEEDORES[[#All],[Descuento sobre subtotal $]],
PROVEEDORES[[#All],[FECHA DE PAGO]],"&gt;="&amp;S$1,
PROVEEDORES[[#All],[FECHA DE PAGO]],"&lt;="&amp;EOMONTH(S$1,0))</f>
        <v>218173</v>
      </c>
      <c r="T15" s="61">
        <f xml:space="preserve">
SUMIFS(PROVEEDORES[[#All],[Descuento sobre subtotal $]],
PROVEEDORES[[#All],[FECHA DE PAGO]],"&gt;="&amp;T$1,
PROVEEDORES[[#All],[FECHA DE PAGO]],"&lt;="&amp;EOMONTH(T$1,0))</f>
        <v>198021.46</v>
      </c>
      <c r="U15" s="61">
        <f xml:space="preserve">
SUMIFS(PROVEEDORES[[#All],[Descuento sobre subtotal $]],
PROVEEDORES[[#All],[FECHA DE PAGO]],"&gt;="&amp;U$1,
PROVEEDORES[[#All],[FECHA DE PAGO]],"&lt;="&amp;EOMONTH(U$1,0))</f>
        <v>2342642.77</v>
      </c>
      <c r="V15" s="61">
        <f xml:space="preserve">
SUMIFS(PROVEEDORES[[#All],[Descuento sobre subtotal $]],
PROVEEDORES[[#All],[FECHA DE PAGO]],"&gt;="&amp;V$1,
PROVEEDORES[[#All],[FECHA DE PAGO]],"&lt;="&amp;EOMONTH(V$1,0))</f>
        <v>1020596.1700000004</v>
      </c>
      <c r="W15" s="61">
        <f xml:space="preserve">
SUMIFS(PROVEEDORES[[#All],[Descuento sobre subtotal $]],
PROVEEDORES[[#All],[FECHA DE PAGO]],"&gt;="&amp;W$1,
PROVEEDORES[[#All],[FECHA DE PAGO]],"&lt;="&amp;EOMONTH(W$1,0))</f>
        <v>130361.77</v>
      </c>
      <c r="X15" s="61">
        <f xml:space="preserve">
SUMIFS(PROVEEDORES[[#All],[Descuento sobre subtotal $]],
PROVEEDORES[[#All],[FECHA DE PAGO]],"&gt;="&amp;X$1,
PROVEEDORES[[#All],[FECHA DE PAGO]],"&lt;="&amp;EOMONTH(X$1,0))</f>
        <v>125150.08</v>
      </c>
      <c r="Y15" s="61">
        <f xml:space="preserve">
SUMIFS(PROVEEDORES[[#All],[Descuento sobre subtotal $]],
PROVEEDORES[[#All],[FECHA DE PAGO]],"&gt;="&amp;Y$1,
PROVEEDORES[[#All],[FECHA DE PAGO]],"&lt;="&amp;EOMONTH(Y$1,0))</f>
        <v>3179249.4</v>
      </c>
      <c r="Z15" s="61">
        <f xml:space="preserve">
SUMIFS(PROVEEDORES[[#All],[Descuento sobre subtotal $]],
PROVEEDORES[[#All],[FECHA DE PAGO]],"&gt;="&amp;Z$1,
PROVEEDORES[[#All],[FECHA DE PAGO]],"&lt;="&amp;EOMONTH(Z$1,0))</f>
        <v>0</v>
      </c>
      <c r="AA15" s="61">
        <f xml:space="preserve">
SUMIFS(PROVEEDORES[[#All],[Descuento sobre subtotal $]],
PROVEEDORES[[#All],[FECHA DE PAGO]],"&gt;="&amp;AA$1,
PROVEEDORES[[#All],[FECHA DE PAGO]],"&lt;="&amp;EOMONTH(AA$1,0))</f>
        <v>553534.17999999993</v>
      </c>
      <c r="AB15" s="61">
        <f xml:space="preserve">
SUMIFS(PROVEEDORES[[#All],[Descuento sobre subtotal $]],
PROVEEDORES[[#All],[FECHA DE PAGO]],"&gt;="&amp;AB$1,
PROVEEDORES[[#All],[FECHA DE PAGO]],"&lt;="&amp;EOMONTH(AB$1,0))</f>
        <v>358154</v>
      </c>
      <c r="AC15" s="61">
        <f xml:space="preserve">
SUMIFS(PROVEEDORES[[#All],[Descuento sobre subtotal $]],
PROVEEDORES[[#All],[FECHA DE PAGO]],"&gt;="&amp;AC$1,
PROVEEDORES[[#All],[FECHA DE PAGO]],"&lt;="&amp;EOMONTH(AC$1,0))</f>
        <v>408643.55</v>
      </c>
    </row>
    <row r="16" spans="1:29" x14ac:dyDescent="0.3">
      <c r="A16" s="53" t="s">
        <v>160</v>
      </c>
      <c r="B16" s="62">
        <f xml:space="preserve">
SUMIFS(PROVEEDORES[[#All],[Total]],
PROVEEDORES[[#All],[FECHA DE FACTURACIÓN]],"&lt;="&amp;EOMONTH(B$1,0),
PROVEEDORES[[#All],[Estado de la factura]],"VENCIDA")
+
SUMIFS(PROVEEDORES[[#All],[Total]],
PROVEEDORES[[#All],[FECHA DE FACTURACIÓN]],"&lt;="&amp;EOMONTH(B$1,0),
PROVEEDORES[[#All],[PV]],"PAGO VENCIDO",
PROVEEDORES[[#All],[FECHA DE PAGO]],"&gt;"&amp;EOMONTH(B$1,0))</f>
        <v>0</v>
      </c>
      <c r="C16" s="62">
        <f xml:space="preserve">
SUMIFS(PROVEEDORES[[#All],[Total]],
PROVEEDORES[[#All],[FECHA DE FACTURACIÓN]],"&lt;="&amp;EOMONTH(C$1,0),
PROVEEDORES[[#All],[Estado de la factura]],"VENCIDA")
+
SUMIFS(PROVEEDORES[[#All],[Total]],
PROVEEDORES[[#All],[FECHA DE FACTURACIÓN]],"&lt;="&amp;EOMONTH(C$1,0),
PROVEEDORES[[#All],[PV]],"PAGO VENCIDO",
PROVEEDORES[[#All],[FECHA DE PAGO]],"&gt;"&amp;EOMONTH(C$1,0))</f>
        <v>0</v>
      </c>
      <c r="D16" s="62">
        <f xml:space="preserve">
SUMIFS(PROVEEDORES[[#All],[Total]],
PROVEEDORES[[#All],[FECHA DE FACTURACIÓN]],"&lt;="&amp;EOMONTH(D$1,0),
PROVEEDORES[[#All],[Estado de la factura]],"VENCIDA")
+
SUMIFS(PROVEEDORES[[#All],[Total]],
PROVEEDORES[[#All],[FECHA DE FACTURACIÓN]],"&lt;="&amp;EOMONTH(D$1,0),
PROVEEDORES[[#All],[PV]],"PAGO VENCIDO",
PROVEEDORES[[#All],[FECHA DE PAGO]],"&gt;"&amp;EOMONTH(D$1,0))</f>
        <v>0</v>
      </c>
      <c r="E16" s="62">
        <f xml:space="preserve">
SUMIFS(PROVEEDORES[[#All],[Total]],
PROVEEDORES[[#All],[FECHA DE FACTURACIÓN]],"&lt;="&amp;EOMONTH(E$1,0),
PROVEEDORES[[#All],[Estado de la factura]],"VENCIDA")
+
SUMIFS(PROVEEDORES[[#All],[Total]],
PROVEEDORES[[#All],[FECHA DE FACTURACIÓN]],"&lt;="&amp;EOMONTH(E$1,0),
PROVEEDORES[[#All],[PV]],"PAGO VENCIDO",
PROVEEDORES[[#All],[FECHA DE PAGO]],"&gt;"&amp;EOMONTH(E$1,0))</f>
        <v>0</v>
      </c>
      <c r="F16" s="62">
        <f xml:space="preserve">
SUMIFS(PROVEEDORES[[#All],[Total]],
PROVEEDORES[[#All],[FECHA DE FACTURACIÓN]],"&lt;="&amp;EOMONTH(F$1,0),
PROVEEDORES[[#All],[Estado de la factura]],"VENCIDA")
+
SUMIFS(PROVEEDORES[[#All],[Total]],
PROVEEDORES[[#All],[FECHA DE FACTURACIÓN]],"&lt;="&amp;EOMONTH(F$1,0),
PROVEEDORES[[#All],[PV]],"PAGO VENCIDO",
PROVEEDORES[[#All],[FECHA DE PAGO]],"&gt;"&amp;EOMONTH(F$1,0))</f>
        <v>0</v>
      </c>
      <c r="G16" s="62">
        <f xml:space="preserve">
SUMIFS(PROVEEDORES[[#All],[Total]],
PROVEEDORES[[#All],[FECHA DE FACTURACIÓN]],"&lt;="&amp;EOMONTH(G$1,0),
PROVEEDORES[[#All],[Estado de la factura]],"VENCIDA")
+
SUMIFS(PROVEEDORES[[#All],[Total]],
PROVEEDORES[[#All],[FECHA DE FACTURACIÓN]],"&lt;="&amp;EOMONTH(G$1,0),
PROVEEDORES[[#All],[PV]],"PAGO VENCIDO",
PROVEEDORES[[#All],[FECHA DE PAGO]],"&gt;"&amp;EOMONTH(G$1,0))</f>
        <v>0</v>
      </c>
      <c r="H16" s="62">
        <f xml:space="preserve">
SUMIFS(PROVEEDORES[[#All],[Total]],
PROVEEDORES[[#All],[FECHA DE FACTURACIÓN]],"&lt;="&amp;EOMONTH(H$1,0),
PROVEEDORES[[#All],[Estado de la factura]],"VENCIDA")
+
SUMIFS(PROVEEDORES[[#All],[Total]],
PROVEEDORES[[#All],[FECHA DE FACTURACIÓN]],"&lt;="&amp;EOMONTH(H$1,0),
PROVEEDORES[[#All],[PV]],"PAGO VENCIDO",
PROVEEDORES[[#All],[FECHA DE PAGO]],"&gt;"&amp;EOMONTH(H$1,0))</f>
        <v>0</v>
      </c>
      <c r="I16" s="62">
        <f xml:space="preserve">
SUMIFS(PROVEEDORES[[#All],[Total]],
PROVEEDORES[[#All],[FECHA DE FACTURACIÓN]],"&lt;="&amp;EOMONTH(I$1,0),
PROVEEDORES[[#All],[Estado de la factura]],"VENCIDA")
+
SUMIFS(PROVEEDORES[[#All],[Total]],
PROVEEDORES[[#All],[FECHA DE FACTURACIÓN]],"&lt;="&amp;EOMONTH(I$1,0),
PROVEEDORES[[#All],[PV]],"PAGO VENCIDO",
PROVEEDORES[[#All],[FECHA DE PAGO]],"&gt;"&amp;EOMONTH(I$1,0))</f>
        <v>0</v>
      </c>
      <c r="J16" s="62">
        <f xml:space="preserve">
SUMIFS(PROVEEDORES[[#All],[Total]],
PROVEEDORES[[#All],[FECHA DE FACTURACIÓN]],"&lt;="&amp;EOMONTH(J$1,0),
PROVEEDORES[[#All],[Estado de la factura]],"VENCIDA")
+
SUMIFS(PROVEEDORES[[#All],[Total]],
PROVEEDORES[[#All],[FECHA DE FACTURACIÓN]],"&lt;="&amp;EOMONTH(J$1,0),
PROVEEDORES[[#All],[PV]],"PAGO VENCIDO",
PROVEEDORES[[#All],[FECHA DE PAGO]],"&gt;"&amp;EOMONTH(J$1,0))</f>
        <v>0</v>
      </c>
      <c r="K16" s="62">
        <f xml:space="preserve">
SUMIFS(PROVEEDORES[[#All],[Total]],
PROVEEDORES[[#All],[FECHA DE FACTURACIÓN]],"&lt;="&amp;EOMONTH(K$1,0),
PROVEEDORES[[#All],[Estado de la factura]],"VENCIDA")
+
SUMIFS(PROVEEDORES[[#All],[Total]],
PROVEEDORES[[#All],[FECHA DE FACTURACIÓN]],"&lt;="&amp;EOMONTH(K$1,0),
PROVEEDORES[[#All],[PV]],"PAGO VENCIDO",
PROVEEDORES[[#All],[FECHA DE PAGO]],"&gt;"&amp;EOMONTH(K$1,0))</f>
        <v>0</v>
      </c>
      <c r="L16" s="62">
        <f xml:space="preserve">
SUMIFS(PROVEEDORES[[#All],[Total]],
PROVEEDORES[[#All],[FECHA DE FACTURACIÓN]],"&lt;="&amp;EOMONTH(L$1,0),
PROVEEDORES[[#All],[Estado de la factura]],"VENCIDA")
+
SUMIFS(PROVEEDORES[[#All],[Total]],
PROVEEDORES[[#All],[FECHA DE FACTURACIÓN]],"&lt;="&amp;EOMONTH(L$1,0),
PROVEEDORES[[#All],[PV]],"PAGO VENCIDO",
PROVEEDORES[[#All],[FECHA DE PAGO]],"&gt;"&amp;EOMONTH(L$1,0))</f>
        <v>22220156.225491602</v>
      </c>
      <c r="M16" s="62">
        <f xml:space="preserve">
SUMIFS(PROVEEDORES[[#All],[Total]],
PROVEEDORES[[#All],[FECHA DE FACTURACIÓN]],"&lt;="&amp;EOMONTH(M$1,0),
PROVEEDORES[[#All],[Estado de la factura]],"VENCIDA")
+
SUMIFS(PROVEEDORES[[#All],[Total]],
PROVEEDORES[[#All],[FECHA DE FACTURACIÓN]],"&lt;="&amp;EOMONTH(M$1,0),
PROVEEDORES[[#All],[PV]],"PAGO VENCIDO",
PROVEEDORES[[#All],[FECHA DE PAGO]],"&gt;"&amp;EOMONTH(M$1,0))</f>
        <v>225378849.77208823</v>
      </c>
      <c r="N16" s="62">
        <f xml:space="preserve">
SUMIFS(PROVEEDORES[[#All],[Total]],
PROVEEDORES[[#All],[FECHA DE FACTURACIÓN]],"&lt;="&amp;EOMONTH(N$1,0),
PROVEEDORES[[#All],[Estado de la factura]],"VENCIDA")
+
SUMIFS(PROVEEDORES[[#All],[Total]],
PROVEEDORES[[#All],[FECHA DE FACTURACIÓN]],"&lt;="&amp;EOMONTH(N$1,0),
PROVEEDORES[[#All],[PV]],"PAGO VENCIDO",
PROVEEDORES[[#All],[FECHA DE PAGO]],"&gt;"&amp;EOMONTH(N$1,0))</f>
        <v>223154860.5589273</v>
      </c>
      <c r="O16" s="62">
        <f xml:space="preserve">
SUMIFS(PROVEEDORES[[#All],[Total]],
PROVEEDORES[[#All],[FECHA DE FACTURACIÓN]],"&lt;="&amp;EOMONTH(O$1,0),
PROVEEDORES[[#All],[Estado de la factura]],"VENCIDA")
+
SUMIFS(PROVEEDORES[[#All],[Total]],
PROVEEDORES[[#All],[FECHA DE FACTURACIÓN]],"&lt;="&amp;EOMONTH(O$1,0),
PROVEEDORES[[#All],[PV]],"PAGO VENCIDO",
PROVEEDORES[[#All],[FECHA DE PAGO]],"&gt;"&amp;EOMONTH(O$1,0))</f>
        <v>226548165.7247794</v>
      </c>
      <c r="P16" s="62">
        <f xml:space="preserve">
SUMIFS(PROVEEDORES[[#All],[Total]],
PROVEEDORES[[#All],[FECHA DE FACTURACIÓN]],"&lt;="&amp;EOMONTH(P$1,0),
PROVEEDORES[[#All],[Estado de la factura]],"VENCIDA")
+
SUMIFS(PROVEEDORES[[#All],[Total]],
PROVEEDORES[[#All],[FECHA DE FACTURACIÓN]],"&lt;="&amp;EOMONTH(P$1,0),
PROVEEDORES[[#All],[PV]],"PAGO VENCIDO",
PROVEEDORES[[#All],[FECHA DE PAGO]],"&gt;"&amp;EOMONTH(P$1,0))</f>
        <v>206152038.02614996</v>
      </c>
      <c r="Q16" s="62">
        <f xml:space="preserve">
SUMIFS(PROVEEDORES[[#All],[Total]],
PROVEEDORES[[#All],[FECHA DE FACTURACIÓN]],"&lt;="&amp;EOMONTH(Q$1,0),
PROVEEDORES[[#All],[Estado de la factura]],"VENCIDA")
+
SUMIFS(PROVEEDORES[[#All],[Total]],
PROVEEDORES[[#All],[FECHA DE FACTURACIÓN]],"&lt;="&amp;EOMONTH(Q$1,0),
PROVEEDORES[[#All],[PV]],"PAGO VENCIDO",
PROVEEDORES[[#All],[FECHA DE PAGO]],"&gt;"&amp;EOMONTH(Q$1,0))</f>
        <v>221059630.45562226</v>
      </c>
      <c r="R16" s="62">
        <f xml:space="preserve">
SUMIFS(PROVEEDORES[[#All],[Total]],
PROVEEDORES[[#All],[FECHA DE FACTURACIÓN]],"&lt;="&amp;EOMONTH(R$1,0),
PROVEEDORES[[#All],[Estado de la factura]],"VENCIDA")
+
SUMIFS(PROVEEDORES[[#All],[Total]],
PROVEEDORES[[#All],[FECHA DE FACTURACIÓN]],"&lt;="&amp;EOMONTH(R$1,0),
PROVEEDORES[[#All],[PV]],"PAGO VENCIDO",
PROVEEDORES[[#All],[FECHA DE PAGO]],"&gt;"&amp;EOMONTH(R$1,0))</f>
        <v>205545857.82067218</v>
      </c>
      <c r="S16" s="62">
        <f xml:space="preserve">
SUMIFS(PROVEEDORES[[#All],[Total]],
PROVEEDORES[[#All],[FECHA DE FACTURACIÓN]],"&lt;="&amp;EOMONTH(S$1,0),
PROVEEDORES[[#All],[Estado de la factura]],"VENCIDA")
+
SUMIFS(PROVEEDORES[[#All],[Total]],
PROVEEDORES[[#All],[FECHA DE FACTURACIÓN]],"&lt;="&amp;EOMONTH(S$1,0),
PROVEEDORES[[#All],[PV]],"PAGO VENCIDO",
PROVEEDORES[[#All],[FECHA DE PAGO]],"&gt;"&amp;EOMONTH(S$1,0))</f>
        <v>184709754.89860004</v>
      </c>
      <c r="T16" s="62">
        <f xml:space="preserve">
SUMIFS(PROVEEDORES[[#All],[Total]],
PROVEEDORES[[#All],[FECHA DE FACTURACIÓN]],"&lt;="&amp;EOMONTH(T$1,0),
PROVEEDORES[[#All],[Estado de la factura]],"VENCIDA")
+
SUMIFS(PROVEEDORES[[#All],[Total]],
PROVEEDORES[[#All],[FECHA DE FACTURACIÓN]],"&lt;="&amp;EOMONTH(T$1,0),
PROVEEDORES[[#All],[PV]],"PAGO VENCIDO",
PROVEEDORES[[#All],[FECHA DE PAGO]],"&gt;"&amp;EOMONTH(T$1,0))</f>
        <v>173417095.23379999</v>
      </c>
      <c r="U16" s="62">
        <f ca="1" xml:space="preserve">
SUMIFS(PROVEEDORES[[#All],[Total]],
PROVEEDORES[[#All],[FECHA DE FACTURACIÓN]],"&lt;="&amp;EOMONTH(U$1,0),
PROVEEDORES[[#All],[Estado de la factura]],"VENCIDA")
+
SUMIFS(PROVEEDORES[[#All],[Total]],
PROVEEDORES[[#All],[FECHA DE FACTURACIÓN]],"&lt;="&amp;EOMONTH(U$1,0),
PROVEEDORES[[#All],[PV]],"PAGO VENCIDO",
PROVEEDORES[[#All],[FECHA DE PAGO]],"&gt;"&amp;EOMONTH(U$1,0))</f>
        <v>219152019.89140004</v>
      </c>
      <c r="V16" s="62">
        <f ca="1" xml:space="preserve">
SUMIFS(PROVEEDORES[[#All],[Total]],
PROVEEDORES[[#All],[FECHA DE FACTURACIÓN]],"&lt;="&amp;EOMONTH(V$1,0),
PROVEEDORES[[#All],[Estado de la factura]],"VENCIDA")
+
SUMIFS(PROVEEDORES[[#All],[Total]],
PROVEEDORES[[#All],[FECHA DE FACTURACIÓN]],"&lt;="&amp;EOMONTH(V$1,0),
PROVEEDORES[[#All],[PV]],"PAGO VENCIDO",
PROVEEDORES[[#All],[FECHA DE PAGO]],"&gt;"&amp;EOMONTH(V$1,0))</f>
        <v>224020854.83145002</v>
      </c>
      <c r="W16" s="62">
        <f ca="1" xml:space="preserve">
SUMIFS(PROVEEDORES[[#All],[Total]],
PROVEEDORES[[#All],[FECHA DE FACTURACIÓN]],"&lt;="&amp;EOMONTH(W$1,0),
PROVEEDORES[[#All],[Estado de la factura]],"VENCIDA")
+
SUMIFS(PROVEEDORES[[#All],[Total]],
PROVEEDORES[[#All],[FECHA DE FACTURACIÓN]],"&lt;="&amp;EOMONTH(W$1,0),
PROVEEDORES[[#All],[PV]],"PAGO VENCIDO",
PROVEEDORES[[#All],[FECHA DE PAGO]],"&gt;"&amp;EOMONTH(W$1,0))</f>
        <v>199567423.05470005</v>
      </c>
      <c r="X16" s="62">
        <f ca="1" xml:space="preserve">
SUMIFS(PROVEEDORES[[#All],[Total]],
PROVEEDORES[[#All],[FECHA DE FACTURACIÓN]],"&lt;="&amp;EOMONTH(X$1,0),
PROVEEDORES[[#All],[Estado de la factura]],"VENCIDA")
+
SUMIFS(PROVEEDORES[[#All],[Total]],
PROVEEDORES[[#All],[FECHA DE FACTURACIÓN]],"&lt;="&amp;EOMONTH(X$1,0),
PROVEEDORES[[#All],[PV]],"PAGO VENCIDO",
PROVEEDORES[[#All],[FECHA DE PAGO]],"&gt;"&amp;EOMONTH(X$1,0))</f>
        <v>193906020.91755003</v>
      </c>
      <c r="Y16" s="62">
        <f ca="1" xml:space="preserve">
SUMIFS(PROVEEDORES[[#All],[Total]],
PROVEEDORES[[#All],[FECHA DE FACTURACIÓN]],"&lt;="&amp;EOMONTH(Y$1,0),
PROVEEDORES[[#All],[Estado de la factura]],"VENCIDA")
+
SUMIFS(PROVEEDORES[[#All],[Total]],
PROVEEDORES[[#All],[FECHA DE FACTURACIÓN]],"&lt;="&amp;EOMONTH(Y$1,0),
PROVEEDORES[[#All],[PV]],"PAGO VENCIDO",
PROVEEDORES[[#All],[FECHA DE PAGO]],"&gt;"&amp;EOMONTH(Y$1,0))</f>
        <v>217877479.07405001</v>
      </c>
      <c r="Z16" s="62">
        <f xml:space="preserve">
SUMIFS(PROVEEDORES[[#All],[Total]],
PROVEEDORES[[#All],[FECHA DE FACTURACIÓN]],"&lt;="&amp;EOMONTH(Z$1,0),
PROVEEDORES[[#All],[Estado de la factura]],"VENCIDA")
+
SUMIFS(PROVEEDORES[[#All],[Total]],
PROVEEDORES[[#All],[FECHA DE FACTURACIÓN]],"&lt;="&amp;EOMONTH(Z$1,0),
PROVEEDORES[[#All],[PV]],"PAGO VENCIDO",
PROVEEDORES[[#All],[FECHA DE PAGO]],"&gt;"&amp;EOMONTH(Z$1,0))</f>
        <v>223154860.5589273</v>
      </c>
      <c r="AA16" s="62">
        <f xml:space="preserve">
SUMIFS(PROVEEDORES[[#All],[Total]],
PROVEEDORES[[#All],[FECHA DE FACTURACIÓN]],"&lt;="&amp;EOMONTH(AA$1,0),
PROVEEDORES[[#All],[Estado de la factura]],"VENCIDA")
+
SUMIFS(PROVEEDORES[[#All],[Total]],
PROVEEDORES[[#All],[FECHA DE FACTURACIÓN]],"&lt;="&amp;EOMONTH(AA$1,0),
PROVEEDORES[[#All],[PV]],"PAGO VENCIDO",
PROVEEDORES[[#All],[FECHA DE PAGO]],"&gt;"&amp;EOMONTH(AA$1,0))</f>
        <v>226548165.7247794</v>
      </c>
      <c r="AB16" s="62">
        <f xml:space="preserve">
SUMIFS(PROVEEDORES[[#All],[Total]],
PROVEEDORES[[#All],[FECHA DE FACTURACIÓN]],"&lt;="&amp;EOMONTH(AB$1,0),
PROVEEDORES[[#All],[Estado de la factura]],"VENCIDA")
+
SUMIFS(PROVEEDORES[[#All],[Total]],
PROVEEDORES[[#All],[FECHA DE FACTURACIÓN]],"&lt;="&amp;EOMONTH(AB$1,0),
PROVEEDORES[[#All],[PV]],"PAGO VENCIDO",
PROVEEDORES[[#All],[FECHA DE PAGO]],"&gt;"&amp;EOMONTH(AB$1,0))</f>
        <v>206152038.02614996</v>
      </c>
      <c r="AC16" s="62">
        <f ca="1">+SUMIFS(PROVEEDORES[Total],PROVEEDORES[Estado de la factura],"vencida")</f>
        <v>70372188.944499984</v>
      </c>
    </row>
    <row r="17" spans="1:29" x14ac:dyDescent="0.3">
      <c r="A17" s="52" t="s">
        <v>161</v>
      </c>
      <c r="B17" s="61">
        <f t="shared" ref="B17:AC17" si="4">B10-B16</f>
        <v>0</v>
      </c>
      <c r="C17" s="61">
        <f t="shared" si="4"/>
        <v>0</v>
      </c>
      <c r="D17" s="61">
        <f t="shared" si="4"/>
        <v>0</v>
      </c>
      <c r="E17" s="61">
        <f t="shared" si="4"/>
        <v>0</v>
      </c>
      <c r="F17" s="61">
        <f t="shared" si="4"/>
        <v>0</v>
      </c>
      <c r="G17" s="61">
        <f t="shared" si="4"/>
        <v>0</v>
      </c>
      <c r="H17" s="61">
        <f t="shared" si="4"/>
        <v>0</v>
      </c>
      <c r="I17" s="61">
        <f t="shared" si="4"/>
        <v>0</v>
      </c>
      <c r="J17" s="61">
        <f t="shared" si="4"/>
        <v>0</v>
      </c>
      <c r="K17" s="61">
        <f t="shared" si="4"/>
        <v>0</v>
      </c>
      <c r="L17" s="61">
        <f t="shared" si="4"/>
        <v>990000</v>
      </c>
      <c r="M17" s="61">
        <f t="shared" si="4"/>
        <v>12307449.819999993</v>
      </c>
      <c r="N17" s="61">
        <f t="shared" si="4"/>
        <v>16319772.524899989</v>
      </c>
      <c r="O17" s="61">
        <f t="shared" si="4"/>
        <v>6044535.4150000215</v>
      </c>
      <c r="P17" s="61">
        <f t="shared" si="4"/>
        <v>1047595.0800000131</v>
      </c>
      <c r="Q17" s="61">
        <f t="shared" si="4"/>
        <v>28965538.363290012</v>
      </c>
      <c r="R17" s="61">
        <f t="shared" si="4"/>
        <v>18767860.670000046</v>
      </c>
      <c r="S17" s="61">
        <f t="shared" si="4"/>
        <v>12049627.782000035</v>
      </c>
      <c r="T17" s="61">
        <f t="shared" si="4"/>
        <v>62180252.389999986</v>
      </c>
      <c r="U17" s="61">
        <f t="shared" ca="1" si="4"/>
        <v>63325736.851499915</v>
      </c>
      <c r="V17" s="61">
        <f t="shared" ca="1" si="4"/>
        <v>63488238.160000056</v>
      </c>
      <c r="W17" s="61">
        <f t="shared" ca="1" si="4"/>
        <v>21961603.344999999</v>
      </c>
      <c r="X17" s="61">
        <f t="shared" ca="1" si="4"/>
        <v>67180189.395999998</v>
      </c>
      <c r="Y17" s="61">
        <f t="shared" ca="1" si="4"/>
        <v>78035368.595000029</v>
      </c>
      <c r="Z17" s="61">
        <f t="shared" si="4"/>
        <v>16319772.524899989</v>
      </c>
      <c r="AA17" s="61">
        <f t="shared" si="4"/>
        <v>6044535.4150000215</v>
      </c>
      <c r="AB17" s="61">
        <f t="shared" si="4"/>
        <v>1047595.0800000131</v>
      </c>
      <c r="AC17" s="61">
        <f t="shared" ca="1" si="4"/>
        <v>179652979.8744123</v>
      </c>
    </row>
    <row r="18" spans="1:29" x14ac:dyDescent="0.3">
      <c r="A18" s="56" t="s">
        <v>207</v>
      </c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>
        <v>861368531</v>
      </c>
      <c r="P18" s="62"/>
      <c r="Q18" s="62"/>
      <c r="R18" s="62"/>
      <c r="S18" s="62"/>
      <c r="T18" s="62"/>
      <c r="U18" s="81"/>
      <c r="V18" s="81"/>
      <c r="W18" s="81"/>
      <c r="X18" s="81"/>
      <c r="Y18" s="81"/>
      <c r="Z18" s="81"/>
      <c r="AA18" s="81"/>
      <c r="AB18" s="81"/>
      <c r="AC18" s="81"/>
    </row>
    <row r="19" spans="1:29" x14ac:dyDescent="0.3">
      <c r="A19" s="52" t="s">
        <v>211</v>
      </c>
      <c r="B19" s="61">
        <f>SUMIFS(FINANCIACION[[#All],[$ INTERESES]],
FINANCIACION[[#All],[Fecha]],"&gt;="&amp;B$1,
FINANCIACION[[#All],[Fecha]],"&lt;="&amp;EOMONTH(B$1,0))</f>
        <v>9170097.2899999991</v>
      </c>
      <c r="C19" s="61">
        <f>SUMIFS(FINANCIACION[[#All],[$ INTERESES]],
FINANCIACION[[#All],[Fecha]],"&gt;="&amp;C$1,
FINANCIACION[[#All],[Fecha]],"&lt;="&amp;EOMONTH(C$1,0))</f>
        <v>9908174.8599999994</v>
      </c>
      <c r="D19" s="61">
        <f>SUMIFS(FINANCIACION[[#All],[$ INTERESES]],
FINANCIACION[[#All],[Fecha]],"&gt;="&amp;D$1,
FINANCIACION[[#All],[Fecha]],"&lt;="&amp;EOMONTH(D$1,0))</f>
        <v>8927765.6968594994</v>
      </c>
      <c r="E19" s="61">
        <f>SUMIFS(FINANCIACION[[#All],[$ INTERESES]],
FINANCIACION[[#All],[Fecha]],"&gt;="&amp;E$1,
FINANCIACION[[#All],[Fecha]],"&lt;="&amp;EOMONTH(E$1,0))</f>
        <v>0</v>
      </c>
      <c r="F19" s="61">
        <f>SUMIFS(FINANCIACION[[#All],[$ INTERESES]],
FINANCIACION[[#All],[Fecha]],"&gt;="&amp;F$1,
FINANCIACION[[#All],[Fecha]],"&lt;="&amp;EOMONTH(F$1,0))</f>
        <v>2528036.71</v>
      </c>
      <c r="G19" s="61">
        <f>SUMIFS(FINANCIACION[[#All],[$ INTERESES]],
FINANCIACION[[#All],[Fecha]],"&gt;="&amp;G$1,
FINANCIACION[[#All],[Fecha]],"&lt;="&amp;EOMONTH(G$1,0))</f>
        <v>9984160.0800000001</v>
      </c>
      <c r="H19" s="61">
        <f>SUMIFS(FINANCIACION[[#All],[$ INTERESES]],
FINANCIACION[[#All],[Fecha]],"&gt;="&amp;H$1,
FINANCIACION[[#All],[Fecha]],"&lt;="&amp;EOMONTH(H$1,0))</f>
        <v>2827098</v>
      </c>
      <c r="I19" s="61">
        <f>SUMIFS(FINANCIACION[[#All],[$ INTERESES]],
FINANCIACION[[#All],[Fecha]],"&gt;="&amp;I$1,
FINANCIACION[[#All],[Fecha]],"&lt;="&amp;EOMONTH(I$1,0))</f>
        <v>2104994.89</v>
      </c>
      <c r="J19" s="61">
        <f>SUMIFS(FINANCIACION[[#All],[$ INTERESES]],
FINANCIACION[[#All],[Fecha]],"&gt;="&amp;J$1,
FINANCIACION[[#All],[Fecha]],"&lt;="&amp;EOMONTH(J$1,0))</f>
        <v>9937635</v>
      </c>
      <c r="K19" s="61">
        <f>SUMIFS(FINANCIACION[[#All],[$ INTERESES]],
FINANCIACION[[#All],[Fecha]],"&gt;="&amp;K$1,
FINANCIACION[[#All],[Fecha]],"&lt;="&amp;EOMONTH(K$1,0))</f>
        <v>3398498.79</v>
      </c>
      <c r="L19" s="61">
        <f>SUMIFS(FINANCIACION[[#All],[$ INTERESES]],
FINANCIACION[[#All],[Fecha]],"&gt;="&amp;L$1,
FINANCIACION[[#All],[Fecha]],"&lt;="&amp;EOMONTH(L$1,0))</f>
        <v>16137964.5</v>
      </c>
      <c r="M19" s="61">
        <f>SUMIFS(FINANCIACION[[#All],[$ INTERESES]],
FINANCIACION[[#All],[Fecha]],"&gt;="&amp;M$1,
FINANCIACION[[#All],[Fecha]],"&lt;="&amp;EOMONTH(M$1,0))</f>
        <v>9942836.5399999991</v>
      </c>
      <c r="N19" s="61">
        <f>SUMIFS(FINANCIACION[[#All],[$ INTERESES]],
FINANCIACION[[#All],[Fecha]],"&gt;="&amp;N$1,
FINANCIACION[[#All],[Fecha]],"&lt;="&amp;EOMONTH(N$1,0))</f>
        <v>2567901.7659999998</v>
      </c>
      <c r="O19" s="61">
        <f>SUMIFS(FINANCIACION[[#All],[$ INTERESES]],
FINANCIACION[[#All],[Fecha]],"&gt;="&amp;O$1,
FINANCIACION[[#All],[Fecha]],"&lt;="&amp;EOMONTH(O$1,0))</f>
        <v>3220288.6986930002</v>
      </c>
      <c r="P19" s="61">
        <f>SUMIFS(FINANCIACION[[#All],[$ INTERESES]],
FINANCIACION[[#All],[Fecha]],"&gt;="&amp;P$1,
FINANCIACION[[#All],[Fecha]],"&lt;="&amp;EOMONTH(P$1,0))</f>
        <v>4885001.6783339903</v>
      </c>
      <c r="Q19" s="61">
        <f>SUMIFS(FINANCIACION[[#All],[$ INTERESES]],
FINANCIACION[[#All],[Fecha]],"&gt;="&amp;Q$1,
FINANCIACION[[#All],[Fecha]],"&lt;="&amp;EOMONTH(Q$1,0))</f>
        <v>2658010.5461983373</v>
      </c>
      <c r="R19" s="61">
        <f>SUMIFS(FINANCIACION[[#All],[$ INTERESES]],
FINANCIACION[[#All],[Fecha]],"&gt;="&amp;R$1,
FINANCIACION[[#All],[Fecha]],"&lt;="&amp;EOMONTH(R$1,0))</f>
        <v>7306087.2428000076</v>
      </c>
      <c r="S19" s="61">
        <f>SUMIFS(FINANCIACION[[#All],[$ INTERESES]],
FINANCIACION[[#All],[Fecha]],"&gt;="&amp;S$1,
FINANCIACION[[#All],[Fecha]],"&lt;="&amp;EOMONTH(S$1,0))</f>
        <v>7217668.2457486559</v>
      </c>
      <c r="T19" s="61">
        <f>SUMIFS(FINANCIACION[[#All],[$ INTERESES]],
FINANCIACION[[#All],[Fecha]],"&gt;="&amp;T$1,
FINANCIACION[[#All],[Fecha]],"&lt;="&amp;EOMONTH(T$1,0))</f>
        <v>3062442.0096530714</v>
      </c>
      <c r="U19" s="61">
        <f>SUMIFS(FINANCIACION[[#All],[$ INTERESES]],
FINANCIACION[[#All],[Fecha]],"&gt;="&amp;U$1,
FINANCIACION[[#All],[Fecha]],"&lt;="&amp;EOMONTH(U$1,0))</f>
        <v>4070420.4357495997</v>
      </c>
      <c r="V19" s="61">
        <f>SUMIFS(FINANCIACION[[#All],[$ INTERESES]],
FINANCIACION[[#All],[Fecha]],"&gt;="&amp;V$1,
FINANCIACION[[#All],[Fecha]],"&lt;="&amp;EOMONTH(V$1,0))</f>
        <v>4487547.6808070913</v>
      </c>
      <c r="W19" s="61">
        <f>SUMIFS(FINANCIACION[[#All],[$ INTERESES]],
FINANCIACION[[#All],[Fecha]],"&gt;="&amp;W$1,
FINANCIACION[[#All],[Fecha]],"&lt;="&amp;EOMONTH(W$1,0))</f>
        <v>3893103.2170151649</v>
      </c>
      <c r="X19" s="61">
        <f>SUMIFS(FINANCIACION[[#All],[$ INTERESES]],
FINANCIACION[[#All],[Fecha]],"&gt;="&amp;X$1,
FINANCIACION[[#All],[Fecha]],"&lt;="&amp;EOMONTH(X$1,0))</f>
        <v>11199306.902604807</v>
      </c>
      <c r="Y19" s="61">
        <f>SUMIFS(FINANCIACION[[#All],[$ INTERESES]],
FINANCIACION[[#All],[Fecha]],"&gt;="&amp;Y$1,
FINANCIACION[[#All],[Fecha]],"&lt;="&amp;EOMONTH(Y$1,0))</f>
        <v>14636994.228946179</v>
      </c>
      <c r="Z19" s="61">
        <f>SUMIFS(FINANCIACION[[#All],[$ INTERESES]],
FINANCIACION[[#All],[Fecha]],"&gt;="&amp;Z$1,
FINANCIACION[[#All],[Fecha]],"&lt;="&amp;EOMONTH(Z$1,0))</f>
        <v>2567901.7659999998</v>
      </c>
      <c r="AA19" s="61">
        <f>SUMIFS(FINANCIACION[[#All],[$ INTERESES]],
FINANCIACION[[#All],[Fecha]],"&gt;="&amp;AA$1,
FINANCIACION[[#All],[Fecha]],"&lt;="&amp;EOMONTH(AA$1,0))</f>
        <v>3220288.6986930002</v>
      </c>
      <c r="AB19" s="61">
        <f>SUMIFS(FINANCIACION[[#All],[$ INTERESES]],
FINANCIACION[[#All],[Fecha]],"&gt;="&amp;AB$1,
FINANCIACION[[#All],[Fecha]],"&lt;="&amp;EOMONTH(AB$1,0))</f>
        <v>4885001.6783339903</v>
      </c>
      <c r="AC19" s="61">
        <f>SUMIFS(FINANCIACION[[#All],[$ INTERESES]],
FINANCIACION[[#All],[Fecha]],"&gt;="&amp;AC$1,
FINANCIACION[[#All],[Fecha]],"&lt;="&amp;EOMONTH(AC$1,0))</f>
        <v>2658010.5461983373</v>
      </c>
    </row>
    <row r="20" spans="1:29" x14ac:dyDescent="0.3">
      <c r="A20" s="71" t="s">
        <v>500</v>
      </c>
      <c r="B20" s="55"/>
      <c r="C20" s="55"/>
      <c r="D20" s="144"/>
      <c r="E20" s="145"/>
      <c r="F20" s="144"/>
      <c r="G20" s="145"/>
      <c r="H20" s="144"/>
      <c r="I20" s="145"/>
      <c r="J20" s="144"/>
      <c r="K20" s="145"/>
      <c r="L20" s="144"/>
      <c r="M20" s="145"/>
      <c r="N20" s="144">
        <v>12823183.49</v>
      </c>
      <c r="O20" s="146">
        <v>25716801.719999999</v>
      </c>
      <c r="P20" s="72">
        <v>-6622152.3499999996</v>
      </c>
      <c r="Q20" s="72">
        <v>13518267.619999999</v>
      </c>
      <c r="R20" s="72">
        <v>19000000</v>
      </c>
      <c r="S20" s="65">
        <v>-4712324.03</v>
      </c>
      <c r="T20" s="55">
        <v>3331889.61</v>
      </c>
      <c r="U20" s="55">
        <v>8111071.7599999998</v>
      </c>
      <c r="V20" s="55">
        <f>2178577.37+7746001.55</f>
        <v>9924578.9199999999</v>
      </c>
      <c r="W20" s="55">
        <f>1164596.06-2213707.95</f>
        <v>-1049111.8900000001</v>
      </c>
      <c r="X20" s="55">
        <f>806902.83+69108117.91</f>
        <v>69915020.739999995</v>
      </c>
      <c r="Y20" s="55">
        <f>3472901.51+2254545.81</f>
        <v>5727447.3200000003</v>
      </c>
      <c r="Z20" s="55">
        <f>3472901.51+2254545.81</f>
        <v>5727447.3200000003</v>
      </c>
      <c r="AA20" s="55">
        <f>735574.84+3099503.02</f>
        <v>3835077.86</v>
      </c>
      <c r="AB20" s="147">
        <f>12153685.67+1185504.04</f>
        <v>13339189.710000001</v>
      </c>
      <c r="AC20" s="147"/>
    </row>
    <row r="21" spans="1:29" x14ac:dyDescent="0.3">
      <c r="A21" s="71" t="s">
        <v>166</v>
      </c>
      <c r="B21" s="55"/>
      <c r="C21" s="55"/>
      <c r="D21" s="144"/>
      <c r="E21" s="145"/>
      <c r="F21" s="144"/>
      <c r="G21" s="145"/>
      <c r="H21" s="144"/>
      <c r="I21" s="145"/>
      <c r="J21" s="144"/>
      <c r="K21" s="145"/>
      <c r="L21" s="144"/>
      <c r="M21" s="145"/>
      <c r="N21" s="144">
        <v>3400610.08</v>
      </c>
      <c r="O21" s="146">
        <v>457011.74</v>
      </c>
      <c r="P21" s="72">
        <v>456121.64</v>
      </c>
      <c r="Q21" s="72">
        <v>456562.73</v>
      </c>
      <c r="R21" s="72">
        <v>300000</v>
      </c>
      <c r="S21" s="65">
        <v>456825.05</v>
      </c>
      <c r="T21" s="55">
        <v>457553.75</v>
      </c>
      <c r="U21" s="55">
        <v>458546.51</v>
      </c>
      <c r="V21" s="55">
        <v>458546.51</v>
      </c>
      <c r="W21" s="55">
        <v>457961.76</v>
      </c>
      <c r="X21" s="55">
        <v>457245.18</v>
      </c>
      <c r="Y21" s="55">
        <v>458702.35</v>
      </c>
      <c r="Z21" s="55">
        <v>458702.35</v>
      </c>
      <c r="AA21" s="55">
        <v>469386.64</v>
      </c>
      <c r="AB21" s="147">
        <v>462465.85</v>
      </c>
      <c r="AC21" s="147"/>
    </row>
    <row r="22" spans="1:29" x14ac:dyDescent="0.3">
      <c r="A22" s="71" t="s">
        <v>212</v>
      </c>
      <c r="B22" s="55"/>
      <c r="C22" s="55"/>
      <c r="D22" s="144"/>
      <c r="E22" s="145"/>
      <c r="F22" s="144"/>
      <c r="G22" s="145"/>
      <c r="H22" s="144"/>
      <c r="I22" s="145"/>
      <c r="J22" s="144"/>
      <c r="K22" s="145"/>
      <c r="L22" s="144"/>
      <c r="M22" s="145"/>
      <c r="N22" s="144">
        <f>-10000000+811858.56-20000000+17031460.6</f>
        <v>-12156680.839999996</v>
      </c>
      <c r="O22" s="146">
        <f>-4645518.76-1946158.83</f>
        <v>-6591677.5899999999</v>
      </c>
      <c r="P22" s="72">
        <f>114279.05-1352916.94</f>
        <v>-1238637.8899999999</v>
      </c>
      <c r="Q22" s="72">
        <f>-904208.33-9825200.85</f>
        <v>-10729409.18</v>
      </c>
      <c r="R22" s="72">
        <f>-6000000-8000000</f>
        <v>-14000000</v>
      </c>
      <c r="S22" s="65">
        <f>-2147986.05-779130</f>
        <v>-2927116.05</v>
      </c>
      <c r="T22" s="55">
        <f>-161549.77-2445338</f>
        <v>-2606887.77</v>
      </c>
      <c r="U22" s="55">
        <f>3220172.49-4180965.64</f>
        <v>-960793.14999999991</v>
      </c>
      <c r="V22" s="55">
        <f>144350.87-10009800</f>
        <v>-9865449.1300000008</v>
      </c>
      <c r="W22" s="55">
        <f>4927940-5504061.34</f>
        <v>-576121.33999999985</v>
      </c>
      <c r="X22" s="55">
        <f>6120506.73-4848315.56</f>
        <v>1272191.1700000009</v>
      </c>
      <c r="Y22" s="55">
        <f>62122289.9-16700231.76</f>
        <v>45422058.140000001</v>
      </c>
      <c r="Z22" s="55">
        <f>62122289.9-16700231.76</f>
        <v>45422058.140000001</v>
      </c>
      <c r="AA22" s="55">
        <f>-8000000+5232008.78</f>
        <v>-2767991.2199999997</v>
      </c>
      <c r="AB22" s="147">
        <f>-200000-15419000</f>
        <v>-15619000</v>
      </c>
      <c r="AC22" s="147"/>
    </row>
    <row r="23" spans="1:29" x14ac:dyDescent="0.3">
      <c r="A23" s="71" t="s">
        <v>167</v>
      </c>
      <c r="B23" s="55"/>
      <c r="C23" s="55"/>
      <c r="D23" s="144"/>
      <c r="E23" s="145"/>
      <c r="F23" s="144"/>
      <c r="G23" s="145"/>
      <c r="H23" s="144"/>
      <c r="I23" s="145"/>
      <c r="J23" s="144"/>
      <c r="K23" s="145"/>
      <c r="L23" s="144"/>
      <c r="M23" s="145"/>
      <c r="N23" s="144">
        <v>3307793.68</v>
      </c>
      <c r="O23" s="146">
        <v>309870.14</v>
      </c>
      <c r="P23" s="72">
        <v>309264.69</v>
      </c>
      <c r="Q23" s="72">
        <v>309504.15000000002</v>
      </c>
      <c r="R23" s="72">
        <v>400000</v>
      </c>
      <c r="S23" s="65">
        <v>309598.90000000002</v>
      </c>
      <c r="T23" s="55">
        <v>309598.90000000002</v>
      </c>
      <c r="U23" s="55">
        <v>310624.46999999997</v>
      </c>
      <c r="V23" s="55">
        <v>310624.46999999997</v>
      </c>
      <c r="W23" s="55">
        <v>310385.19</v>
      </c>
      <c r="X23" s="55">
        <v>309642.78999999998</v>
      </c>
      <c r="Y23" s="55">
        <v>309965.84999999998</v>
      </c>
      <c r="Z23" s="55">
        <v>309965.84999999998</v>
      </c>
      <c r="AA23" s="55">
        <v>310608.23</v>
      </c>
      <c r="AB23" s="147">
        <v>311775</v>
      </c>
      <c r="AC23" s="147"/>
    </row>
    <row r="24" spans="1:29" x14ac:dyDescent="0.3">
      <c r="A24" s="71" t="s">
        <v>171</v>
      </c>
      <c r="B24" s="55"/>
      <c r="C24" s="55"/>
      <c r="D24" s="144"/>
      <c r="E24" s="145"/>
      <c r="F24" s="144"/>
      <c r="G24" s="145"/>
      <c r="H24" s="144"/>
      <c r="I24" s="145"/>
      <c r="J24" s="144"/>
      <c r="K24" s="145"/>
      <c r="L24" s="144"/>
      <c r="M24" s="145"/>
      <c r="N24" s="144">
        <v>5165671.5599999996</v>
      </c>
      <c r="O24" s="146">
        <v>2712741.39</v>
      </c>
      <c r="P24" s="72" t="s">
        <v>300</v>
      </c>
      <c r="Q24" s="72">
        <v>8081500.3799999999</v>
      </c>
      <c r="R24" s="72">
        <v>4100000</v>
      </c>
      <c r="S24" s="65">
        <v>7279218.5099999998</v>
      </c>
      <c r="T24" s="55">
        <v>2528454.69</v>
      </c>
      <c r="U24" s="55">
        <v>6449161.0300000003</v>
      </c>
      <c r="V24" s="55">
        <v>2534515.2799999998</v>
      </c>
      <c r="W24" s="55">
        <v>6487157.6500000004</v>
      </c>
      <c r="X24" s="55">
        <v>4962940.13</v>
      </c>
      <c r="Y24" s="55">
        <v>2352095.9700000002</v>
      </c>
      <c r="Z24" s="55">
        <v>2352095.9700000002</v>
      </c>
      <c r="AA24" s="55">
        <v>-2462073.42</v>
      </c>
      <c r="AB24" s="147">
        <v>1709000</v>
      </c>
      <c r="AC24" s="147"/>
    </row>
    <row r="25" spans="1:29" x14ac:dyDescent="0.3">
      <c r="A25" s="71" t="s">
        <v>172</v>
      </c>
      <c r="B25" s="55"/>
      <c r="C25" s="55"/>
      <c r="D25" s="144"/>
      <c r="E25" s="145"/>
      <c r="F25" s="144"/>
      <c r="G25" s="145"/>
      <c r="H25" s="144"/>
      <c r="I25" s="145"/>
      <c r="J25" s="144"/>
      <c r="K25" s="145"/>
      <c r="L25" s="144"/>
      <c r="M25" s="145"/>
      <c r="N25" s="144">
        <v>3589938.74</v>
      </c>
      <c r="O25" s="146">
        <v>8690401.7300000004</v>
      </c>
      <c r="P25" s="72" t="s">
        <v>298</v>
      </c>
      <c r="Q25" s="72">
        <v>1586834.56</v>
      </c>
      <c r="R25" s="74">
        <v>3764187.38</v>
      </c>
      <c r="S25" s="65">
        <v>1691284.38</v>
      </c>
      <c r="T25" s="55">
        <v>1043330.38</v>
      </c>
      <c r="U25" s="55">
        <v>3796886.55</v>
      </c>
      <c r="V25" s="55">
        <v>2404285.39</v>
      </c>
      <c r="W25" s="55">
        <v>2617860.39</v>
      </c>
      <c r="X25" s="55">
        <v>59115.22</v>
      </c>
      <c r="Y25" s="55">
        <v>5666972.1600000001</v>
      </c>
      <c r="Z25" s="55">
        <v>5666972.1600000001</v>
      </c>
      <c r="AA25" s="55">
        <v>4450748.6100000003</v>
      </c>
      <c r="AB25" s="147">
        <v>420485.54</v>
      </c>
      <c r="AC25" s="147"/>
    </row>
    <row r="26" spans="1:29" x14ac:dyDescent="0.3">
      <c r="A26" s="71" t="s">
        <v>168</v>
      </c>
      <c r="B26" s="55"/>
      <c r="C26" s="55"/>
      <c r="D26" s="144"/>
      <c r="E26" s="145"/>
      <c r="F26" s="144"/>
      <c r="G26" s="145"/>
      <c r="H26" s="144"/>
      <c r="I26" s="145"/>
      <c r="J26" s="144"/>
      <c r="K26" s="145"/>
      <c r="L26" s="144"/>
      <c r="M26" s="145"/>
      <c r="N26" s="144">
        <v>3036389.79</v>
      </c>
      <c r="O26" s="146">
        <v>549293.42000000004</v>
      </c>
      <c r="P26" s="72" t="s">
        <v>299</v>
      </c>
      <c r="Q26" s="72">
        <v>102187.02</v>
      </c>
      <c r="R26" s="74">
        <v>1231972.18</v>
      </c>
      <c r="S26" s="65">
        <v>1752322.91</v>
      </c>
      <c r="T26" s="55">
        <v>2251846.36</v>
      </c>
      <c r="U26" s="55">
        <v>92111.95</v>
      </c>
      <c r="V26" s="55">
        <v>115185.28</v>
      </c>
      <c r="W26" s="55">
        <v>578146.93999999994</v>
      </c>
      <c r="X26" s="55">
        <v>1683879.5</v>
      </c>
      <c r="Y26" s="55">
        <v>2567860.81</v>
      </c>
      <c r="Z26" s="55">
        <v>2567860.81</v>
      </c>
      <c r="AA26" s="55">
        <v>437413</v>
      </c>
      <c r="AB26" s="147">
        <v>688713.88</v>
      </c>
      <c r="AC26" s="147"/>
    </row>
    <row r="27" spans="1:29" x14ac:dyDescent="0.3">
      <c r="A27" s="71" t="s">
        <v>169</v>
      </c>
      <c r="B27" s="55"/>
      <c r="C27" s="55"/>
      <c r="D27" s="144"/>
      <c r="E27" s="145"/>
      <c r="F27" s="144"/>
      <c r="G27" s="145"/>
      <c r="H27" s="144"/>
      <c r="I27" s="145"/>
      <c r="J27" s="144"/>
      <c r="K27" s="145"/>
      <c r="L27" s="144"/>
      <c r="M27" s="145"/>
      <c r="N27" s="144">
        <v>15793150</v>
      </c>
      <c r="O27" s="146">
        <v>12658400</v>
      </c>
      <c r="P27" s="72">
        <v>10728200</v>
      </c>
      <c r="Q27" s="72"/>
      <c r="R27" s="74">
        <v>9558900</v>
      </c>
      <c r="S27" s="65">
        <v>4539800</v>
      </c>
      <c r="T27" s="55">
        <v>6500000</v>
      </c>
      <c r="U27" s="55">
        <v>8415900</v>
      </c>
      <c r="V27" s="55">
        <v>18000000</v>
      </c>
      <c r="W27" s="55">
        <v>13737900</v>
      </c>
      <c r="X27" s="55">
        <v>12065700</v>
      </c>
      <c r="Y27" s="55">
        <f>40373050+1646000</f>
        <v>42019050</v>
      </c>
      <c r="Z27" s="55">
        <f>40373050+1646000</f>
        <v>42019050</v>
      </c>
      <c r="AA27" s="55">
        <v>7854300</v>
      </c>
      <c r="AB27" s="147">
        <f>8962000+4542000</f>
        <v>13504000</v>
      </c>
      <c r="AC27" s="147"/>
    </row>
    <row r="28" spans="1:29" x14ac:dyDescent="0.3">
      <c r="Y28" s="55"/>
    </row>
    <row r="34" spans="18:22" x14ac:dyDescent="0.3">
      <c r="R34" s="77"/>
    </row>
    <row r="35" spans="18:22" x14ac:dyDescent="0.3">
      <c r="R35" s="77"/>
      <c r="V35" s="55"/>
    </row>
    <row r="36" spans="18:22" x14ac:dyDescent="0.3">
      <c r="R36" s="77"/>
    </row>
    <row r="37" spans="18:22" x14ac:dyDescent="0.3">
      <c r="R37" s="77"/>
      <c r="V37" s="55"/>
    </row>
    <row r="38" spans="18:22" x14ac:dyDescent="0.3">
      <c r="R38" s="77"/>
    </row>
    <row r="39" spans="18:22" x14ac:dyDescent="0.3">
      <c r="R39" s="77"/>
    </row>
    <row r="40" spans="18:22" x14ac:dyDescent="0.3">
      <c r="R40" s="77"/>
      <c r="T40" s="55"/>
      <c r="U40" s="55"/>
      <c r="V40" s="55"/>
    </row>
  </sheetData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</vt:i4>
      </vt:variant>
    </vt:vector>
  </HeadingPairs>
  <TitlesOfParts>
    <vt:vector size="13" baseType="lpstr">
      <vt:lpstr>inicio</vt:lpstr>
      <vt:lpstr>pagos</vt:lpstr>
      <vt:lpstr>Fecha de hoy</vt:lpstr>
      <vt:lpstr>Retenciones</vt:lpstr>
      <vt:lpstr>Terceros</vt:lpstr>
      <vt:lpstr>F.Proveedores</vt:lpstr>
      <vt:lpstr>USD</vt:lpstr>
      <vt:lpstr>Financiación</vt:lpstr>
      <vt:lpstr>Financiadores</vt:lpstr>
      <vt:lpstr>Reporte</vt:lpstr>
      <vt:lpstr>pagos!Área_de_extracción</vt:lpstr>
      <vt:lpstr>pagos!Área_de_impresión</vt:lpstr>
      <vt:lpstr>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NITRO</cp:lastModifiedBy>
  <cp:lastPrinted>2022-03-15T01:30:42Z</cp:lastPrinted>
  <dcterms:created xsi:type="dcterms:W3CDTF">2019-09-20T14:37:58Z</dcterms:created>
  <dcterms:modified xsi:type="dcterms:W3CDTF">2022-04-17T20:37:28Z</dcterms:modified>
</cp:coreProperties>
</file>